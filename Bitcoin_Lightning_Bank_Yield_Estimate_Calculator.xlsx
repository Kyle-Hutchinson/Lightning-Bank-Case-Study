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hutch\OneDrive\Lightning Bank Case Study\"/>
    </mc:Choice>
  </mc:AlternateContent>
  <xr:revisionPtr revIDLastSave="0" documentId="13_ncr:1_{EAA91975-2987-4A27-8581-E5ECB033CA79}" xr6:coauthVersionLast="47" xr6:coauthVersionMax="47" xr10:uidLastSave="{00000000-0000-0000-0000-000000000000}"/>
  <bookViews>
    <workbookView xWindow="-98" yWindow="-98" windowWidth="28996" windowHeight="15675" activeTab="4" xr2:uid="{10396A79-A4B2-467C-A467-ECE59C587EB2}"/>
  </bookViews>
  <sheets>
    <sheet name="YIELD_CALCULATOR" sheetId="36" r:id="rId1"/>
    <sheet name="YIELD_BURNDOWN" sheetId="13" r:id="rId2"/>
    <sheet name="BTC_MORTGAGE" sheetId="19" r:id="rId3"/>
    <sheet name="DC2" sheetId="37" r:id="rId4"/>
    <sheet name="SUMMARY" sheetId="39" r:id="rId5"/>
    <sheet name="2X" sheetId="18" r:id="rId6"/>
    <sheet name="2.5X" sheetId="23" r:id="rId7"/>
    <sheet name="3X" sheetId="25" r:id="rId8"/>
    <sheet name="3.5X" sheetId="27" r:id="rId9"/>
    <sheet name="4X" sheetId="29" r:id="rId10"/>
    <sheet name="4.5X" sheetId="31" r:id="rId11"/>
    <sheet name="5X" sheetId="34"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5" i="39" l="1"/>
  <c r="O25" i="39"/>
  <c r="M25" i="39"/>
  <c r="K25" i="39"/>
  <c r="I25" i="39"/>
  <c r="G25" i="39"/>
  <c r="G19" i="39"/>
  <c r="I19" i="39"/>
  <c r="K19" i="39"/>
  <c r="M19" i="39"/>
  <c r="O19" i="39"/>
  <c r="Q19" i="39"/>
  <c r="E50" i="36"/>
  <c r="F50" i="36"/>
  <c r="G50" i="36"/>
  <c r="H50" i="36"/>
  <c r="I50" i="36"/>
  <c r="J50" i="36"/>
  <c r="K50" i="36"/>
  <c r="L50" i="36"/>
  <c r="M50" i="36"/>
  <c r="N50" i="36"/>
  <c r="E55" i="36"/>
  <c r="G13" i="39"/>
  <c r="H13" i="39"/>
  <c r="I13" i="39"/>
  <c r="J13" i="39"/>
  <c r="K13" i="39"/>
  <c r="L13" i="39"/>
  <c r="M13" i="39"/>
  <c r="N13" i="39"/>
  <c r="O13" i="39"/>
  <c r="P13" i="39"/>
  <c r="Q13" i="39"/>
  <c r="R13" i="39"/>
  <c r="F13" i="39"/>
  <c r="E10" i="34"/>
  <c r="E9" i="34"/>
  <c r="E8" i="34"/>
  <c r="E39" i="34" s="1"/>
  <c r="E10" i="31"/>
  <c r="E9" i="31"/>
  <c r="E8" i="31"/>
  <c r="E39" i="31" s="1"/>
  <c r="E10" i="29"/>
  <c r="E9" i="29"/>
  <c r="E8" i="29"/>
  <c r="E39" i="29" s="1"/>
  <c r="E10" i="27"/>
  <c r="E9" i="27"/>
  <c r="E8" i="27"/>
  <c r="E39" i="27" s="1"/>
  <c r="F39" i="27" s="1"/>
  <c r="E10" i="25"/>
  <c r="E9" i="25"/>
  <c r="E8" i="25"/>
  <c r="E39" i="25" s="1"/>
  <c r="E10" i="23"/>
  <c r="E9" i="23"/>
  <c r="E8" i="23"/>
  <c r="E39" i="23" s="1"/>
  <c r="E10" i="18"/>
  <c r="E11" i="18"/>
  <c r="E9" i="18"/>
  <c r="E8" i="18"/>
  <c r="E39" i="18" s="1"/>
  <c r="E11" i="34"/>
  <c r="E7" i="34"/>
  <c r="E6" i="34"/>
  <c r="E5" i="34"/>
  <c r="E11" i="31"/>
  <c r="E7" i="31"/>
  <c r="E6" i="31"/>
  <c r="E5" i="31"/>
  <c r="E15" i="31" s="1"/>
  <c r="E11" i="29"/>
  <c r="E7" i="29"/>
  <c r="E6" i="29"/>
  <c r="E5" i="29"/>
  <c r="E11" i="27"/>
  <c r="E7" i="27"/>
  <c r="E6" i="27"/>
  <c r="E5" i="27"/>
  <c r="E11" i="25"/>
  <c r="E7" i="25"/>
  <c r="E6" i="25"/>
  <c r="E5" i="25"/>
  <c r="E11" i="23"/>
  <c r="E7" i="23"/>
  <c r="E6" i="23"/>
  <c r="E5" i="23"/>
  <c r="E7" i="18"/>
  <c r="E6" i="18"/>
  <c r="E5" i="18"/>
  <c r="D64" i="34"/>
  <c r="D48" i="34"/>
  <c r="D32" i="34"/>
  <c r="K9" i="34"/>
  <c r="K8" i="34"/>
  <c r="K7" i="34"/>
  <c r="K6" i="34"/>
  <c r="K5" i="34"/>
  <c r="K4" i="34"/>
  <c r="D64" i="31"/>
  <c r="D48" i="31"/>
  <c r="D32" i="31"/>
  <c r="K9" i="31"/>
  <c r="K8" i="31"/>
  <c r="K7" i="31"/>
  <c r="K6" i="31"/>
  <c r="K5" i="31"/>
  <c r="K4" i="31"/>
  <c r="D64" i="29"/>
  <c r="D48" i="29"/>
  <c r="D32" i="29"/>
  <c r="K9" i="29"/>
  <c r="K8" i="29"/>
  <c r="K7" i="29"/>
  <c r="K6" i="29"/>
  <c r="K5" i="29"/>
  <c r="K4" i="29"/>
  <c r="D64" i="27"/>
  <c r="D48" i="27"/>
  <c r="D32" i="27"/>
  <c r="K9" i="27"/>
  <c r="K8" i="27"/>
  <c r="K7" i="27"/>
  <c r="K6" i="27"/>
  <c r="K5" i="27"/>
  <c r="K4" i="27"/>
  <c r="D64" i="25"/>
  <c r="D48" i="25"/>
  <c r="D32" i="25"/>
  <c r="K9" i="25"/>
  <c r="K8" i="25"/>
  <c r="K7" i="25"/>
  <c r="K6" i="25"/>
  <c r="K5" i="25"/>
  <c r="K4" i="25"/>
  <c r="D64" i="23"/>
  <c r="D48" i="23"/>
  <c r="D32" i="23"/>
  <c r="K9" i="23"/>
  <c r="K8" i="23"/>
  <c r="K7" i="23"/>
  <c r="K6" i="23"/>
  <c r="K5" i="23"/>
  <c r="K4" i="23"/>
  <c r="D64" i="18"/>
  <c r="D48" i="18"/>
  <c r="D32" i="18"/>
  <c r="K9" i="18"/>
  <c r="K8" i="18"/>
  <c r="K7" i="18"/>
  <c r="K6" i="18"/>
  <c r="K5" i="18"/>
  <c r="K4" i="18"/>
  <c r="E39" i="36"/>
  <c r="F39" i="36"/>
  <c r="G39" i="36" s="1"/>
  <c r="H39" i="36" s="1"/>
  <c r="I39" i="36" s="1"/>
  <c r="J39" i="36" s="1"/>
  <c r="K39" i="36" s="1"/>
  <c r="L39" i="36" s="1"/>
  <c r="M39" i="36" s="1"/>
  <c r="N39" i="36" s="1"/>
  <c r="D32" i="13"/>
  <c r="E32" i="13" s="1"/>
  <c r="K9" i="36"/>
  <c r="K8" i="36"/>
  <c r="K5" i="36"/>
  <c r="K6" i="36"/>
  <c r="K7" i="36"/>
  <c r="K4" i="36"/>
  <c r="F55" i="36"/>
  <c r="G55" i="36"/>
  <c r="H55" i="36"/>
  <c r="I55" i="36"/>
  <c r="J55" i="36"/>
  <c r="K55" i="36"/>
  <c r="L55" i="36"/>
  <c r="M55" i="36"/>
  <c r="N55" i="36"/>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12" i="19"/>
  <c r="B6" i="19"/>
  <c r="B7" i="19"/>
  <c r="B8" i="19"/>
  <c r="B9" i="19"/>
  <c r="B10" i="19"/>
  <c r="B11" i="19"/>
  <c r="B5" i="19"/>
  <c r="D48" i="36"/>
  <c r="D64" i="36"/>
  <c r="D32" i="36"/>
  <c r="E15" i="36"/>
  <c r="F46" i="13"/>
  <c r="G11" i="19"/>
  <c r="G12" i="19"/>
  <c r="G13" i="19"/>
  <c r="G14" i="19"/>
  <c r="G15" i="19"/>
  <c r="G16" i="19"/>
  <c r="G17" i="19"/>
  <c r="G18" i="19"/>
  <c r="G19" i="19"/>
  <c r="G20" i="19"/>
  <c r="G21" i="19"/>
  <c r="G22" i="19"/>
  <c r="G23" i="19"/>
  <c r="G24" i="19"/>
  <c r="G25" i="19"/>
  <c r="G26" i="19"/>
  <c r="G27" i="19"/>
  <c r="G28" i="19"/>
  <c r="G29" i="19"/>
  <c r="G30" i="19"/>
  <c r="G31" i="19"/>
  <c r="G32" i="19"/>
  <c r="G33" i="19"/>
  <c r="G34" i="19"/>
  <c r="G35" i="19"/>
  <c r="G36" i="19"/>
  <c r="G37" i="19"/>
  <c r="G38" i="19"/>
  <c r="G39" i="19"/>
  <c r="G40" i="19"/>
  <c r="G41" i="19"/>
  <c r="G10" i="19"/>
  <c r="G5" i="19"/>
  <c r="K5" i="19" s="1"/>
  <c r="G6" i="19"/>
  <c r="G7" i="19"/>
  <c r="H7" i="19" s="1"/>
  <c r="L7" i="19" s="1"/>
  <c r="G8" i="19"/>
  <c r="K8" i="19" s="1"/>
  <c r="G9" i="19"/>
  <c r="I5" i="19"/>
  <c r="J5" i="19" s="1"/>
  <c r="I11" i="19"/>
  <c r="J11" i="19" s="1"/>
  <c r="I12" i="19"/>
  <c r="J12" i="19" s="1"/>
  <c r="I13" i="19"/>
  <c r="J13" i="19" s="1"/>
  <c r="I14" i="19"/>
  <c r="J14" i="19" s="1"/>
  <c r="I15" i="19"/>
  <c r="J15" i="19" s="1"/>
  <c r="I16" i="19"/>
  <c r="J16" i="19" s="1"/>
  <c r="I17" i="19"/>
  <c r="J17" i="19" s="1"/>
  <c r="I18" i="19"/>
  <c r="J18" i="19" s="1"/>
  <c r="I19" i="19"/>
  <c r="J19" i="19" s="1"/>
  <c r="I20" i="19"/>
  <c r="J20" i="19" s="1"/>
  <c r="I21" i="19"/>
  <c r="J21" i="19" s="1"/>
  <c r="I22" i="19"/>
  <c r="J22" i="19" s="1"/>
  <c r="I23" i="19"/>
  <c r="J23" i="19" s="1"/>
  <c r="I24" i="19"/>
  <c r="J24" i="19" s="1"/>
  <c r="I25" i="19"/>
  <c r="J25" i="19" s="1"/>
  <c r="I26" i="19"/>
  <c r="J26" i="19" s="1"/>
  <c r="I27" i="19"/>
  <c r="J27" i="19" s="1"/>
  <c r="I28" i="19"/>
  <c r="J28" i="19" s="1"/>
  <c r="I29" i="19"/>
  <c r="J29" i="19" s="1"/>
  <c r="I30" i="19"/>
  <c r="J30" i="19" s="1"/>
  <c r="I31" i="19"/>
  <c r="J31" i="19" s="1"/>
  <c r="I32" i="19"/>
  <c r="J32" i="19" s="1"/>
  <c r="I33" i="19"/>
  <c r="J33" i="19" s="1"/>
  <c r="I34" i="19"/>
  <c r="J34" i="19" s="1"/>
  <c r="I35" i="19"/>
  <c r="J35" i="19" s="1"/>
  <c r="I36" i="19"/>
  <c r="J36" i="19" s="1"/>
  <c r="I37" i="19"/>
  <c r="J37" i="19" s="1"/>
  <c r="I38" i="19"/>
  <c r="J38" i="19" s="1"/>
  <c r="I39" i="19"/>
  <c r="J39" i="19" s="1"/>
  <c r="I40" i="19"/>
  <c r="J40" i="19" s="1"/>
  <c r="I41" i="19"/>
  <c r="J41" i="19" s="1"/>
  <c r="I10" i="19"/>
  <c r="J10" i="19" s="1"/>
  <c r="I6" i="19"/>
  <c r="J6" i="19" s="1"/>
  <c r="I7" i="19"/>
  <c r="J7" i="19" s="1"/>
  <c r="I8" i="19"/>
  <c r="J8" i="19" s="1"/>
  <c r="I9" i="19"/>
  <c r="J9" i="19" s="1"/>
  <c r="D26" i="13"/>
  <c r="D28" i="13" s="1"/>
  <c r="D20" i="13"/>
  <c r="E20" i="13" s="1"/>
  <c r="F20" i="13" s="1"/>
  <c r="G20" i="13" s="1"/>
  <c r="H20" i="13" s="1"/>
  <c r="I20" i="13" s="1"/>
  <c r="J20" i="13" s="1"/>
  <c r="K20" i="13" s="1"/>
  <c r="L20" i="13" s="1"/>
  <c r="M20" i="13" s="1"/>
  <c r="M22" i="13" s="1"/>
  <c r="D14" i="13"/>
  <c r="D16" i="13" s="1"/>
  <c r="D8" i="13"/>
  <c r="D10" i="13" s="1"/>
  <c r="E26" i="13" l="1"/>
  <c r="F26" i="13" s="1"/>
  <c r="G26" i="13" s="1"/>
  <c r="H26" i="13" s="1"/>
  <c r="I26" i="13" s="1"/>
  <c r="J26" i="13" s="1"/>
  <c r="K26" i="13" s="1"/>
  <c r="L26" i="13" s="1"/>
  <c r="M26" i="13" s="1"/>
  <c r="M28" i="13" s="1"/>
  <c r="E17" i="36"/>
  <c r="E34" i="36"/>
  <c r="E17" i="31"/>
  <c r="E19" i="31" s="1"/>
  <c r="F15" i="31"/>
  <c r="E15" i="34"/>
  <c r="E16" i="31"/>
  <c r="G55" i="29"/>
  <c r="E55" i="23"/>
  <c r="K55" i="23"/>
  <c r="J55" i="18"/>
  <c r="F55" i="29"/>
  <c r="E15" i="23"/>
  <c r="E17" i="23" s="1"/>
  <c r="E15" i="18"/>
  <c r="E15" i="27"/>
  <c r="E15" i="29"/>
  <c r="E15" i="25"/>
  <c r="F39" i="34"/>
  <c r="I55" i="34"/>
  <c r="L55" i="34"/>
  <c r="M55" i="34"/>
  <c r="K55" i="34"/>
  <c r="H55" i="34"/>
  <c r="G55" i="34"/>
  <c r="F55" i="34"/>
  <c r="N55" i="34"/>
  <c r="E55" i="34"/>
  <c r="J55" i="34"/>
  <c r="E34" i="31"/>
  <c r="F39" i="31"/>
  <c r="J55" i="31"/>
  <c r="H55" i="31"/>
  <c r="G55" i="31"/>
  <c r="M55" i="31"/>
  <c r="L55" i="31"/>
  <c r="I55" i="31"/>
  <c r="F55" i="31"/>
  <c r="E55" i="31"/>
  <c r="E50" i="31" s="1"/>
  <c r="N55" i="31"/>
  <c r="K55" i="31"/>
  <c r="F39" i="29"/>
  <c r="L55" i="29"/>
  <c r="J55" i="29"/>
  <c r="H55" i="29"/>
  <c r="E55" i="29"/>
  <c r="N55" i="29"/>
  <c r="M55" i="29"/>
  <c r="K55" i="29"/>
  <c r="I55" i="29"/>
  <c r="G39" i="27"/>
  <c r="J55" i="27"/>
  <c r="G55" i="27"/>
  <c r="N55" i="27"/>
  <c r="F55" i="27"/>
  <c r="M55" i="27"/>
  <c r="L55" i="27"/>
  <c r="K55" i="27"/>
  <c r="I55" i="27"/>
  <c r="H55" i="27"/>
  <c r="E55" i="27"/>
  <c r="J55" i="25"/>
  <c r="I55" i="25"/>
  <c r="H55" i="25"/>
  <c r="G55" i="25"/>
  <c r="M55" i="25"/>
  <c r="E55" i="25"/>
  <c r="N55" i="25"/>
  <c r="L55" i="25"/>
  <c r="F55" i="25"/>
  <c r="K55" i="25"/>
  <c r="F39" i="25"/>
  <c r="F39" i="23"/>
  <c r="M55" i="23"/>
  <c r="L55" i="23"/>
  <c r="I55" i="23"/>
  <c r="H55" i="23"/>
  <c r="G55" i="23"/>
  <c r="F55" i="23"/>
  <c r="J55" i="23"/>
  <c r="N55" i="23"/>
  <c r="K55" i="18"/>
  <c r="F39" i="18"/>
  <c r="I55" i="18"/>
  <c r="H55" i="18"/>
  <c r="G55" i="18"/>
  <c r="N55" i="18"/>
  <c r="F55" i="18"/>
  <c r="M55" i="18"/>
  <c r="E55" i="18"/>
  <c r="L55" i="18"/>
  <c r="E53" i="36"/>
  <c r="E130" i="36" s="1"/>
  <c r="F15" i="36"/>
  <c r="F16" i="36" s="1"/>
  <c r="E16" i="36"/>
  <c r="H5" i="19"/>
  <c r="L5" i="19" s="1"/>
  <c r="M5" i="19" s="1"/>
  <c r="K7" i="19"/>
  <c r="M7" i="19" s="1"/>
  <c r="K10" i="19"/>
  <c r="K6" i="19"/>
  <c r="H6" i="19"/>
  <c r="L6" i="19" s="1"/>
  <c r="H9" i="19"/>
  <c r="L9" i="19" s="1"/>
  <c r="H10" i="19"/>
  <c r="L10" i="19" s="1"/>
  <c r="H8" i="19"/>
  <c r="L8" i="19" s="1"/>
  <c r="M8" i="19" s="1"/>
  <c r="J28" i="13"/>
  <c r="K28" i="13"/>
  <c r="I22" i="13"/>
  <c r="E14" i="13"/>
  <c r="F14" i="13" s="1"/>
  <c r="G14" i="13" s="1"/>
  <c r="J22" i="13"/>
  <c r="E22" i="13"/>
  <c r="I28" i="13"/>
  <c r="I29" i="13" s="1"/>
  <c r="F22" i="13"/>
  <c r="H28" i="13"/>
  <c r="H29" i="13" s="1"/>
  <c r="F32" i="13"/>
  <c r="E34" i="13"/>
  <c r="D34" i="13"/>
  <c r="G22" i="13"/>
  <c r="K22" i="13"/>
  <c r="E28" i="13"/>
  <c r="L28" i="13"/>
  <c r="G28" i="13"/>
  <c r="G29" i="13" s="1"/>
  <c r="D22" i="13"/>
  <c r="H22" i="13"/>
  <c r="L22" i="13"/>
  <c r="F28" i="13"/>
  <c r="D9" i="13"/>
  <c r="E8" i="13"/>
  <c r="E50" i="25" l="1"/>
  <c r="F15" i="29"/>
  <c r="F50" i="29" s="1"/>
  <c r="F53" i="29" s="1"/>
  <c r="E50" i="29"/>
  <c r="E53" i="29" s="1"/>
  <c r="E16" i="27"/>
  <c r="E50" i="27"/>
  <c r="E53" i="27" s="1"/>
  <c r="F15" i="18"/>
  <c r="F17" i="18" s="1"/>
  <c r="E50" i="18"/>
  <c r="E53" i="18" s="1"/>
  <c r="E16" i="34"/>
  <c r="E50" i="34"/>
  <c r="E53" i="34" s="1"/>
  <c r="G15" i="31"/>
  <c r="G17" i="31" s="1"/>
  <c r="G18" i="31" s="1"/>
  <c r="F50" i="31"/>
  <c r="F53" i="31" s="1"/>
  <c r="F56" i="31" s="1"/>
  <c r="E18" i="31"/>
  <c r="E28" i="31" s="1"/>
  <c r="E52" i="31"/>
  <c r="E58" i="31" s="1"/>
  <c r="F15" i="34"/>
  <c r="F17" i="31"/>
  <c r="E17" i="34"/>
  <c r="E19" i="34" s="1"/>
  <c r="E34" i="34"/>
  <c r="E37" i="34" s="1"/>
  <c r="E40" i="34" s="1"/>
  <c r="E41" i="34" s="1"/>
  <c r="F16" i="31"/>
  <c r="E36" i="31"/>
  <c r="E42" i="31" s="1"/>
  <c r="E34" i="29"/>
  <c r="E37" i="29" s="1"/>
  <c r="E40" i="29" s="1"/>
  <c r="E41" i="29" s="1"/>
  <c r="E34" i="23"/>
  <c r="E37" i="23" s="1"/>
  <c r="E40" i="23" s="1"/>
  <c r="E41" i="23" s="1"/>
  <c r="E50" i="23"/>
  <c r="E53" i="23" s="1"/>
  <c r="F15" i="23"/>
  <c r="F50" i="23" s="1"/>
  <c r="F53" i="23" s="1"/>
  <c r="E16" i="23"/>
  <c r="E34" i="27"/>
  <c r="E37" i="27" s="1"/>
  <c r="E40" i="27" s="1"/>
  <c r="E41" i="27" s="1"/>
  <c r="E53" i="25"/>
  <c r="E34" i="18"/>
  <c r="E37" i="18" s="1"/>
  <c r="E40" i="18" s="1"/>
  <c r="E41" i="18" s="1"/>
  <c r="E17" i="18"/>
  <c r="E19" i="18" s="1"/>
  <c r="E21" i="18" s="1"/>
  <c r="E16" i="18"/>
  <c r="F15" i="27"/>
  <c r="E17" i="27"/>
  <c r="F15" i="25"/>
  <c r="E17" i="25"/>
  <c r="E34" i="25"/>
  <c r="E37" i="25" s="1"/>
  <c r="E40" i="25" s="1"/>
  <c r="E41" i="25" s="1"/>
  <c r="E16" i="25"/>
  <c r="E16" i="29"/>
  <c r="E17" i="29"/>
  <c r="F17" i="29"/>
  <c r="G39" i="34"/>
  <c r="E37" i="31"/>
  <c r="E40" i="31" s="1"/>
  <c r="E41" i="31" s="1"/>
  <c r="E53" i="31"/>
  <c r="E21" i="31"/>
  <c r="E23" i="31" s="1"/>
  <c r="G39" i="31"/>
  <c r="F34" i="31"/>
  <c r="F37" i="31" s="1"/>
  <c r="F40" i="31" s="1"/>
  <c r="G39" i="29"/>
  <c r="H39" i="27"/>
  <c r="G39" i="25"/>
  <c r="G39" i="23"/>
  <c r="E18" i="23"/>
  <c r="E19" i="23"/>
  <c r="G39" i="18"/>
  <c r="F34" i="36"/>
  <c r="F37" i="36" s="1"/>
  <c r="F40" i="36" s="1"/>
  <c r="G15" i="36"/>
  <c r="E37" i="36"/>
  <c r="E40" i="36" s="1"/>
  <c r="E41" i="36" s="1"/>
  <c r="F17" i="36"/>
  <c r="F18" i="36" s="1"/>
  <c r="G16" i="36"/>
  <c r="G17" i="36"/>
  <c r="H15" i="36"/>
  <c r="H34" i="36" s="1"/>
  <c r="E19" i="36"/>
  <c r="E21" i="36" s="1"/>
  <c r="E18" i="36"/>
  <c r="E133" i="36"/>
  <c r="E127" i="36"/>
  <c r="E56" i="36"/>
  <c r="E57" i="36" s="1"/>
  <c r="M6" i="19"/>
  <c r="M10" i="19"/>
  <c r="K13" i="19"/>
  <c r="K9" i="19"/>
  <c r="M9" i="19" s="1"/>
  <c r="K14" i="19"/>
  <c r="K12" i="19"/>
  <c r="H12" i="19"/>
  <c r="L12" i="19" s="1"/>
  <c r="H14" i="19"/>
  <c r="L14" i="19" s="1"/>
  <c r="H13" i="19"/>
  <c r="L13" i="19" s="1"/>
  <c r="H11" i="19"/>
  <c r="L11" i="19" s="1"/>
  <c r="K11" i="19"/>
  <c r="E16" i="13"/>
  <c r="F16" i="13"/>
  <c r="H14" i="13"/>
  <c r="G16" i="13"/>
  <c r="G32" i="13"/>
  <c r="F34" i="13"/>
  <c r="F35" i="13" s="1"/>
  <c r="F8" i="13"/>
  <c r="E10" i="13"/>
  <c r="F34" i="18" l="1"/>
  <c r="F37" i="18" s="1"/>
  <c r="F40" i="18" s="1"/>
  <c r="F34" i="29"/>
  <c r="F16" i="29"/>
  <c r="G15" i="18"/>
  <c r="G50" i="18" s="1"/>
  <c r="G53" i="18" s="1"/>
  <c r="G127" i="18" s="1"/>
  <c r="G15" i="29"/>
  <c r="G50" i="29" s="1"/>
  <c r="G53" i="29" s="1"/>
  <c r="E25" i="31"/>
  <c r="E79" i="31" s="1"/>
  <c r="H15" i="31"/>
  <c r="H16" i="31" s="1"/>
  <c r="F50" i="25"/>
  <c r="F53" i="25" s="1"/>
  <c r="F50" i="27"/>
  <c r="F53" i="27" s="1"/>
  <c r="F17" i="34"/>
  <c r="F19" i="34" s="1"/>
  <c r="F50" i="34"/>
  <c r="G16" i="31"/>
  <c r="G50" i="31"/>
  <c r="G53" i="31" s="1"/>
  <c r="G127" i="31" s="1"/>
  <c r="F16" i="18"/>
  <c r="F50" i="18"/>
  <c r="F53" i="18" s="1"/>
  <c r="F56" i="18" s="1"/>
  <c r="E52" i="36"/>
  <c r="E58" i="36" s="1"/>
  <c r="F16" i="34"/>
  <c r="G15" i="34"/>
  <c r="F53" i="34"/>
  <c r="F56" i="34" s="1"/>
  <c r="F34" i="34"/>
  <c r="F37" i="34" s="1"/>
  <c r="F40" i="34" s="1"/>
  <c r="F41" i="34" s="1"/>
  <c r="E54" i="31"/>
  <c r="E132" i="31" s="1"/>
  <c r="E36" i="34"/>
  <c r="E42" i="34" s="1"/>
  <c r="F133" i="31"/>
  <c r="F127" i="31"/>
  <c r="G19" i="31"/>
  <c r="E18" i="34"/>
  <c r="E28" i="34" s="1"/>
  <c r="F130" i="31"/>
  <c r="F19" i="31"/>
  <c r="F52" i="31" s="1"/>
  <c r="F54" i="31" s="1"/>
  <c r="F18" i="31"/>
  <c r="F25" i="31" s="1"/>
  <c r="F79" i="31" s="1"/>
  <c r="E38" i="31"/>
  <c r="E46" i="31" s="1"/>
  <c r="E44" i="31" s="1"/>
  <c r="E52" i="34"/>
  <c r="E58" i="34" s="1"/>
  <c r="F16" i="23"/>
  <c r="E52" i="23"/>
  <c r="E54" i="23" s="1"/>
  <c r="G15" i="23"/>
  <c r="G17" i="23" s="1"/>
  <c r="F17" i="23"/>
  <c r="F19" i="23" s="1"/>
  <c r="F34" i="23"/>
  <c r="F37" i="23" s="1"/>
  <c r="F40" i="23" s="1"/>
  <c r="F41" i="23" s="1"/>
  <c r="F19" i="18"/>
  <c r="F36" i="18" s="1"/>
  <c r="F38" i="18" s="1"/>
  <c r="F46" i="18" s="1"/>
  <c r="E18" i="18"/>
  <c r="E25" i="18" s="1"/>
  <c r="G15" i="27"/>
  <c r="F18" i="18"/>
  <c r="F28" i="18" s="1"/>
  <c r="F94" i="18" s="1"/>
  <c r="E52" i="18"/>
  <c r="E58" i="18" s="1"/>
  <c r="F34" i="25"/>
  <c r="F37" i="25" s="1"/>
  <c r="F40" i="25" s="1"/>
  <c r="F41" i="25" s="1"/>
  <c r="E36" i="23"/>
  <c r="E42" i="23" s="1"/>
  <c r="F16" i="27"/>
  <c r="F34" i="27"/>
  <c r="F37" i="27" s="1"/>
  <c r="F40" i="27" s="1"/>
  <c r="F41" i="27" s="1"/>
  <c r="F17" i="27"/>
  <c r="E19" i="27"/>
  <c r="E18" i="27"/>
  <c r="E36" i="18"/>
  <c r="E19" i="29"/>
  <c r="E18" i="29"/>
  <c r="E19" i="25"/>
  <c r="E18" i="25"/>
  <c r="E25" i="25" s="1"/>
  <c r="G15" i="25"/>
  <c r="F17" i="25"/>
  <c r="F16" i="25"/>
  <c r="H15" i="29"/>
  <c r="H50" i="29" s="1"/>
  <c r="F133" i="29"/>
  <c r="F56" i="29"/>
  <c r="F130" i="29"/>
  <c r="F127" i="29"/>
  <c r="F18" i="29"/>
  <c r="F19" i="29"/>
  <c r="E127" i="34"/>
  <c r="E133" i="34"/>
  <c r="E130" i="34"/>
  <c r="E56" i="34"/>
  <c r="E57" i="34" s="1"/>
  <c r="H39" i="34"/>
  <c r="E21" i="34"/>
  <c r="E23" i="34" s="1"/>
  <c r="E94" i="31"/>
  <c r="E30" i="31"/>
  <c r="E66" i="31"/>
  <c r="H39" i="31"/>
  <c r="G34" i="31"/>
  <c r="F41" i="31"/>
  <c r="G28" i="31"/>
  <c r="G94" i="31" s="1"/>
  <c r="G25" i="31"/>
  <c r="G79" i="31" s="1"/>
  <c r="E127" i="31"/>
  <c r="E130" i="31"/>
  <c r="E133" i="31"/>
  <c r="E56" i="31"/>
  <c r="E57" i="31" s="1"/>
  <c r="F57" i="31" s="1"/>
  <c r="F37" i="29"/>
  <c r="F40" i="29" s="1"/>
  <c r="F41" i="29" s="1"/>
  <c r="E127" i="29"/>
  <c r="E130" i="29"/>
  <c r="E133" i="29"/>
  <c r="E56" i="29"/>
  <c r="E57" i="29" s="1"/>
  <c r="H39" i="29"/>
  <c r="I39" i="27"/>
  <c r="E130" i="27"/>
  <c r="E133" i="27"/>
  <c r="E127" i="27"/>
  <c r="E56" i="27"/>
  <c r="E57" i="27" s="1"/>
  <c r="E130" i="25"/>
  <c r="E127" i="25"/>
  <c r="E133" i="25"/>
  <c r="E56" i="25"/>
  <c r="E57" i="25" s="1"/>
  <c r="H39" i="25"/>
  <c r="E127" i="23"/>
  <c r="E133" i="23"/>
  <c r="E130" i="23"/>
  <c r="E56" i="23"/>
  <c r="E57" i="23" s="1"/>
  <c r="F127" i="23"/>
  <c r="F133" i="23"/>
  <c r="F130" i="23"/>
  <c r="F56" i="23"/>
  <c r="E21" i="23"/>
  <c r="E23" i="23" s="1"/>
  <c r="E25" i="23"/>
  <c r="E28" i="23"/>
  <c r="H39" i="23"/>
  <c r="F41" i="18"/>
  <c r="E127" i="18"/>
  <c r="E130" i="18"/>
  <c r="E133" i="18"/>
  <c r="E56" i="18"/>
  <c r="E57" i="18" s="1"/>
  <c r="E23" i="18"/>
  <c r="H39" i="18"/>
  <c r="F28" i="36"/>
  <c r="F94" i="36" s="1"/>
  <c r="F25" i="36"/>
  <c r="F79" i="36" s="1"/>
  <c r="E28" i="36"/>
  <c r="E30" i="36" s="1"/>
  <c r="E96" i="36" s="1"/>
  <c r="E25" i="36"/>
  <c r="E79" i="36" s="1"/>
  <c r="F41" i="36"/>
  <c r="G34" i="36"/>
  <c r="G37" i="36" s="1"/>
  <c r="G40" i="36" s="1"/>
  <c r="G53" i="36"/>
  <c r="M14" i="19"/>
  <c r="M12" i="19"/>
  <c r="H37" i="36"/>
  <c r="H40" i="36" s="1"/>
  <c r="E94" i="36"/>
  <c r="F53" i="36"/>
  <c r="F56" i="36" s="1"/>
  <c r="F57" i="36" s="1"/>
  <c r="F19" i="36"/>
  <c r="F21" i="36" s="1"/>
  <c r="F23" i="36" s="1"/>
  <c r="F66" i="36" s="1"/>
  <c r="F97" i="36"/>
  <c r="F101" i="36" s="1"/>
  <c r="F99" i="36"/>
  <c r="F52" i="36"/>
  <c r="I15" i="36"/>
  <c r="H17" i="36"/>
  <c r="H16" i="36"/>
  <c r="E36" i="36"/>
  <c r="G18" i="36"/>
  <c r="G19" i="36"/>
  <c r="M11" i="19"/>
  <c r="M13" i="19"/>
  <c r="H17" i="19"/>
  <c r="L17" i="19" s="1"/>
  <c r="K17" i="19"/>
  <c r="H18" i="19"/>
  <c r="L18" i="19" s="1"/>
  <c r="K18" i="19"/>
  <c r="H15" i="19"/>
  <c r="L15" i="19" s="1"/>
  <c r="K15" i="19"/>
  <c r="H16" i="19"/>
  <c r="L16" i="19" s="1"/>
  <c r="K16" i="19"/>
  <c r="I14" i="13"/>
  <c r="H16" i="13"/>
  <c r="H32" i="13"/>
  <c r="G34" i="13"/>
  <c r="G35" i="13" s="1"/>
  <c r="G8" i="13"/>
  <c r="F10" i="13"/>
  <c r="H15" i="18" l="1"/>
  <c r="H16" i="18" s="1"/>
  <c r="G130" i="31"/>
  <c r="G34" i="18"/>
  <c r="G17" i="18"/>
  <c r="G19" i="18" s="1"/>
  <c r="G21" i="18" s="1"/>
  <c r="F36" i="29"/>
  <c r="F38" i="29" s="1"/>
  <c r="F46" i="29" s="1"/>
  <c r="G16" i="18"/>
  <c r="H17" i="31"/>
  <c r="H19" i="31" s="1"/>
  <c r="G17" i="29"/>
  <c r="G18" i="29" s="1"/>
  <c r="G34" i="29"/>
  <c r="G37" i="29" s="1"/>
  <c r="G40" i="29" s="1"/>
  <c r="G41" i="29" s="1"/>
  <c r="G16" i="29"/>
  <c r="E27" i="31"/>
  <c r="E81" i="31" s="1"/>
  <c r="H17" i="18"/>
  <c r="H18" i="18" s="1"/>
  <c r="H50" i="31"/>
  <c r="H53" i="31" s="1"/>
  <c r="H133" i="31" s="1"/>
  <c r="F57" i="18"/>
  <c r="F127" i="18"/>
  <c r="F133" i="18"/>
  <c r="F18" i="34"/>
  <c r="F25" i="34" s="1"/>
  <c r="F79" i="34" s="1"/>
  <c r="I15" i="31"/>
  <c r="I17" i="31" s="1"/>
  <c r="I18" i="31" s="1"/>
  <c r="I15" i="18"/>
  <c r="I50" i="18" s="1"/>
  <c r="G52" i="31"/>
  <c r="G54" i="31" s="1"/>
  <c r="G129" i="31" s="1"/>
  <c r="F130" i="18"/>
  <c r="F127" i="27"/>
  <c r="F56" i="27"/>
  <c r="F57" i="27" s="1"/>
  <c r="F130" i="27"/>
  <c r="F133" i="27"/>
  <c r="F127" i="25"/>
  <c r="F130" i="25"/>
  <c r="F56" i="25"/>
  <c r="F57" i="25" s="1"/>
  <c r="F133" i="25"/>
  <c r="G56" i="31"/>
  <c r="G57" i="31" s="1"/>
  <c r="H50" i="18"/>
  <c r="H53" i="18" s="1"/>
  <c r="G34" i="25"/>
  <c r="G37" i="25" s="1"/>
  <c r="G40" i="25" s="1"/>
  <c r="G41" i="25" s="1"/>
  <c r="G50" i="25"/>
  <c r="G53" i="25" s="1"/>
  <c r="G16" i="27"/>
  <c r="G50" i="27"/>
  <c r="G53" i="27" s="1"/>
  <c r="G50" i="34"/>
  <c r="G53" i="34" s="1"/>
  <c r="G133" i="31"/>
  <c r="H15" i="34"/>
  <c r="H50" i="34" s="1"/>
  <c r="F57" i="34"/>
  <c r="G16" i="34"/>
  <c r="F127" i="34"/>
  <c r="F133" i="34"/>
  <c r="G17" i="34"/>
  <c r="G19" i="34" s="1"/>
  <c r="G34" i="34"/>
  <c r="G37" i="34" s="1"/>
  <c r="G40" i="34" s="1"/>
  <c r="G41" i="34" s="1"/>
  <c r="F130" i="34"/>
  <c r="F36" i="34"/>
  <c r="F42" i="34" s="1"/>
  <c r="E38" i="34"/>
  <c r="E46" i="34" s="1"/>
  <c r="E44" i="34" s="1"/>
  <c r="H18" i="31"/>
  <c r="H25" i="31" s="1"/>
  <c r="E129" i="31"/>
  <c r="E135" i="31"/>
  <c r="E62" i="31"/>
  <c r="E60" i="31" s="1"/>
  <c r="F28" i="31"/>
  <c r="F94" i="31" s="1"/>
  <c r="F97" i="31" s="1"/>
  <c r="F101" i="31" s="1"/>
  <c r="F21" i="31"/>
  <c r="F23" i="31" s="1"/>
  <c r="G21" i="31"/>
  <c r="G23" i="31" s="1"/>
  <c r="G66" i="31" s="1"/>
  <c r="G68" i="31" s="1"/>
  <c r="E25" i="34"/>
  <c r="E27" i="34" s="1"/>
  <c r="F58" i="31"/>
  <c r="G58" i="31" s="1"/>
  <c r="F36" i="31"/>
  <c r="F42" i="31" s="1"/>
  <c r="E54" i="34"/>
  <c r="E62" i="34" s="1"/>
  <c r="E60" i="34" s="1"/>
  <c r="E79" i="18"/>
  <c r="E82" i="18" s="1"/>
  <c r="E86" i="18" s="1"/>
  <c r="E58" i="23"/>
  <c r="F25" i="18"/>
  <c r="F79" i="18" s="1"/>
  <c r="F84" i="18" s="1"/>
  <c r="G17" i="27"/>
  <c r="G19" i="27" s="1"/>
  <c r="G50" i="23"/>
  <c r="G53" i="23" s="1"/>
  <c r="G34" i="23"/>
  <c r="G37" i="23" s="1"/>
  <c r="G40" i="23" s="1"/>
  <c r="G41" i="23" s="1"/>
  <c r="E28" i="18"/>
  <c r="E94" i="18" s="1"/>
  <c r="E99" i="18" s="1"/>
  <c r="G56" i="18"/>
  <c r="F36" i="23"/>
  <c r="F42" i="23" s="1"/>
  <c r="H15" i="23"/>
  <c r="H50" i="23" s="1"/>
  <c r="H53" i="23" s="1"/>
  <c r="G16" i="23"/>
  <c r="E54" i="18"/>
  <c r="E135" i="18" s="1"/>
  <c r="F18" i="23"/>
  <c r="F28" i="23" s="1"/>
  <c r="F94" i="23" s="1"/>
  <c r="F21" i="18"/>
  <c r="F23" i="18" s="1"/>
  <c r="F52" i="18"/>
  <c r="F54" i="18" s="1"/>
  <c r="F62" i="18" s="1"/>
  <c r="G130" i="18"/>
  <c r="H15" i="27"/>
  <c r="G133" i="18"/>
  <c r="G34" i="27"/>
  <c r="G37" i="27" s="1"/>
  <c r="G40" i="27" s="1"/>
  <c r="G41" i="27" s="1"/>
  <c r="E38" i="23"/>
  <c r="E46" i="23" s="1"/>
  <c r="E44" i="23" s="1"/>
  <c r="F57" i="29"/>
  <c r="E42" i="18"/>
  <c r="F42" i="18" s="1"/>
  <c r="E38" i="18"/>
  <c r="E46" i="18" s="1"/>
  <c r="E44" i="18" s="1"/>
  <c r="E36" i="27"/>
  <c r="E21" i="27"/>
  <c r="E23" i="27" s="1"/>
  <c r="E66" i="27" s="1"/>
  <c r="E52" i="27"/>
  <c r="E28" i="27"/>
  <c r="E25" i="27"/>
  <c r="F19" i="27"/>
  <c r="F18" i="27"/>
  <c r="E28" i="29"/>
  <c r="E25" i="29"/>
  <c r="G16" i="25"/>
  <c r="G17" i="25"/>
  <c r="H15" i="25"/>
  <c r="F52" i="23"/>
  <c r="F52" i="29"/>
  <c r="F54" i="29" s="1"/>
  <c r="F135" i="29" s="1"/>
  <c r="E52" i="25"/>
  <c r="E21" i="25"/>
  <c r="E23" i="25" s="1"/>
  <c r="E66" i="25" s="1"/>
  <c r="E36" i="29"/>
  <c r="E52" i="29"/>
  <c r="E21" i="29"/>
  <c r="E23" i="29" s="1"/>
  <c r="E66" i="29" s="1"/>
  <c r="E69" i="29" s="1"/>
  <c r="E72" i="29" s="1"/>
  <c r="E73" i="29" s="1"/>
  <c r="F19" i="25"/>
  <c r="F21" i="25" s="1"/>
  <c r="F23" i="25" s="1"/>
  <c r="F66" i="25" s="1"/>
  <c r="F18" i="25"/>
  <c r="E28" i="25"/>
  <c r="E36" i="25"/>
  <c r="G133" i="29"/>
  <c r="G127" i="29"/>
  <c r="G130" i="29"/>
  <c r="G56" i="29"/>
  <c r="H16" i="29"/>
  <c r="H53" i="29"/>
  <c r="H17" i="29"/>
  <c r="I15" i="29"/>
  <c r="I50" i="29" s="1"/>
  <c r="F28" i="29"/>
  <c r="F94" i="29" s="1"/>
  <c r="F25" i="29"/>
  <c r="F79" i="29" s="1"/>
  <c r="F21" i="29"/>
  <c r="F23" i="29" s="1"/>
  <c r="F66" i="29" s="1"/>
  <c r="F57" i="23"/>
  <c r="E66" i="34"/>
  <c r="I39" i="34"/>
  <c r="E94" i="34"/>
  <c r="E30" i="34"/>
  <c r="F21" i="34"/>
  <c r="F23" i="34" s="1"/>
  <c r="F66" i="34" s="1"/>
  <c r="F52" i="34"/>
  <c r="E97" i="31"/>
  <c r="E101" i="31" s="1"/>
  <c r="E99" i="31"/>
  <c r="G99" i="31"/>
  <c r="G97" i="31"/>
  <c r="G101" i="31" s="1"/>
  <c r="F82" i="31"/>
  <c r="F86" i="31" s="1"/>
  <c r="F84" i="31"/>
  <c r="E96" i="31"/>
  <c r="F135" i="31"/>
  <c r="F129" i="31"/>
  <c r="F132" i="31"/>
  <c r="F62" i="31"/>
  <c r="I39" i="31"/>
  <c r="H34" i="31"/>
  <c r="G37" i="31"/>
  <c r="G40" i="31" s="1"/>
  <c r="G41" i="31" s="1"/>
  <c r="G36" i="31"/>
  <c r="E109" i="31"/>
  <c r="E71" i="31"/>
  <c r="E69" i="31"/>
  <c r="E72" i="31" s="1"/>
  <c r="E73" i="31" s="1"/>
  <c r="E68" i="31"/>
  <c r="E84" i="31"/>
  <c r="E82" i="31"/>
  <c r="E86" i="31" s="1"/>
  <c r="G82" i="31"/>
  <c r="G86" i="31" s="1"/>
  <c r="G84" i="31"/>
  <c r="H21" i="31"/>
  <c r="I39" i="29"/>
  <c r="H34" i="29"/>
  <c r="J39" i="27"/>
  <c r="I39" i="25"/>
  <c r="E66" i="23"/>
  <c r="G19" i="23"/>
  <c r="G18" i="23"/>
  <c r="E94" i="23"/>
  <c r="E30" i="23"/>
  <c r="E79" i="23"/>
  <c r="E27" i="23"/>
  <c r="I39" i="23"/>
  <c r="F21" i="23"/>
  <c r="F23" i="23" s="1"/>
  <c r="F66" i="23" s="1"/>
  <c r="E135" i="23"/>
  <c r="E129" i="23"/>
  <c r="E132" i="23"/>
  <c r="E62" i="23"/>
  <c r="E60" i="23" s="1"/>
  <c r="F97" i="18"/>
  <c r="F101" i="18" s="1"/>
  <c r="F99" i="18"/>
  <c r="E66" i="18"/>
  <c r="G37" i="18"/>
  <c r="G40" i="18" s="1"/>
  <c r="G41" i="18" s="1"/>
  <c r="H34" i="18"/>
  <c r="H37" i="18" s="1"/>
  <c r="H40" i="18" s="1"/>
  <c r="I39" i="18"/>
  <c r="G36" i="36"/>
  <c r="G38" i="36" s="1"/>
  <c r="G46" i="36" s="1"/>
  <c r="E54" i="36"/>
  <c r="E62" i="36" s="1"/>
  <c r="E60" i="36" s="1"/>
  <c r="E82" i="36"/>
  <c r="E86" i="36" s="1"/>
  <c r="E84" i="36"/>
  <c r="F82" i="36"/>
  <c r="F86" i="36" s="1"/>
  <c r="F109" i="36"/>
  <c r="F84" i="36"/>
  <c r="E27" i="36"/>
  <c r="F27" i="36" s="1"/>
  <c r="G28" i="36"/>
  <c r="G94" i="36" s="1"/>
  <c r="G25" i="36"/>
  <c r="G79" i="36" s="1"/>
  <c r="F127" i="36"/>
  <c r="G133" i="36"/>
  <c r="G127" i="36"/>
  <c r="G56" i="36"/>
  <c r="G57" i="36" s="1"/>
  <c r="G130" i="36"/>
  <c r="F130" i="36"/>
  <c r="F133" i="36"/>
  <c r="G41" i="36"/>
  <c r="H41" i="36" s="1"/>
  <c r="M15" i="19"/>
  <c r="M17" i="19"/>
  <c r="F36" i="36"/>
  <c r="F38" i="36" s="1"/>
  <c r="F46" i="36" s="1"/>
  <c r="H19" i="36"/>
  <c r="H18" i="36"/>
  <c r="F58" i="36"/>
  <c r="F54" i="36"/>
  <c r="E99" i="36"/>
  <c r="E97" i="36"/>
  <c r="E101" i="36" s="1"/>
  <c r="H53" i="36"/>
  <c r="F30" i="36"/>
  <c r="F96" i="36" s="1"/>
  <c r="I17" i="36"/>
  <c r="I16" i="36"/>
  <c r="J15" i="36"/>
  <c r="I34" i="36"/>
  <c r="E23" i="36"/>
  <c r="G21" i="36"/>
  <c r="G52" i="36"/>
  <c r="E42" i="36"/>
  <c r="E38" i="36"/>
  <c r="E46" i="36" s="1"/>
  <c r="E44" i="36" s="1"/>
  <c r="M16" i="19"/>
  <c r="M18" i="19"/>
  <c r="H21" i="19"/>
  <c r="L21" i="19" s="1"/>
  <c r="K21" i="19"/>
  <c r="M21" i="19" s="1"/>
  <c r="K20" i="19"/>
  <c r="H20" i="19"/>
  <c r="L20" i="19" s="1"/>
  <c r="H19" i="19"/>
  <c r="L19" i="19" s="1"/>
  <c r="K19" i="19"/>
  <c r="M19" i="19" s="1"/>
  <c r="K22" i="19"/>
  <c r="H22" i="19"/>
  <c r="L22" i="19" s="1"/>
  <c r="J14" i="13"/>
  <c r="I16" i="13"/>
  <c r="I32" i="13"/>
  <c r="H34" i="13"/>
  <c r="H35" i="13" s="1"/>
  <c r="H8" i="13"/>
  <c r="G10" i="13"/>
  <c r="D27" i="13"/>
  <c r="E33" i="13"/>
  <c r="D33" i="13"/>
  <c r="E21" i="13"/>
  <c r="D21" i="13"/>
  <c r="E15" i="13"/>
  <c r="D15" i="13"/>
  <c r="D12" i="13"/>
  <c r="F27" i="31" l="1"/>
  <c r="G52" i="18"/>
  <c r="G54" i="18" s="1"/>
  <c r="G62" i="18" s="1"/>
  <c r="G60" i="18" s="1"/>
  <c r="H19" i="18"/>
  <c r="H21" i="18" s="1"/>
  <c r="G62" i="31"/>
  <c r="G60" i="31" s="1"/>
  <c r="G19" i="29"/>
  <c r="G21" i="29" s="1"/>
  <c r="G23" i="29" s="1"/>
  <c r="G66" i="29" s="1"/>
  <c r="G69" i="29" s="1"/>
  <c r="G72" i="29" s="1"/>
  <c r="H56" i="31"/>
  <c r="G36" i="18"/>
  <c r="G38" i="18" s="1"/>
  <c r="G46" i="18" s="1"/>
  <c r="G44" i="18" s="1"/>
  <c r="G18" i="18"/>
  <c r="G25" i="18" s="1"/>
  <c r="G79" i="18" s="1"/>
  <c r="G84" i="18" s="1"/>
  <c r="H130" i="31"/>
  <c r="H52" i="31"/>
  <c r="H58" i="31" s="1"/>
  <c r="H34" i="34"/>
  <c r="H37" i="34" s="1"/>
  <c r="H40" i="34" s="1"/>
  <c r="H41" i="34" s="1"/>
  <c r="H127" i="31"/>
  <c r="I15" i="34"/>
  <c r="I50" i="34" s="1"/>
  <c r="I53" i="34" s="1"/>
  <c r="G57" i="18"/>
  <c r="J15" i="31"/>
  <c r="J17" i="31" s="1"/>
  <c r="J19" i="31" s="1"/>
  <c r="H57" i="31"/>
  <c r="I19" i="31"/>
  <c r="I21" i="31" s="1"/>
  <c r="I22" i="31" s="1"/>
  <c r="I16" i="31"/>
  <c r="I16" i="18"/>
  <c r="F28" i="34"/>
  <c r="F94" i="34" s="1"/>
  <c r="F109" i="34" s="1"/>
  <c r="F112" i="34" s="1"/>
  <c r="F116" i="34" s="1"/>
  <c r="G135" i="31"/>
  <c r="I17" i="18"/>
  <c r="I18" i="18" s="1"/>
  <c r="G132" i="31"/>
  <c r="J15" i="18"/>
  <c r="J50" i="18" s="1"/>
  <c r="J53" i="18" s="1"/>
  <c r="I50" i="31"/>
  <c r="I53" i="31" s="1"/>
  <c r="I133" i="31" s="1"/>
  <c r="G130" i="34"/>
  <c r="G56" i="34"/>
  <c r="G57" i="34" s="1"/>
  <c r="G127" i="34"/>
  <c r="G133" i="34"/>
  <c r="H130" i="18"/>
  <c r="H56" i="18"/>
  <c r="H133" i="18"/>
  <c r="H127" i="18"/>
  <c r="H34" i="25"/>
  <c r="H37" i="25" s="1"/>
  <c r="H40" i="25" s="1"/>
  <c r="H41" i="25" s="1"/>
  <c r="H50" i="25"/>
  <c r="H17" i="27"/>
  <c r="H19" i="27" s="1"/>
  <c r="H21" i="27" s="1"/>
  <c r="H23" i="27" s="1"/>
  <c r="H50" i="27"/>
  <c r="H53" i="27" s="1"/>
  <c r="H127" i="27" s="1"/>
  <c r="G18" i="34"/>
  <c r="G25" i="34" s="1"/>
  <c r="H17" i="34"/>
  <c r="H18" i="34" s="1"/>
  <c r="E79" i="34"/>
  <c r="E109" i="34" s="1"/>
  <c r="H16" i="34"/>
  <c r="E132" i="36"/>
  <c r="E129" i="36"/>
  <c r="E135" i="36"/>
  <c r="F99" i="31"/>
  <c r="G36" i="34"/>
  <c r="G42" i="34" s="1"/>
  <c r="F38" i="34"/>
  <c r="F46" i="34" s="1"/>
  <c r="F44" i="34" s="1"/>
  <c r="G69" i="31"/>
  <c r="G72" i="31" s="1"/>
  <c r="H28" i="31"/>
  <c r="H94" i="31" s="1"/>
  <c r="H99" i="31" s="1"/>
  <c r="F30" i="31"/>
  <c r="G30" i="31" s="1"/>
  <c r="F60" i="31"/>
  <c r="G71" i="31"/>
  <c r="G114" i="31" s="1"/>
  <c r="G109" i="31"/>
  <c r="G112" i="31" s="1"/>
  <c r="G116" i="31" s="1"/>
  <c r="E132" i="34"/>
  <c r="F38" i="31"/>
  <c r="F46" i="31" s="1"/>
  <c r="F44" i="31" s="1"/>
  <c r="E135" i="34"/>
  <c r="E129" i="34"/>
  <c r="G52" i="34"/>
  <c r="G54" i="34" s="1"/>
  <c r="E114" i="31"/>
  <c r="E27" i="18"/>
  <c r="E81" i="18" s="1"/>
  <c r="E83" i="18" s="1"/>
  <c r="E93" i="18" s="1"/>
  <c r="E91" i="18" s="1"/>
  <c r="F25" i="23"/>
  <c r="F79" i="23" s="1"/>
  <c r="F84" i="23" s="1"/>
  <c r="F38" i="23"/>
  <c r="F46" i="23" s="1"/>
  <c r="F44" i="23" s="1"/>
  <c r="F58" i="23"/>
  <c r="E97" i="18"/>
  <c r="E101" i="18" s="1"/>
  <c r="E103" i="18" s="1"/>
  <c r="F103" i="18" s="1"/>
  <c r="E30" i="18"/>
  <c r="E96" i="18" s="1"/>
  <c r="E104" i="18" s="1"/>
  <c r="F82" i="18"/>
  <c r="F86" i="18" s="1"/>
  <c r="G18" i="27"/>
  <c r="G25" i="27" s="1"/>
  <c r="G79" i="27" s="1"/>
  <c r="H17" i="23"/>
  <c r="H18" i="23" s="1"/>
  <c r="I15" i="23"/>
  <c r="I17" i="23" s="1"/>
  <c r="H16" i="23"/>
  <c r="E132" i="18"/>
  <c r="E62" i="18"/>
  <c r="E60" i="18" s="1"/>
  <c r="G36" i="23"/>
  <c r="G42" i="23" s="1"/>
  <c r="E129" i="18"/>
  <c r="E84" i="18"/>
  <c r="H34" i="23"/>
  <c r="H37" i="23" s="1"/>
  <c r="H40" i="23" s="1"/>
  <c r="H41" i="23" s="1"/>
  <c r="F132" i="18"/>
  <c r="G36" i="27"/>
  <c r="G38" i="27" s="1"/>
  <c r="G46" i="27" s="1"/>
  <c r="F129" i="18"/>
  <c r="F58" i="18"/>
  <c r="G58" i="18" s="1"/>
  <c r="F135" i="18"/>
  <c r="H34" i="27"/>
  <c r="H37" i="27" s="1"/>
  <c r="H40" i="27" s="1"/>
  <c r="H41" i="27" s="1"/>
  <c r="I15" i="27"/>
  <c r="I50" i="27" s="1"/>
  <c r="H16" i="27"/>
  <c r="G133" i="27"/>
  <c r="G56" i="27"/>
  <c r="G57" i="27" s="1"/>
  <c r="G127" i="27"/>
  <c r="G130" i="27"/>
  <c r="G57" i="29"/>
  <c r="G21" i="27"/>
  <c r="G23" i="27" s="1"/>
  <c r="G66" i="27" s="1"/>
  <c r="E68" i="29"/>
  <c r="E74" i="29" s="1"/>
  <c r="G52" i="27"/>
  <c r="G54" i="27" s="1"/>
  <c r="G132" i="27" s="1"/>
  <c r="E42" i="27"/>
  <c r="E38" i="27"/>
  <c r="E46" i="27" s="1"/>
  <c r="E44" i="27" s="1"/>
  <c r="F129" i="29"/>
  <c r="E94" i="27"/>
  <c r="E30" i="27"/>
  <c r="F62" i="29"/>
  <c r="F44" i="18"/>
  <c r="F28" i="27"/>
  <c r="F94" i="27" s="1"/>
  <c r="F25" i="27"/>
  <c r="F79" i="27" s="1"/>
  <c r="E58" i="27"/>
  <c r="E54" i="27"/>
  <c r="F132" i="29"/>
  <c r="F36" i="27"/>
  <c r="F38" i="27" s="1"/>
  <c r="F46" i="27" s="1"/>
  <c r="F52" i="27"/>
  <c r="F21" i="27"/>
  <c r="F23" i="27" s="1"/>
  <c r="F66" i="27" s="1"/>
  <c r="E27" i="27"/>
  <c r="E79" i="27"/>
  <c r="F71" i="25"/>
  <c r="F69" i="25"/>
  <c r="F72" i="25" s="1"/>
  <c r="F68" i="25"/>
  <c r="F70" i="25" s="1"/>
  <c r="F78" i="25" s="1"/>
  <c r="E71" i="29"/>
  <c r="E79" i="25"/>
  <c r="E27" i="25"/>
  <c r="E54" i="29"/>
  <c r="E58" i="29"/>
  <c r="F58" i="29" s="1"/>
  <c r="G133" i="25"/>
  <c r="G127" i="25"/>
  <c r="G130" i="25"/>
  <c r="G56" i="25"/>
  <c r="G57" i="25" s="1"/>
  <c r="F28" i="25"/>
  <c r="F94" i="25" s="1"/>
  <c r="F25" i="25"/>
  <c r="F79" i="25" s="1"/>
  <c r="H17" i="25"/>
  <c r="H16" i="25"/>
  <c r="I15" i="25"/>
  <c r="I50" i="25" s="1"/>
  <c r="G18" i="25"/>
  <c r="G19" i="25"/>
  <c r="G21" i="25" s="1"/>
  <c r="G23" i="25" s="1"/>
  <c r="G66" i="25" s="1"/>
  <c r="E94" i="25"/>
  <c r="E30" i="25"/>
  <c r="E42" i="29"/>
  <c r="F42" i="29" s="1"/>
  <c r="E38" i="29"/>
  <c r="E46" i="29" s="1"/>
  <c r="E44" i="29" s="1"/>
  <c r="E79" i="29"/>
  <c r="E27" i="29"/>
  <c r="F54" i="23"/>
  <c r="F62" i="23" s="1"/>
  <c r="F60" i="23" s="1"/>
  <c r="E30" i="29"/>
  <c r="E94" i="29"/>
  <c r="E58" i="25"/>
  <c r="E54" i="25"/>
  <c r="E42" i="25"/>
  <c r="E38" i="25"/>
  <c r="E46" i="25" s="1"/>
  <c r="E44" i="25" s="1"/>
  <c r="F52" i="25"/>
  <c r="F36" i="25"/>
  <c r="F109" i="29"/>
  <c r="F112" i="29" s="1"/>
  <c r="F116" i="29" s="1"/>
  <c r="F68" i="29"/>
  <c r="F70" i="29" s="1"/>
  <c r="F78" i="29" s="1"/>
  <c r="F71" i="29"/>
  <c r="F69" i="29"/>
  <c r="F72" i="29" s="1"/>
  <c r="F73" i="29" s="1"/>
  <c r="H18" i="29"/>
  <c r="H19" i="29"/>
  <c r="H56" i="29"/>
  <c r="H133" i="29"/>
  <c r="H130" i="29"/>
  <c r="H127" i="29"/>
  <c r="F97" i="29"/>
  <c r="F101" i="29" s="1"/>
  <c r="F99" i="29"/>
  <c r="G25" i="29"/>
  <c r="G79" i="29" s="1"/>
  <c r="G28" i="29"/>
  <c r="G94" i="29" s="1"/>
  <c r="I17" i="29"/>
  <c r="I53" i="29"/>
  <c r="J15" i="29"/>
  <c r="J50" i="29" s="1"/>
  <c r="I16" i="29"/>
  <c r="F84" i="29"/>
  <c r="F82" i="29"/>
  <c r="F86" i="29" s="1"/>
  <c r="G21" i="34"/>
  <c r="J39" i="34"/>
  <c r="H53" i="34"/>
  <c r="E96" i="34"/>
  <c r="F82" i="34"/>
  <c r="F86" i="34" s="1"/>
  <c r="F84" i="34"/>
  <c r="F69" i="34"/>
  <c r="F72" i="34" s="1"/>
  <c r="F71" i="34"/>
  <c r="F68" i="34"/>
  <c r="E97" i="34"/>
  <c r="E101" i="34" s="1"/>
  <c r="E99" i="34"/>
  <c r="F58" i="34"/>
  <c r="F54" i="34"/>
  <c r="E71" i="34"/>
  <c r="E69" i="34"/>
  <c r="E72" i="34" s="1"/>
  <c r="E73" i="34" s="1"/>
  <c r="E68" i="34"/>
  <c r="E81" i="34"/>
  <c r="F27" i="34"/>
  <c r="F81" i="31"/>
  <c r="G27" i="31"/>
  <c r="E104" i="31"/>
  <c r="E98" i="31"/>
  <c r="E108" i="31" s="1"/>
  <c r="E106" i="31" s="1"/>
  <c r="F66" i="31"/>
  <c r="E83" i="31"/>
  <c r="E93" i="31" s="1"/>
  <c r="E91" i="31" s="1"/>
  <c r="E89" i="31"/>
  <c r="E111" i="31"/>
  <c r="E113" i="31" s="1"/>
  <c r="E123" i="31" s="1"/>
  <c r="E121" i="31" s="1"/>
  <c r="E74" i="31"/>
  <c r="E70" i="31"/>
  <c r="E78" i="31" s="1"/>
  <c r="E76" i="31" s="1"/>
  <c r="I25" i="31"/>
  <c r="I79" i="31" s="1"/>
  <c r="I28" i="31"/>
  <c r="I130" i="31"/>
  <c r="E103" i="31"/>
  <c r="F103" i="31" s="1"/>
  <c r="G103" i="31" s="1"/>
  <c r="H37" i="31"/>
  <c r="H40" i="31" s="1"/>
  <c r="H41" i="31" s="1"/>
  <c r="H36" i="31"/>
  <c r="H79" i="31"/>
  <c r="H23" i="31"/>
  <c r="H66" i="31" s="1"/>
  <c r="E88" i="31"/>
  <c r="F88" i="31" s="1"/>
  <c r="G88" i="31" s="1"/>
  <c r="G42" i="31"/>
  <c r="G38" i="31"/>
  <c r="G46" i="31" s="1"/>
  <c r="J39" i="31"/>
  <c r="I34" i="31"/>
  <c r="I35" i="31" s="1"/>
  <c r="I8" i="31" s="1"/>
  <c r="E112" i="31"/>
  <c r="E116" i="31" s="1"/>
  <c r="G70" i="31"/>
  <c r="G78" i="31" s="1"/>
  <c r="I34" i="29"/>
  <c r="J39" i="29"/>
  <c r="H37" i="29"/>
  <c r="H40" i="29" s="1"/>
  <c r="H41" i="29" s="1"/>
  <c r="K39" i="27"/>
  <c r="E71" i="27"/>
  <c r="E69" i="27"/>
  <c r="E72" i="27" s="1"/>
  <c r="E73" i="27" s="1"/>
  <c r="E68" i="27"/>
  <c r="E71" i="25"/>
  <c r="E69" i="25"/>
  <c r="E72" i="25" s="1"/>
  <c r="E73" i="25" s="1"/>
  <c r="E68" i="25"/>
  <c r="J39" i="25"/>
  <c r="G25" i="23"/>
  <c r="G79" i="23" s="1"/>
  <c r="G28" i="23"/>
  <c r="J39" i="23"/>
  <c r="E97" i="23"/>
  <c r="E101" i="23" s="1"/>
  <c r="E99" i="23"/>
  <c r="F97" i="23"/>
  <c r="F101" i="23" s="1"/>
  <c r="F99" i="23"/>
  <c r="G21" i="23"/>
  <c r="G23" i="23" s="1"/>
  <c r="G66" i="23" s="1"/>
  <c r="H130" i="23"/>
  <c r="H127" i="23"/>
  <c r="H133" i="23"/>
  <c r="H56" i="23"/>
  <c r="G52" i="23"/>
  <c r="E109" i="23"/>
  <c r="E69" i="23"/>
  <c r="E72" i="23" s="1"/>
  <c r="E73" i="23" s="1"/>
  <c r="E71" i="23"/>
  <c r="E68" i="23"/>
  <c r="E81" i="23"/>
  <c r="F71" i="23"/>
  <c r="F69" i="23"/>
  <c r="F72" i="23" s="1"/>
  <c r="F68" i="23"/>
  <c r="E84" i="23"/>
  <c r="E82" i="23"/>
  <c r="E86" i="23" s="1"/>
  <c r="E96" i="23"/>
  <c r="F30" i="23"/>
  <c r="G130" i="23"/>
  <c r="G133" i="23"/>
  <c r="G127" i="23"/>
  <c r="G56" i="23"/>
  <c r="G57" i="23" s="1"/>
  <c r="G23" i="18"/>
  <c r="F66" i="18"/>
  <c r="G129" i="18"/>
  <c r="G132" i="18"/>
  <c r="G135" i="18"/>
  <c r="I53" i="18"/>
  <c r="I51" i="18"/>
  <c r="E88" i="18"/>
  <c r="H41" i="18"/>
  <c r="H52" i="18"/>
  <c r="I34" i="18"/>
  <c r="I37" i="18" s="1"/>
  <c r="I40" i="18" s="1"/>
  <c r="J39" i="18"/>
  <c r="E109" i="18"/>
  <c r="E71" i="18"/>
  <c r="E69" i="18"/>
  <c r="E72" i="18" s="1"/>
  <c r="E73" i="18" s="1"/>
  <c r="E68" i="18"/>
  <c r="H28" i="18"/>
  <c r="H94" i="18" s="1"/>
  <c r="H25" i="18"/>
  <c r="G84" i="36"/>
  <c r="G82" i="36"/>
  <c r="G86" i="36" s="1"/>
  <c r="E88" i="36"/>
  <c r="F88" i="36" s="1"/>
  <c r="F81" i="36"/>
  <c r="E81" i="36"/>
  <c r="H28" i="36"/>
  <c r="H94" i="36" s="1"/>
  <c r="H25" i="36"/>
  <c r="H79" i="36" s="1"/>
  <c r="G44" i="36"/>
  <c r="G27" i="36"/>
  <c r="I51" i="36"/>
  <c r="I35" i="36"/>
  <c r="I8" i="36" s="1"/>
  <c r="H36" i="36"/>
  <c r="H38" i="36" s="1"/>
  <c r="H46" i="36" s="1"/>
  <c r="H44" i="36" s="1"/>
  <c r="E66" i="36"/>
  <c r="E109" i="36" s="1"/>
  <c r="I53" i="36"/>
  <c r="I130" i="36" s="1"/>
  <c r="I37" i="36"/>
  <c r="I40" i="36" s="1"/>
  <c r="I41" i="36" s="1"/>
  <c r="I19" i="36"/>
  <c r="I20" i="36" s="1"/>
  <c r="I18" i="36"/>
  <c r="F69" i="36"/>
  <c r="F72" i="36" s="1"/>
  <c r="F112" i="36"/>
  <c r="F116" i="36" s="1"/>
  <c r="F71" i="36"/>
  <c r="F114" i="36" s="1"/>
  <c r="F68" i="36"/>
  <c r="H52" i="36"/>
  <c r="G58" i="36"/>
  <c r="G54" i="36"/>
  <c r="G30" i="36"/>
  <c r="G96" i="36" s="1"/>
  <c r="H133" i="36"/>
  <c r="H127" i="36"/>
  <c r="H130" i="36"/>
  <c r="H56" i="36"/>
  <c r="H57" i="36" s="1"/>
  <c r="G97" i="36"/>
  <c r="G101" i="36" s="1"/>
  <c r="G99" i="36"/>
  <c r="F135" i="36"/>
  <c r="F129" i="36"/>
  <c r="F132" i="36"/>
  <c r="F62" i="36"/>
  <c r="F60" i="36" s="1"/>
  <c r="H21" i="36"/>
  <c r="F42" i="36"/>
  <c r="J17" i="36"/>
  <c r="J16" i="36"/>
  <c r="K15" i="36"/>
  <c r="J34" i="36"/>
  <c r="E98" i="36"/>
  <c r="E108" i="36" s="1"/>
  <c r="E106" i="36" s="1"/>
  <c r="E104" i="36"/>
  <c r="E103" i="36"/>
  <c r="F103" i="36" s="1"/>
  <c r="F44" i="36"/>
  <c r="G23" i="36"/>
  <c r="M22" i="19"/>
  <c r="M20" i="19"/>
  <c r="H26" i="19"/>
  <c r="L26" i="19" s="1"/>
  <c r="K26" i="19"/>
  <c r="H25" i="19"/>
  <c r="L25" i="19" s="1"/>
  <c r="K25" i="19"/>
  <c r="H23" i="19"/>
  <c r="L23" i="19" s="1"/>
  <c r="K23" i="19"/>
  <c r="K24" i="19"/>
  <c r="H24" i="19"/>
  <c r="L24" i="19" s="1"/>
  <c r="K14" i="13"/>
  <c r="J16" i="13"/>
  <c r="J32" i="13"/>
  <c r="I34" i="13"/>
  <c r="I35" i="13" s="1"/>
  <c r="I8" i="13"/>
  <c r="H10" i="13"/>
  <c r="D11" i="13"/>
  <c r="E35" i="13"/>
  <c r="E36" i="13"/>
  <c r="F33" i="13"/>
  <c r="D36" i="13"/>
  <c r="D35" i="13"/>
  <c r="E27" i="13"/>
  <c r="D29" i="13"/>
  <c r="D30" i="13"/>
  <c r="D24" i="13"/>
  <c r="D23" i="13"/>
  <c r="E23" i="13"/>
  <c r="E24" i="13"/>
  <c r="F21" i="13"/>
  <c r="D18" i="13"/>
  <c r="D17" i="13"/>
  <c r="F15" i="13"/>
  <c r="E17" i="13"/>
  <c r="E18" i="13"/>
  <c r="E9" i="13"/>
  <c r="H36" i="18" l="1"/>
  <c r="G42" i="18"/>
  <c r="G68" i="29"/>
  <c r="G70" i="29" s="1"/>
  <c r="G78" i="29" s="1"/>
  <c r="G76" i="29" s="1"/>
  <c r="K15" i="31"/>
  <c r="K50" i="31" s="1"/>
  <c r="K53" i="31" s="1"/>
  <c r="K130" i="31" s="1"/>
  <c r="G71" i="29"/>
  <c r="G36" i="29"/>
  <c r="G38" i="29" s="1"/>
  <c r="G46" i="29" s="1"/>
  <c r="G44" i="29" s="1"/>
  <c r="G52" i="29"/>
  <c r="G58" i="29" s="1"/>
  <c r="G82" i="18"/>
  <c r="G86" i="18" s="1"/>
  <c r="I51" i="31"/>
  <c r="I9" i="31" s="1"/>
  <c r="H54" i="31"/>
  <c r="H62" i="31" s="1"/>
  <c r="H60" i="31" s="1"/>
  <c r="H57" i="18"/>
  <c r="G28" i="18"/>
  <c r="G94" i="18" s="1"/>
  <c r="G99" i="18" s="1"/>
  <c r="I17" i="34"/>
  <c r="I19" i="34" s="1"/>
  <c r="H19" i="34"/>
  <c r="H21" i="34" s="1"/>
  <c r="H23" i="34" s="1"/>
  <c r="H66" i="34" s="1"/>
  <c r="J15" i="34"/>
  <c r="J50" i="34" s="1"/>
  <c r="J53" i="34" s="1"/>
  <c r="L15" i="31"/>
  <c r="L50" i="31" s="1"/>
  <c r="L53" i="31" s="1"/>
  <c r="I16" i="34"/>
  <c r="I34" i="34"/>
  <c r="I35" i="34" s="1"/>
  <c r="I8" i="34" s="1"/>
  <c r="F97" i="34"/>
  <c r="F101" i="34" s="1"/>
  <c r="J16" i="18"/>
  <c r="G28" i="34"/>
  <c r="F30" i="34"/>
  <c r="F96" i="34" s="1"/>
  <c r="F99" i="34"/>
  <c r="F114" i="34" s="1"/>
  <c r="I20" i="31"/>
  <c r="I52" i="31"/>
  <c r="I54" i="31" s="1"/>
  <c r="I135" i="31" s="1"/>
  <c r="M9" i="31" s="1"/>
  <c r="J50" i="31"/>
  <c r="J53" i="31" s="1"/>
  <c r="J16" i="31"/>
  <c r="H18" i="27"/>
  <c r="H25" i="27" s="1"/>
  <c r="H79" i="27" s="1"/>
  <c r="H84" i="27" s="1"/>
  <c r="I127" i="31"/>
  <c r="I128" i="31" s="1"/>
  <c r="M4" i="31" s="1"/>
  <c r="J18" i="31"/>
  <c r="J28" i="31" s="1"/>
  <c r="J94" i="31" s="1"/>
  <c r="I56" i="31"/>
  <c r="I57" i="31" s="1"/>
  <c r="I19" i="18"/>
  <c r="I20" i="18" s="1"/>
  <c r="J17" i="18"/>
  <c r="J18" i="18" s="1"/>
  <c r="K15" i="18"/>
  <c r="K50" i="18" s="1"/>
  <c r="K53" i="18" s="1"/>
  <c r="E84" i="34"/>
  <c r="E114" i="34" s="1"/>
  <c r="E82" i="34"/>
  <c r="E86" i="34" s="1"/>
  <c r="E88" i="34" s="1"/>
  <c r="F88" i="34" s="1"/>
  <c r="G38" i="34"/>
  <c r="G46" i="34" s="1"/>
  <c r="G44" i="34" s="1"/>
  <c r="H97" i="31"/>
  <c r="H101" i="31" s="1"/>
  <c r="H103" i="31" s="1"/>
  <c r="F96" i="31"/>
  <c r="F104" i="31" s="1"/>
  <c r="G44" i="31"/>
  <c r="G58" i="34"/>
  <c r="F73" i="34"/>
  <c r="E89" i="18"/>
  <c r="F27" i="18"/>
  <c r="G27" i="18" s="1"/>
  <c r="H27" i="18" s="1"/>
  <c r="F82" i="23"/>
  <c r="F86" i="23" s="1"/>
  <c r="F109" i="23"/>
  <c r="F112" i="23" s="1"/>
  <c r="F116" i="23" s="1"/>
  <c r="F27" i="23"/>
  <c r="G27" i="23" s="1"/>
  <c r="F30" i="18"/>
  <c r="G129" i="27"/>
  <c r="E98" i="18"/>
  <c r="E108" i="18" s="1"/>
  <c r="E106" i="18" s="1"/>
  <c r="F88" i="18"/>
  <c r="G28" i="27"/>
  <c r="G94" i="27" s="1"/>
  <c r="G99" i="27" s="1"/>
  <c r="E114" i="18"/>
  <c r="I34" i="23"/>
  <c r="I37" i="23" s="1"/>
  <c r="I40" i="23" s="1"/>
  <c r="I41" i="23" s="1"/>
  <c r="J15" i="23"/>
  <c r="J17" i="23" s="1"/>
  <c r="I16" i="23"/>
  <c r="G38" i="23"/>
  <c r="G46" i="23" s="1"/>
  <c r="G44" i="23" s="1"/>
  <c r="I50" i="23"/>
  <c r="I51" i="23" s="1"/>
  <c r="I9" i="23" s="1"/>
  <c r="H19" i="23"/>
  <c r="H52" i="23" s="1"/>
  <c r="H54" i="23" s="1"/>
  <c r="F60" i="18"/>
  <c r="F132" i="23"/>
  <c r="F129" i="23"/>
  <c r="F135" i="23"/>
  <c r="H28" i="27"/>
  <c r="H94" i="27" s="1"/>
  <c r="H99" i="27" s="1"/>
  <c r="H57" i="29"/>
  <c r="F73" i="25"/>
  <c r="I16" i="27"/>
  <c r="J15" i="27"/>
  <c r="J50" i="27" s="1"/>
  <c r="I53" i="27"/>
  <c r="I17" i="27"/>
  <c r="I34" i="27"/>
  <c r="I37" i="27" s="1"/>
  <c r="I40" i="27" s="1"/>
  <c r="I41" i="27" s="1"/>
  <c r="H56" i="27"/>
  <c r="H57" i="27" s="1"/>
  <c r="F44" i="27"/>
  <c r="H130" i="27"/>
  <c r="G62" i="27"/>
  <c r="H133" i="27"/>
  <c r="G135" i="27"/>
  <c r="H52" i="27"/>
  <c r="H54" i="27" s="1"/>
  <c r="H132" i="27" s="1"/>
  <c r="H36" i="27"/>
  <c r="H38" i="27" s="1"/>
  <c r="H46" i="27" s="1"/>
  <c r="H44" i="27" s="1"/>
  <c r="E70" i="29"/>
  <c r="E78" i="29" s="1"/>
  <c r="E76" i="29" s="1"/>
  <c r="G52" i="25"/>
  <c r="G54" i="25" s="1"/>
  <c r="G135" i="25" s="1"/>
  <c r="G36" i="25"/>
  <c r="G38" i="25" s="1"/>
  <c r="G46" i="25" s="1"/>
  <c r="E109" i="29"/>
  <c r="E112" i="29" s="1"/>
  <c r="E116" i="29" s="1"/>
  <c r="E118" i="29" s="1"/>
  <c r="F118" i="29" s="1"/>
  <c r="F71" i="27"/>
  <c r="F109" i="27"/>
  <c r="F112" i="27" s="1"/>
  <c r="F116" i="27" s="1"/>
  <c r="F69" i="27"/>
  <c r="F72" i="27" s="1"/>
  <c r="F73" i="27" s="1"/>
  <c r="F68" i="27"/>
  <c r="F70" i="27" s="1"/>
  <c r="F78" i="27" s="1"/>
  <c r="E97" i="27"/>
  <c r="E101" i="27" s="1"/>
  <c r="E103" i="27" s="1"/>
  <c r="E99" i="27"/>
  <c r="G44" i="27"/>
  <c r="F58" i="27"/>
  <c r="G58" i="27" s="1"/>
  <c r="F54" i="27"/>
  <c r="E132" i="27"/>
  <c r="E135" i="27"/>
  <c r="E62" i="27"/>
  <c r="E60" i="27" s="1"/>
  <c r="E129" i="27"/>
  <c r="F27" i="27"/>
  <c r="E81" i="27"/>
  <c r="F84" i="27"/>
  <c r="F82" i="27"/>
  <c r="F86" i="27" s="1"/>
  <c r="E109" i="27"/>
  <c r="E112" i="27" s="1"/>
  <c r="E116" i="27" s="1"/>
  <c r="F42" i="27"/>
  <c r="G42" i="27" s="1"/>
  <c r="F99" i="27"/>
  <c r="F97" i="27"/>
  <c r="F101" i="27" s="1"/>
  <c r="E84" i="27"/>
  <c r="E82" i="27"/>
  <c r="E86" i="27" s="1"/>
  <c r="E88" i="27" s="1"/>
  <c r="F30" i="27"/>
  <c r="E96" i="27"/>
  <c r="G73" i="29"/>
  <c r="I9" i="18"/>
  <c r="F44" i="29"/>
  <c r="F82" i="25"/>
  <c r="F86" i="25" s="1"/>
  <c r="F84" i="25"/>
  <c r="I16" i="25"/>
  <c r="I17" i="25"/>
  <c r="J15" i="25"/>
  <c r="I53" i="25"/>
  <c r="I127" i="25" s="1"/>
  <c r="E96" i="29"/>
  <c r="F30" i="29"/>
  <c r="F96" i="29" s="1"/>
  <c r="F98" i="29" s="1"/>
  <c r="F108" i="29" s="1"/>
  <c r="E96" i="25"/>
  <c r="F30" i="25"/>
  <c r="H18" i="25"/>
  <c r="H19" i="25"/>
  <c r="F42" i="25"/>
  <c r="F38" i="25"/>
  <c r="F46" i="25" s="1"/>
  <c r="F44" i="25" s="1"/>
  <c r="F99" i="25"/>
  <c r="F97" i="25"/>
  <c r="F101" i="25" s="1"/>
  <c r="E82" i="25"/>
  <c r="E86" i="25" s="1"/>
  <c r="E88" i="25" s="1"/>
  <c r="E84" i="25"/>
  <c r="E97" i="29"/>
  <c r="E101" i="29" s="1"/>
  <c r="E103" i="29" s="1"/>
  <c r="F103" i="29" s="1"/>
  <c r="E99" i="29"/>
  <c r="F58" i="25"/>
  <c r="F54" i="25"/>
  <c r="E97" i="25"/>
  <c r="E101" i="25" s="1"/>
  <c r="E103" i="25" s="1"/>
  <c r="E99" i="25"/>
  <c r="H53" i="25"/>
  <c r="E109" i="25"/>
  <c r="E112" i="25" s="1"/>
  <c r="E116" i="25" s="1"/>
  <c r="F27" i="29"/>
  <c r="E81" i="29"/>
  <c r="E135" i="29"/>
  <c r="E129" i="29"/>
  <c r="E132" i="29"/>
  <c r="E62" i="29"/>
  <c r="F109" i="25"/>
  <c r="F112" i="25" s="1"/>
  <c r="F116" i="25" s="1"/>
  <c r="I34" i="25"/>
  <c r="I37" i="25" s="1"/>
  <c r="I40" i="25" s="1"/>
  <c r="I41" i="25" s="1"/>
  <c r="E62" i="25"/>
  <c r="E60" i="25" s="1"/>
  <c r="E129" i="25"/>
  <c r="E135" i="25"/>
  <c r="E132" i="25"/>
  <c r="E82" i="29"/>
  <c r="E86" i="29" s="1"/>
  <c r="E88" i="29" s="1"/>
  <c r="F88" i="29" s="1"/>
  <c r="E84" i="29"/>
  <c r="G28" i="25"/>
  <c r="G94" i="25" s="1"/>
  <c r="G99" i="25" s="1"/>
  <c r="G25" i="25"/>
  <c r="G79" i="25" s="1"/>
  <c r="G82" i="25" s="1"/>
  <c r="G86" i="25" s="1"/>
  <c r="E81" i="25"/>
  <c r="F27" i="25"/>
  <c r="G99" i="29"/>
  <c r="G97" i="29"/>
  <c r="G101" i="29" s="1"/>
  <c r="J16" i="29"/>
  <c r="K15" i="29"/>
  <c r="K50" i="29" s="1"/>
  <c r="J17" i="29"/>
  <c r="J53" i="29"/>
  <c r="G82" i="29"/>
  <c r="G86" i="29" s="1"/>
  <c r="G84" i="29"/>
  <c r="F114" i="29"/>
  <c r="I133" i="29"/>
  <c r="I134" i="29" s="1"/>
  <c r="M8" i="29" s="1"/>
  <c r="I130" i="29"/>
  <c r="I131" i="29" s="1"/>
  <c r="M6" i="29" s="1"/>
  <c r="I127" i="29"/>
  <c r="I128" i="29" s="1"/>
  <c r="M4" i="29" s="1"/>
  <c r="I56" i="29"/>
  <c r="I51" i="29"/>
  <c r="I9" i="29" s="1"/>
  <c r="G109" i="29"/>
  <c r="G112" i="29" s="1"/>
  <c r="G116" i="29" s="1"/>
  <c r="H28" i="29"/>
  <c r="H94" i="29" s="1"/>
  <c r="H97" i="29" s="1"/>
  <c r="H101" i="29" s="1"/>
  <c r="H25" i="29"/>
  <c r="H79" i="29" s="1"/>
  <c r="H84" i="29" s="1"/>
  <c r="I19" i="29"/>
  <c r="I36" i="29" s="1"/>
  <c r="I18" i="29"/>
  <c r="H21" i="29"/>
  <c r="H23" i="29" s="1"/>
  <c r="H66" i="29" s="1"/>
  <c r="H52" i="29"/>
  <c r="H36" i="29"/>
  <c r="H38" i="29" s="1"/>
  <c r="H46" i="29" s="1"/>
  <c r="H57" i="23"/>
  <c r="F73" i="23"/>
  <c r="F135" i="34"/>
  <c r="F129" i="34"/>
  <c r="F132" i="34"/>
  <c r="F62" i="34"/>
  <c r="F60" i="34" s="1"/>
  <c r="I133" i="34"/>
  <c r="I127" i="34"/>
  <c r="I130" i="34"/>
  <c r="I56" i="34"/>
  <c r="H28" i="34"/>
  <c r="H94" i="34" s="1"/>
  <c r="H25" i="34"/>
  <c r="H79" i="34" s="1"/>
  <c r="I37" i="34"/>
  <c r="I40" i="34" s="1"/>
  <c r="I41" i="34" s="1"/>
  <c r="E112" i="34"/>
  <c r="E116" i="34" s="1"/>
  <c r="K39" i="34"/>
  <c r="I51" i="34"/>
  <c r="I9" i="34" s="1"/>
  <c r="G27" i="34"/>
  <c r="F81" i="34"/>
  <c r="I18" i="34"/>
  <c r="H130" i="34"/>
  <c r="H133" i="34"/>
  <c r="H127" i="34"/>
  <c r="H56" i="34"/>
  <c r="H57" i="34" s="1"/>
  <c r="E103" i="34"/>
  <c r="E83" i="34"/>
  <c r="E93" i="34" s="1"/>
  <c r="E91" i="34" s="1"/>
  <c r="E89" i="34"/>
  <c r="E111" i="34"/>
  <c r="E113" i="34" s="1"/>
  <c r="E123" i="34" s="1"/>
  <c r="E121" i="34" s="1"/>
  <c r="E74" i="34"/>
  <c r="F74" i="34" s="1"/>
  <c r="E70" i="34"/>
  <c r="E78" i="34" s="1"/>
  <c r="E76" i="34" s="1"/>
  <c r="G132" i="34"/>
  <c r="G135" i="34"/>
  <c r="G129" i="34"/>
  <c r="G62" i="34"/>
  <c r="G23" i="34"/>
  <c r="G79" i="34"/>
  <c r="F70" i="34"/>
  <c r="F78" i="34" s="1"/>
  <c r="E104" i="34"/>
  <c r="E98" i="34"/>
  <c r="E108" i="34" s="1"/>
  <c r="E106" i="34" s="1"/>
  <c r="I26" i="31"/>
  <c r="P15" i="39" s="1"/>
  <c r="I23" i="31"/>
  <c r="I66" i="31" s="1"/>
  <c r="I67" i="31" s="1"/>
  <c r="I5" i="31" s="1"/>
  <c r="G96" i="31"/>
  <c r="H30" i="31"/>
  <c r="K127" i="31"/>
  <c r="H38" i="31"/>
  <c r="H46" i="31" s="1"/>
  <c r="H44" i="31" s="1"/>
  <c r="H42" i="31"/>
  <c r="F109" i="31"/>
  <c r="F69" i="31"/>
  <c r="F72" i="31" s="1"/>
  <c r="F73" i="31" s="1"/>
  <c r="G73" i="31" s="1"/>
  <c r="F71" i="31"/>
  <c r="F114" i="31" s="1"/>
  <c r="F68" i="31"/>
  <c r="I131" i="31"/>
  <c r="M6" i="31" s="1"/>
  <c r="I94" i="31"/>
  <c r="I29" i="31"/>
  <c r="P16" i="39" s="1"/>
  <c r="G81" i="31"/>
  <c r="H27" i="31"/>
  <c r="I82" i="31"/>
  <c r="I86" i="31" s="1"/>
  <c r="I84" i="31"/>
  <c r="F89" i="31"/>
  <c r="F83" i="31"/>
  <c r="F93" i="31" s="1"/>
  <c r="F91" i="31" s="1"/>
  <c r="E119" i="31"/>
  <c r="J25" i="31"/>
  <c r="H82" i="31"/>
  <c r="H86" i="31" s="1"/>
  <c r="H88" i="31" s="1"/>
  <c r="H84" i="31"/>
  <c r="I80" i="31"/>
  <c r="I6" i="31" s="1"/>
  <c r="I134" i="31"/>
  <c r="M8" i="31" s="1"/>
  <c r="E118" i="31"/>
  <c r="J21" i="31"/>
  <c r="J23" i="31" s="1"/>
  <c r="H109" i="31"/>
  <c r="H112" i="31" s="1"/>
  <c r="H116" i="31" s="1"/>
  <c r="H69" i="31"/>
  <c r="H72" i="31" s="1"/>
  <c r="H71" i="31"/>
  <c r="H68" i="31"/>
  <c r="K39" i="31"/>
  <c r="J34" i="31"/>
  <c r="I37" i="31"/>
  <c r="I40" i="31" s="1"/>
  <c r="I41" i="31" s="1"/>
  <c r="I36" i="31"/>
  <c r="F74" i="29"/>
  <c r="G74" i="29" s="1"/>
  <c r="K39" i="29"/>
  <c r="J34" i="29"/>
  <c r="I37" i="29"/>
  <c r="I40" i="29" s="1"/>
  <c r="I41" i="29" s="1"/>
  <c r="I35" i="29"/>
  <c r="I8" i="29" s="1"/>
  <c r="H66" i="27"/>
  <c r="G82" i="27"/>
  <c r="G86" i="27" s="1"/>
  <c r="G84" i="27"/>
  <c r="L39" i="27"/>
  <c r="E74" i="27"/>
  <c r="E70" i="27"/>
  <c r="E78" i="27" s="1"/>
  <c r="E76" i="27" s="1"/>
  <c r="G71" i="27"/>
  <c r="G69" i="27"/>
  <c r="G72" i="27" s="1"/>
  <c r="G68" i="27"/>
  <c r="E74" i="25"/>
  <c r="E70" i="25"/>
  <c r="E78" i="25" s="1"/>
  <c r="K39" i="25"/>
  <c r="G69" i="25"/>
  <c r="G72" i="25" s="1"/>
  <c r="G71" i="25"/>
  <c r="G68" i="25"/>
  <c r="I19" i="23"/>
  <c r="I18" i="23"/>
  <c r="F70" i="23"/>
  <c r="F78" i="23" s="1"/>
  <c r="E112" i="23"/>
  <c r="E116" i="23" s="1"/>
  <c r="E103" i="23"/>
  <c r="F103" i="23" s="1"/>
  <c r="E88" i="23"/>
  <c r="G94" i="23"/>
  <c r="G109" i="23" s="1"/>
  <c r="G112" i="23" s="1"/>
  <c r="G116" i="23" s="1"/>
  <c r="F114" i="23"/>
  <c r="E89" i="23"/>
  <c r="E83" i="23"/>
  <c r="E93" i="23" s="1"/>
  <c r="E91" i="23" s="1"/>
  <c r="G84" i="23"/>
  <c r="G82" i="23"/>
  <c r="G86" i="23" s="1"/>
  <c r="E111" i="23"/>
  <c r="E113" i="23" s="1"/>
  <c r="E123" i="23" s="1"/>
  <c r="E121" i="23" s="1"/>
  <c r="E74" i="23"/>
  <c r="F74" i="23" s="1"/>
  <c r="E70" i="23"/>
  <c r="E78" i="23" s="1"/>
  <c r="E76" i="23" s="1"/>
  <c r="F96" i="23"/>
  <c r="G30" i="23"/>
  <c r="E104" i="23"/>
  <c r="E98" i="23"/>
  <c r="E108" i="23" s="1"/>
  <c r="E106" i="23" s="1"/>
  <c r="H28" i="23"/>
  <c r="H94" i="23" s="1"/>
  <c r="H25" i="23"/>
  <c r="E114" i="23"/>
  <c r="G71" i="23"/>
  <c r="G69" i="23"/>
  <c r="G72" i="23" s="1"/>
  <c r="G68" i="23"/>
  <c r="G58" i="23"/>
  <c r="G54" i="23"/>
  <c r="K39" i="23"/>
  <c r="F109" i="18"/>
  <c r="F112" i="18" s="1"/>
  <c r="F116" i="18" s="1"/>
  <c r="F71" i="18"/>
  <c r="F114" i="18" s="1"/>
  <c r="F69" i="18"/>
  <c r="F72" i="18" s="1"/>
  <c r="F73" i="18" s="1"/>
  <c r="F68" i="18"/>
  <c r="I41" i="18"/>
  <c r="H23" i="18"/>
  <c r="H79" i="18"/>
  <c r="E112" i="18"/>
  <c r="E116" i="18" s="1"/>
  <c r="I133" i="18"/>
  <c r="I127" i="18"/>
  <c r="I130" i="18"/>
  <c r="I56" i="18"/>
  <c r="J133" i="18"/>
  <c r="J127" i="18"/>
  <c r="J130" i="18"/>
  <c r="J56" i="18"/>
  <c r="G66" i="18"/>
  <c r="E111" i="18"/>
  <c r="E113" i="18" s="1"/>
  <c r="E123" i="18" s="1"/>
  <c r="E121" i="18" s="1"/>
  <c r="E74" i="18"/>
  <c r="E70" i="18"/>
  <c r="E78" i="18" s="1"/>
  <c r="E76" i="18" s="1"/>
  <c r="H42" i="18"/>
  <c r="H38" i="18"/>
  <c r="H46" i="18" s="1"/>
  <c r="H44" i="18" s="1"/>
  <c r="H58" i="18"/>
  <c r="H54" i="18"/>
  <c r="I35" i="18"/>
  <c r="H99" i="18"/>
  <c r="H97" i="18"/>
  <c r="H101" i="18" s="1"/>
  <c r="J34" i="18"/>
  <c r="J37" i="18" s="1"/>
  <c r="J40" i="18" s="1"/>
  <c r="K39" i="18"/>
  <c r="I28" i="18"/>
  <c r="I25" i="18"/>
  <c r="I79" i="18" s="1"/>
  <c r="H27" i="36"/>
  <c r="H81" i="36" s="1"/>
  <c r="G81" i="36"/>
  <c r="E89" i="36"/>
  <c r="F89" i="36" s="1"/>
  <c r="E83" i="36"/>
  <c r="E93" i="36" s="1"/>
  <c r="E91" i="36" s="1"/>
  <c r="G88" i="36"/>
  <c r="H84" i="36"/>
  <c r="H82" i="36"/>
  <c r="H86" i="36" s="1"/>
  <c r="F111" i="36"/>
  <c r="F113" i="36" s="1"/>
  <c r="F123" i="36" s="1"/>
  <c r="F83" i="36"/>
  <c r="F93" i="36" s="1"/>
  <c r="F91" i="36" s="1"/>
  <c r="I28" i="36"/>
  <c r="I94" i="36" s="1"/>
  <c r="I25" i="36"/>
  <c r="I127" i="36"/>
  <c r="I128" i="36" s="1"/>
  <c r="I56" i="36"/>
  <c r="I57" i="36" s="1"/>
  <c r="I133" i="36"/>
  <c r="I134" i="36" s="1"/>
  <c r="G42" i="36"/>
  <c r="H42" i="36" s="1"/>
  <c r="J37" i="36"/>
  <c r="J40" i="36" s="1"/>
  <c r="J41" i="36" s="1"/>
  <c r="E68" i="36"/>
  <c r="E111" i="36" s="1"/>
  <c r="I131" i="36"/>
  <c r="H23" i="36"/>
  <c r="H66" i="36" s="1"/>
  <c r="H109" i="36" s="1"/>
  <c r="G66" i="36"/>
  <c r="G109" i="36" s="1"/>
  <c r="H99" i="36"/>
  <c r="H97" i="36"/>
  <c r="H101" i="36" s="1"/>
  <c r="I21" i="36"/>
  <c r="K16" i="36"/>
  <c r="K17" i="36"/>
  <c r="L15" i="36"/>
  <c r="K34" i="36"/>
  <c r="K37" i="36" s="1"/>
  <c r="K40" i="36" s="1"/>
  <c r="I36" i="36"/>
  <c r="G103" i="36"/>
  <c r="H30" i="36"/>
  <c r="H96" i="36" s="1"/>
  <c r="H58" i="36"/>
  <c r="H54" i="36"/>
  <c r="G132" i="36"/>
  <c r="G129" i="36"/>
  <c r="G135" i="36"/>
  <c r="G62" i="36"/>
  <c r="G60" i="36" s="1"/>
  <c r="E71" i="36"/>
  <c r="E114" i="36" s="1"/>
  <c r="E69" i="36"/>
  <c r="E72" i="36" s="1"/>
  <c r="E73" i="36" s="1"/>
  <c r="F73" i="36" s="1"/>
  <c r="F70" i="36"/>
  <c r="F78" i="36" s="1"/>
  <c r="J53" i="36"/>
  <c r="J18" i="36"/>
  <c r="J19" i="36"/>
  <c r="J36" i="36" s="1"/>
  <c r="F104" i="36"/>
  <c r="F98" i="36"/>
  <c r="F108" i="36" s="1"/>
  <c r="F106" i="36" s="1"/>
  <c r="I52" i="36"/>
  <c r="M24" i="19"/>
  <c r="M23" i="19"/>
  <c r="M26" i="19"/>
  <c r="M25" i="19"/>
  <c r="K28" i="19"/>
  <c r="H28" i="19"/>
  <c r="L28" i="19" s="1"/>
  <c r="H30" i="19"/>
  <c r="L30" i="19" s="1"/>
  <c r="K30" i="19"/>
  <c r="K27" i="19"/>
  <c r="H27" i="19"/>
  <c r="L27" i="19" s="1"/>
  <c r="H29" i="19"/>
  <c r="L29" i="19" s="1"/>
  <c r="K29" i="19"/>
  <c r="L14" i="13"/>
  <c r="K16" i="13"/>
  <c r="K32" i="13"/>
  <c r="J34" i="13"/>
  <c r="J8" i="13"/>
  <c r="I10" i="13"/>
  <c r="F36" i="13"/>
  <c r="G33" i="13"/>
  <c r="E29" i="13"/>
  <c r="E30" i="13"/>
  <c r="F27" i="13"/>
  <c r="F24" i="13"/>
  <c r="F23" i="13"/>
  <c r="G21" i="13"/>
  <c r="F17" i="13"/>
  <c r="F18" i="13"/>
  <c r="G15" i="13"/>
  <c r="E11" i="13"/>
  <c r="E12" i="13"/>
  <c r="F9" i="13"/>
  <c r="K56" i="31" l="1"/>
  <c r="K133" i="31"/>
  <c r="H129" i="31"/>
  <c r="K16" i="31"/>
  <c r="K17" i="31"/>
  <c r="H44" i="29"/>
  <c r="G54" i="29"/>
  <c r="G135" i="29" s="1"/>
  <c r="G97" i="18"/>
  <c r="G101" i="18" s="1"/>
  <c r="G103" i="18" s="1"/>
  <c r="H135" i="31"/>
  <c r="H52" i="34"/>
  <c r="H58" i="34" s="1"/>
  <c r="G42" i="29"/>
  <c r="H42" i="29" s="1"/>
  <c r="I42" i="29" s="1"/>
  <c r="I43" i="29" s="1"/>
  <c r="I4" i="29" s="1"/>
  <c r="G88" i="18"/>
  <c r="I20" i="34"/>
  <c r="H82" i="27"/>
  <c r="H86" i="27" s="1"/>
  <c r="H132" i="31"/>
  <c r="H36" i="34"/>
  <c r="H42" i="34" s="1"/>
  <c r="F103" i="34"/>
  <c r="I57" i="18"/>
  <c r="J57" i="18" s="1"/>
  <c r="I36" i="18"/>
  <c r="I42" i="18" s="1"/>
  <c r="K16" i="18"/>
  <c r="L16" i="31"/>
  <c r="J17" i="34"/>
  <c r="J19" i="34" s="1"/>
  <c r="J52" i="34" s="1"/>
  <c r="G30" i="18"/>
  <c r="G96" i="18" s="1"/>
  <c r="G98" i="18" s="1"/>
  <c r="G108" i="18" s="1"/>
  <c r="J19" i="18"/>
  <c r="J52" i="18" s="1"/>
  <c r="L17" i="31"/>
  <c r="L18" i="31" s="1"/>
  <c r="J34" i="34"/>
  <c r="J37" i="34" s="1"/>
  <c r="J40" i="34" s="1"/>
  <c r="J16" i="34"/>
  <c r="J52" i="31"/>
  <c r="J54" i="31" s="1"/>
  <c r="J135" i="31" s="1"/>
  <c r="G30" i="34"/>
  <c r="H30" i="34" s="1"/>
  <c r="M15" i="31"/>
  <c r="M50" i="31" s="1"/>
  <c r="M53" i="31" s="1"/>
  <c r="K15" i="34"/>
  <c r="K50" i="34" s="1"/>
  <c r="I132" i="31"/>
  <c r="M7" i="31" s="1"/>
  <c r="N7" i="31" s="1"/>
  <c r="G94" i="34"/>
  <c r="G99" i="34" s="1"/>
  <c r="I62" i="31"/>
  <c r="I60" i="31" s="1"/>
  <c r="I61" i="31" s="1"/>
  <c r="I58" i="31"/>
  <c r="I59" i="31" s="1"/>
  <c r="I129" i="31"/>
  <c r="M5" i="31" s="1"/>
  <c r="N5" i="31" s="1"/>
  <c r="L15" i="18"/>
  <c r="L50" i="18" s="1"/>
  <c r="L53" i="18" s="1"/>
  <c r="J130" i="31"/>
  <c r="J56" i="31"/>
  <c r="J57" i="31" s="1"/>
  <c r="K57" i="31" s="1"/>
  <c r="J133" i="31"/>
  <c r="J127" i="31"/>
  <c r="I52" i="18"/>
  <c r="I54" i="18" s="1"/>
  <c r="I129" i="18" s="1"/>
  <c r="M5" i="18" s="1"/>
  <c r="I21" i="18"/>
  <c r="I22" i="18" s="1"/>
  <c r="K17" i="18"/>
  <c r="K18" i="18" s="1"/>
  <c r="J34" i="25"/>
  <c r="J50" i="25"/>
  <c r="J53" i="25" s="1"/>
  <c r="F98" i="31"/>
  <c r="F108" i="31" s="1"/>
  <c r="F106" i="31" s="1"/>
  <c r="G81" i="18"/>
  <c r="G83" i="18" s="1"/>
  <c r="G93" i="18" s="1"/>
  <c r="I69" i="31"/>
  <c r="I72" i="31" s="1"/>
  <c r="F111" i="34"/>
  <c r="F113" i="34" s="1"/>
  <c r="F123" i="34" s="1"/>
  <c r="F121" i="34" s="1"/>
  <c r="I109" i="31"/>
  <c r="I112" i="31" s="1"/>
  <c r="I116" i="31" s="1"/>
  <c r="I68" i="31"/>
  <c r="I70" i="31" s="1"/>
  <c r="I78" i="31" s="1"/>
  <c r="I71" i="31"/>
  <c r="I24" i="31"/>
  <c r="P14" i="39" s="1"/>
  <c r="P17" i="39" s="1"/>
  <c r="I88" i="31"/>
  <c r="H114" i="31"/>
  <c r="F81" i="18"/>
  <c r="F83" i="18" s="1"/>
  <c r="F93" i="18" s="1"/>
  <c r="F91" i="18" s="1"/>
  <c r="J41" i="34"/>
  <c r="F81" i="23"/>
  <c r="F111" i="23" s="1"/>
  <c r="F113" i="23" s="1"/>
  <c r="F123" i="23" s="1"/>
  <c r="F121" i="23" s="1"/>
  <c r="F88" i="23"/>
  <c r="G88" i="23" s="1"/>
  <c r="K15" i="23"/>
  <c r="K17" i="23" s="1"/>
  <c r="F96" i="18"/>
  <c r="F98" i="18" s="1"/>
  <c r="F108" i="18" s="1"/>
  <c r="F106" i="18" s="1"/>
  <c r="I51" i="27"/>
  <c r="I9" i="27" s="1"/>
  <c r="I53" i="23"/>
  <c r="I56" i="23" s="1"/>
  <c r="I57" i="23" s="1"/>
  <c r="N6" i="31"/>
  <c r="N8" i="31"/>
  <c r="N9" i="31"/>
  <c r="N4" i="31"/>
  <c r="I36" i="23"/>
  <c r="I38" i="23" s="1"/>
  <c r="I46" i="23" s="1"/>
  <c r="J34" i="23"/>
  <c r="J37" i="23" s="1"/>
  <c r="J40" i="23" s="1"/>
  <c r="J41" i="23" s="1"/>
  <c r="G109" i="27"/>
  <c r="G112" i="27" s="1"/>
  <c r="G116" i="27" s="1"/>
  <c r="J50" i="23"/>
  <c r="J53" i="23" s="1"/>
  <c r="J56" i="23" s="1"/>
  <c r="I35" i="23"/>
  <c r="I8" i="23" s="1"/>
  <c r="J16" i="23"/>
  <c r="G97" i="27"/>
  <c r="G101" i="27" s="1"/>
  <c r="G73" i="25"/>
  <c r="E111" i="27"/>
  <c r="E113" i="27" s="1"/>
  <c r="E123" i="27" s="1"/>
  <c r="E121" i="27" s="1"/>
  <c r="H97" i="27"/>
  <c r="H101" i="27" s="1"/>
  <c r="H36" i="23"/>
  <c r="H21" i="23"/>
  <c r="H23" i="23" s="1"/>
  <c r="H66" i="23" s="1"/>
  <c r="H42" i="27"/>
  <c r="G62" i="25"/>
  <c r="G132" i="25"/>
  <c r="G129" i="25"/>
  <c r="G84" i="25"/>
  <c r="G114" i="25" s="1"/>
  <c r="G109" i="25"/>
  <c r="G112" i="25" s="1"/>
  <c r="G116" i="25" s="1"/>
  <c r="I57" i="29"/>
  <c r="H58" i="27"/>
  <c r="E114" i="27"/>
  <c r="I35" i="27"/>
  <c r="I8" i="27" s="1"/>
  <c r="I18" i="27"/>
  <c r="I19" i="27"/>
  <c r="I130" i="27"/>
  <c r="I131" i="27" s="1"/>
  <c r="M6" i="27" s="1"/>
  <c r="I133" i="27"/>
  <c r="I134" i="27" s="1"/>
  <c r="M8" i="27" s="1"/>
  <c r="I127" i="27"/>
  <c r="I128" i="27" s="1"/>
  <c r="M4" i="27" s="1"/>
  <c r="I56" i="27"/>
  <c r="I57" i="27" s="1"/>
  <c r="J17" i="27"/>
  <c r="J34" i="27"/>
  <c r="J37" i="27" s="1"/>
  <c r="J40" i="27" s="1"/>
  <c r="J41" i="27" s="1"/>
  <c r="J16" i="27"/>
  <c r="K15" i="27"/>
  <c r="K50" i="27" s="1"/>
  <c r="J53" i="27"/>
  <c r="J133" i="27" s="1"/>
  <c r="G97" i="25"/>
  <c r="G101" i="25" s="1"/>
  <c r="F76" i="29"/>
  <c r="F103" i="25"/>
  <c r="H99" i="29"/>
  <c r="I52" i="23"/>
  <c r="I54" i="23" s="1"/>
  <c r="G42" i="25"/>
  <c r="F114" i="25"/>
  <c r="I133" i="25"/>
  <c r="H62" i="27"/>
  <c r="H60" i="27" s="1"/>
  <c r="G88" i="29"/>
  <c r="F88" i="27"/>
  <c r="G88" i="27" s="1"/>
  <c r="H88" i="27" s="1"/>
  <c r="H129" i="27"/>
  <c r="G30" i="29"/>
  <c r="I56" i="25"/>
  <c r="I51" i="25"/>
  <c r="I9" i="25" s="1"/>
  <c r="G103" i="29"/>
  <c r="H103" i="29" s="1"/>
  <c r="I130" i="25"/>
  <c r="H135" i="27"/>
  <c r="I35" i="25"/>
  <c r="I8" i="25" s="1"/>
  <c r="G58" i="25"/>
  <c r="E114" i="25"/>
  <c r="E111" i="25"/>
  <c r="E113" i="25" s="1"/>
  <c r="E123" i="25" s="1"/>
  <c r="E121" i="25" s="1"/>
  <c r="G44" i="25"/>
  <c r="G73" i="27"/>
  <c r="F103" i="27"/>
  <c r="E83" i="27"/>
  <c r="E93" i="27" s="1"/>
  <c r="E91" i="27" s="1"/>
  <c r="E89" i="27"/>
  <c r="F62" i="27"/>
  <c r="F129" i="27"/>
  <c r="F132" i="27"/>
  <c r="F135" i="27"/>
  <c r="G27" i="27"/>
  <c r="F81" i="27"/>
  <c r="E104" i="27"/>
  <c r="E98" i="27"/>
  <c r="E108" i="27" s="1"/>
  <c r="E106" i="27" s="1"/>
  <c r="G118" i="29"/>
  <c r="F88" i="25"/>
  <c r="G88" i="25" s="1"/>
  <c r="F96" i="27"/>
  <c r="G30" i="27"/>
  <c r="F114" i="27"/>
  <c r="H52" i="25"/>
  <c r="H21" i="25"/>
  <c r="H23" i="25" s="1"/>
  <c r="H36" i="25"/>
  <c r="J17" i="25"/>
  <c r="J16" i="25"/>
  <c r="K15" i="25"/>
  <c r="K50" i="25" s="1"/>
  <c r="I8" i="18"/>
  <c r="H28" i="25"/>
  <c r="H94" i="25" s="1"/>
  <c r="H25" i="25"/>
  <c r="H79" i="25" s="1"/>
  <c r="I19" i="25"/>
  <c r="I18" i="25"/>
  <c r="F81" i="25"/>
  <c r="G27" i="25"/>
  <c r="E83" i="25"/>
  <c r="E93" i="25" s="1"/>
  <c r="E91" i="25" s="1"/>
  <c r="E89" i="25"/>
  <c r="E111" i="29"/>
  <c r="E113" i="29" s="1"/>
  <c r="E123" i="29" s="1"/>
  <c r="E121" i="29" s="1"/>
  <c r="E89" i="29"/>
  <c r="E83" i="29"/>
  <c r="E93" i="29" s="1"/>
  <c r="E91" i="29" s="1"/>
  <c r="E104" i="25"/>
  <c r="E98" i="25"/>
  <c r="E108" i="25" s="1"/>
  <c r="E106" i="25" s="1"/>
  <c r="F96" i="25"/>
  <c r="G30" i="25"/>
  <c r="G27" i="29"/>
  <c r="G81" i="29" s="1"/>
  <c r="G83" i="29" s="1"/>
  <c r="G93" i="29" s="1"/>
  <c r="F81" i="29"/>
  <c r="F129" i="25"/>
  <c r="F135" i="25"/>
  <c r="F132" i="25"/>
  <c r="F62" i="25"/>
  <c r="F60" i="25" s="1"/>
  <c r="E98" i="29"/>
  <c r="E108" i="29" s="1"/>
  <c r="E106" i="29" s="1"/>
  <c r="E104" i="29"/>
  <c r="F104" i="29" s="1"/>
  <c r="E114" i="29"/>
  <c r="H130" i="25"/>
  <c r="H133" i="25"/>
  <c r="H56" i="25"/>
  <c r="H57" i="25" s="1"/>
  <c r="H127" i="25"/>
  <c r="I128" i="25" s="1"/>
  <c r="M4" i="25" s="1"/>
  <c r="E60" i="29"/>
  <c r="F60" i="29"/>
  <c r="G114" i="29"/>
  <c r="H109" i="29"/>
  <c r="H112" i="29" s="1"/>
  <c r="H116" i="29" s="1"/>
  <c r="H82" i="29"/>
  <c r="H86" i="29" s="1"/>
  <c r="N8" i="29"/>
  <c r="I28" i="29"/>
  <c r="I25" i="29"/>
  <c r="K16" i="29"/>
  <c r="K17" i="29"/>
  <c r="L15" i="29"/>
  <c r="L50" i="29" s="1"/>
  <c r="K53" i="29"/>
  <c r="N6" i="29"/>
  <c r="I52" i="29"/>
  <c r="I54" i="29" s="1"/>
  <c r="I21" i="29"/>
  <c r="I20" i="29"/>
  <c r="J19" i="29"/>
  <c r="J21" i="29" s="1"/>
  <c r="J18" i="29"/>
  <c r="G62" i="29"/>
  <c r="G60" i="29" s="1"/>
  <c r="G129" i="29"/>
  <c r="N4" i="29"/>
  <c r="H71" i="29"/>
  <c r="H69" i="29"/>
  <c r="H72" i="29" s="1"/>
  <c r="H73" i="29" s="1"/>
  <c r="H68" i="29"/>
  <c r="H70" i="29" s="1"/>
  <c r="H78" i="29" s="1"/>
  <c r="H76" i="29" s="1"/>
  <c r="J130" i="29"/>
  <c r="J133" i="29"/>
  <c r="J127" i="29"/>
  <c r="J56" i="29"/>
  <c r="H54" i="29"/>
  <c r="H58" i="29"/>
  <c r="G73" i="23"/>
  <c r="F76" i="34"/>
  <c r="I57" i="34"/>
  <c r="H109" i="34"/>
  <c r="H112" i="34" s="1"/>
  <c r="H116" i="34" s="1"/>
  <c r="H71" i="34"/>
  <c r="H69" i="34"/>
  <c r="H72" i="34" s="1"/>
  <c r="H68" i="34"/>
  <c r="I131" i="34"/>
  <c r="M6" i="34" s="1"/>
  <c r="L39" i="34"/>
  <c r="H99" i="34"/>
  <c r="H97" i="34"/>
  <c r="H101" i="34" s="1"/>
  <c r="I25" i="34"/>
  <c r="I28" i="34"/>
  <c r="I29" i="34" s="1"/>
  <c r="G60" i="34"/>
  <c r="I128" i="34"/>
  <c r="M4" i="34" s="1"/>
  <c r="F83" i="34"/>
  <c r="F93" i="34" s="1"/>
  <c r="F91" i="34" s="1"/>
  <c r="F89" i="34"/>
  <c r="E118" i="34"/>
  <c r="F118" i="34" s="1"/>
  <c r="E119" i="34"/>
  <c r="I21" i="34"/>
  <c r="I22" i="34" s="1"/>
  <c r="G81" i="34"/>
  <c r="H27" i="34"/>
  <c r="G82" i="34"/>
  <c r="G86" i="34" s="1"/>
  <c r="G84" i="34"/>
  <c r="G66" i="34"/>
  <c r="I36" i="34"/>
  <c r="J133" i="34"/>
  <c r="J127" i="34"/>
  <c r="J130" i="34"/>
  <c r="J56" i="34"/>
  <c r="F104" i="34"/>
  <c r="F98" i="34"/>
  <c r="F108" i="34" s="1"/>
  <c r="F106" i="34" s="1"/>
  <c r="I134" i="34"/>
  <c r="M8" i="34" s="1"/>
  <c r="I52" i="34"/>
  <c r="H82" i="34"/>
  <c r="H86" i="34" s="1"/>
  <c r="H84" i="34"/>
  <c r="K34" i="31"/>
  <c r="L39" i="31"/>
  <c r="I87" i="31"/>
  <c r="G104" i="31"/>
  <c r="G98" i="31"/>
  <c r="G108" i="31" s="1"/>
  <c r="I85" i="31"/>
  <c r="I42" i="31"/>
  <c r="I43" i="31" s="1"/>
  <c r="I4" i="31" s="1"/>
  <c r="I38" i="31"/>
  <c r="I46" i="31" s="1"/>
  <c r="I44" i="31" s="1"/>
  <c r="I45" i="31" s="1"/>
  <c r="H73" i="31"/>
  <c r="H96" i="31"/>
  <c r="I30" i="31"/>
  <c r="F112" i="31"/>
  <c r="F116" i="31" s="1"/>
  <c r="F118" i="31" s="1"/>
  <c r="G118" i="31" s="1"/>
  <c r="H118" i="31" s="1"/>
  <c r="J37" i="31"/>
  <c r="J40" i="31" s="1"/>
  <c r="J41" i="31" s="1"/>
  <c r="J36" i="31"/>
  <c r="I99" i="31"/>
  <c r="I97" i="31"/>
  <c r="I101" i="31" s="1"/>
  <c r="I95" i="31"/>
  <c r="I7" i="31" s="1"/>
  <c r="J79" i="31"/>
  <c r="F111" i="31"/>
  <c r="F113" i="31" s="1"/>
  <c r="F123" i="31" s="1"/>
  <c r="F121" i="31" s="1"/>
  <c r="F74" i="31"/>
  <c r="F70" i="31"/>
  <c r="F78" i="31" s="1"/>
  <c r="J66" i="31"/>
  <c r="H81" i="31"/>
  <c r="I27" i="31"/>
  <c r="H70" i="31"/>
  <c r="H78" i="31" s="1"/>
  <c r="H76" i="31" s="1"/>
  <c r="J99" i="31"/>
  <c r="J97" i="31"/>
  <c r="J101" i="31" s="1"/>
  <c r="G83" i="31"/>
  <c r="G93" i="31" s="1"/>
  <c r="G91" i="31" s="1"/>
  <c r="G89" i="31"/>
  <c r="G111" i="31"/>
  <c r="G113" i="31" s="1"/>
  <c r="G123" i="31" s="1"/>
  <c r="L130" i="31"/>
  <c r="L133" i="31"/>
  <c r="L127" i="31"/>
  <c r="L56" i="31"/>
  <c r="I38" i="29"/>
  <c r="I46" i="29" s="1"/>
  <c r="I44" i="29" s="1"/>
  <c r="L39" i="29"/>
  <c r="K34" i="29"/>
  <c r="J37" i="29"/>
  <c r="J40" i="29" s="1"/>
  <c r="J41" i="29" s="1"/>
  <c r="G70" i="27"/>
  <c r="G78" i="27" s="1"/>
  <c r="G76" i="27" s="1"/>
  <c r="F74" i="27"/>
  <c r="M39" i="27"/>
  <c r="G114" i="27"/>
  <c r="E118" i="27"/>
  <c r="F118" i="27" s="1"/>
  <c r="F76" i="27"/>
  <c r="H69" i="27"/>
  <c r="H72" i="27" s="1"/>
  <c r="H71" i="27"/>
  <c r="H114" i="27" s="1"/>
  <c r="H109" i="27"/>
  <c r="H112" i="27" s="1"/>
  <c r="H116" i="27" s="1"/>
  <c r="H68" i="27"/>
  <c r="G70" i="25"/>
  <c r="G78" i="25" s="1"/>
  <c r="G76" i="25" s="1"/>
  <c r="E118" i="25"/>
  <c r="F118" i="25" s="1"/>
  <c r="E76" i="25"/>
  <c r="F76" i="25"/>
  <c r="J37" i="25"/>
  <c r="J40" i="25" s="1"/>
  <c r="J41" i="25" s="1"/>
  <c r="F74" i="25"/>
  <c r="L39" i="25"/>
  <c r="I28" i="23"/>
  <c r="I25" i="23"/>
  <c r="I79" i="23" s="1"/>
  <c r="L39" i="23"/>
  <c r="H79" i="23"/>
  <c r="H132" i="23"/>
  <c r="H129" i="23"/>
  <c r="H135" i="23"/>
  <c r="H62" i="23"/>
  <c r="I21" i="23"/>
  <c r="I20" i="23"/>
  <c r="G132" i="23"/>
  <c r="G129" i="23"/>
  <c r="G135" i="23"/>
  <c r="G62" i="23"/>
  <c r="G60" i="23" s="1"/>
  <c r="G74" i="23"/>
  <c r="G70" i="23"/>
  <c r="G78" i="23" s="1"/>
  <c r="G76" i="23" s="1"/>
  <c r="H97" i="23"/>
  <c r="H101" i="23" s="1"/>
  <c r="H99" i="23"/>
  <c r="H58" i="23"/>
  <c r="G96" i="23"/>
  <c r="H30" i="23"/>
  <c r="J19" i="23"/>
  <c r="J18" i="23"/>
  <c r="F76" i="23"/>
  <c r="F104" i="23"/>
  <c r="F98" i="23"/>
  <c r="F108" i="23" s="1"/>
  <c r="F106" i="23" s="1"/>
  <c r="E119" i="23"/>
  <c r="G97" i="23"/>
  <c r="G101" i="23" s="1"/>
  <c r="G103" i="23" s="1"/>
  <c r="G99" i="23"/>
  <c r="G81" i="23"/>
  <c r="H27" i="23"/>
  <c r="E118" i="23"/>
  <c r="F118" i="23" s="1"/>
  <c r="G118" i="23" s="1"/>
  <c r="H103" i="18"/>
  <c r="I131" i="18"/>
  <c r="M6" i="18" s="1"/>
  <c r="J25" i="18"/>
  <c r="J79" i="18" s="1"/>
  <c r="J28" i="18"/>
  <c r="J94" i="18" s="1"/>
  <c r="I128" i="18"/>
  <c r="M4" i="18" s="1"/>
  <c r="H66" i="18"/>
  <c r="L39" i="18"/>
  <c r="K34" i="18"/>
  <c r="K37" i="18" s="1"/>
  <c r="K40" i="18" s="1"/>
  <c r="H129" i="18"/>
  <c r="H132" i="18"/>
  <c r="H135" i="18"/>
  <c r="H62" i="18"/>
  <c r="H60" i="18" s="1"/>
  <c r="G109" i="18"/>
  <c r="G71" i="18"/>
  <c r="G114" i="18" s="1"/>
  <c r="G69" i="18"/>
  <c r="G72" i="18" s="1"/>
  <c r="G73" i="18" s="1"/>
  <c r="G68" i="18"/>
  <c r="I134" i="18"/>
  <c r="M8" i="18" s="1"/>
  <c r="J41" i="18"/>
  <c r="H84" i="18"/>
  <c r="H82" i="18"/>
  <c r="H86" i="18" s="1"/>
  <c r="I80" i="18"/>
  <c r="I6" i="18" s="1"/>
  <c r="I82" i="18"/>
  <c r="I86" i="18" s="1"/>
  <c r="I84" i="18"/>
  <c r="K19" i="18"/>
  <c r="F74" i="18"/>
  <c r="F70" i="18"/>
  <c r="F78" i="18" s="1"/>
  <c r="F76" i="18" s="1"/>
  <c r="I94" i="18"/>
  <c r="I26" i="18"/>
  <c r="I29" i="18"/>
  <c r="E118" i="18"/>
  <c r="F118" i="18" s="1"/>
  <c r="K127" i="18"/>
  <c r="K130" i="18"/>
  <c r="K133" i="18"/>
  <c r="K56" i="18"/>
  <c r="E119" i="18"/>
  <c r="H81" i="18"/>
  <c r="I27" i="18"/>
  <c r="I29" i="36"/>
  <c r="H88" i="36"/>
  <c r="G89" i="36"/>
  <c r="I26" i="36"/>
  <c r="I79" i="36"/>
  <c r="G83" i="36"/>
  <c r="G93" i="36" s="1"/>
  <c r="G91" i="36" s="1"/>
  <c r="H83" i="36"/>
  <c r="H93" i="36" s="1"/>
  <c r="H89" i="36"/>
  <c r="J28" i="36"/>
  <c r="J94" i="36" s="1"/>
  <c r="J25" i="36"/>
  <c r="J79" i="36" s="1"/>
  <c r="I27" i="36"/>
  <c r="I95" i="36"/>
  <c r="G112" i="36"/>
  <c r="G116" i="36" s="1"/>
  <c r="I22" i="36"/>
  <c r="I23" i="36"/>
  <c r="K41" i="36"/>
  <c r="I54" i="36"/>
  <c r="I58" i="36"/>
  <c r="I59" i="36" s="1"/>
  <c r="I42" i="36"/>
  <c r="J42" i="36" s="1"/>
  <c r="I38" i="36"/>
  <c r="I46" i="36" s="1"/>
  <c r="I44" i="36" s="1"/>
  <c r="K53" i="36"/>
  <c r="J38" i="36"/>
  <c r="J46" i="36" s="1"/>
  <c r="E113" i="36"/>
  <c r="E123" i="36" s="1"/>
  <c r="E121" i="36" s="1"/>
  <c r="E74" i="36"/>
  <c r="E119" i="36" s="1"/>
  <c r="E70" i="36"/>
  <c r="E78" i="36" s="1"/>
  <c r="E76" i="36" s="1"/>
  <c r="J130" i="36"/>
  <c r="J133" i="36"/>
  <c r="J56" i="36"/>
  <c r="J57" i="36" s="1"/>
  <c r="J127" i="36"/>
  <c r="H112" i="36"/>
  <c r="H116" i="36" s="1"/>
  <c r="H69" i="36"/>
  <c r="H72" i="36" s="1"/>
  <c r="H71" i="36"/>
  <c r="H114" i="36" s="1"/>
  <c r="H68" i="36"/>
  <c r="H111" i="36" s="1"/>
  <c r="E112" i="36"/>
  <c r="E116" i="36" s="1"/>
  <c r="I99" i="36"/>
  <c r="I97" i="36"/>
  <c r="I101" i="36" s="1"/>
  <c r="H132" i="36"/>
  <c r="H129" i="36"/>
  <c r="H135" i="36"/>
  <c r="H62" i="36"/>
  <c r="H60" i="36" s="1"/>
  <c r="H103" i="36"/>
  <c r="M15" i="36"/>
  <c r="L17" i="36"/>
  <c r="L16" i="36"/>
  <c r="L53" i="36"/>
  <c r="L34" i="36"/>
  <c r="J21" i="36"/>
  <c r="J23" i="36" s="1"/>
  <c r="J66" i="36" s="1"/>
  <c r="J52" i="36"/>
  <c r="I30" i="36"/>
  <c r="I96" i="36" s="1"/>
  <c r="K18" i="36"/>
  <c r="K19" i="36"/>
  <c r="K36" i="36" s="1"/>
  <c r="G104" i="36"/>
  <c r="G98" i="36"/>
  <c r="G108" i="36" s="1"/>
  <c r="G106" i="36" s="1"/>
  <c r="G71" i="36"/>
  <c r="G114" i="36" s="1"/>
  <c r="G69" i="36"/>
  <c r="G72" i="36" s="1"/>
  <c r="G73" i="36" s="1"/>
  <c r="H73" i="36" s="1"/>
  <c r="G68" i="36"/>
  <c r="G111" i="36" s="1"/>
  <c r="M27" i="19"/>
  <c r="M28" i="19"/>
  <c r="M29" i="19"/>
  <c r="M30" i="19"/>
  <c r="H33" i="19"/>
  <c r="L33" i="19" s="1"/>
  <c r="K33" i="19"/>
  <c r="M33" i="19" s="1"/>
  <c r="K32" i="19"/>
  <c r="H32" i="19"/>
  <c r="L32" i="19" s="1"/>
  <c r="H31" i="19"/>
  <c r="L31" i="19" s="1"/>
  <c r="K31" i="19"/>
  <c r="M31" i="19" s="1"/>
  <c r="H34" i="19"/>
  <c r="L34" i="19" s="1"/>
  <c r="K34" i="19"/>
  <c r="M14" i="13"/>
  <c r="M16" i="13" s="1"/>
  <c r="L16" i="13"/>
  <c r="L32" i="13"/>
  <c r="K34" i="13"/>
  <c r="K8" i="13"/>
  <c r="J10" i="13"/>
  <c r="G36" i="13"/>
  <c r="H33" i="13"/>
  <c r="F30" i="13"/>
  <c r="F29" i="13"/>
  <c r="G27" i="13"/>
  <c r="G24" i="13"/>
  <c r="G23" i="13"/>
  <c r="H21" i="13"/>
  <c r="G18" i="13"/>
  <c r="G17" i="13"/>
  <c r="H15" i="13"/>
  <c r="G9" i="13"/>
  <c r="F12" i="13"/>
  <c r="F11" i="13"/>
  <c r="I38" i="18" l="1"/>
  <c r="I46" i="18" s="1"/>
  <c r="I44" i="18" s="1"/>
  <c r="I45" i="18" s="1"/>
  <c r="G132" i="29"/>
  <c r="J21" i="18"/>
  <c r="J23" i="18" s="1"/>
  <c r="J66" i="18" s="1"/>
  <c r="J69" i="18" s="1"/>
  <c r="J72" i="18" s="1"/>
  <c r="J132" i="31"/>
  <c r="H38" i="34"/>
  <c r="H46" i="34" s="1"/>
  <c r="H44" i="34" s="1"/>
  <c r="I45" i="29"/>
  <c r="M17" i="31"/>
  <c r="M18" i="31" s="1"/>
  <c r="K18" i="31"/>
  <c r="K19" i="31"/>
  <c r="J18" i="34"/>
  <c r="J25" i="34" s="1"/>
  <c r="J79" i="34" s="1"/>
  <c r="H54" i="34"/>
  <c r="H132" i="34" s="1"/>
  <c r="J129" i="31"/>
  <c r="G97" i="34"/>
  <c r="G101" i="34" s="1"/>
  <c r="G103" i="34" s="1"/>
  <c r="H103" i="34" s="1"/>
  <c r="M15" i="18"/>
  <c r="M50" i="18" s="1"/>
  <c r="J62" i="31"/>
  <c r="J60" i="31" s="1"/>
  <c r="L19" i="31"/>
  <c r="L21" i="31" s="1"/>
  <c r="L23" i="31" s="1"/>
  <c r="L66" i="31" s="1"/>
  <c r="J36" i="18"/>
  <c r="J38" i="18" s="1"/>
  <c r="J46" i="18" s="1"/>
  <c r="J44" i="18" s="1"/>
  <c r="L17" i="18"/>
  <c r="L19" i="18" s="1"/>
  <c r="G96" i="34"/>
  <c r="G98" i="34" s="1"/>
  <c r="G108" i="34" s="1"/>
  <c r="G106" i="34" s="1"/>
  <c r="H30" i="18"/>
  <c r="H96" i="18" s="1"/>
  <c r="H98" i="18" s="1"/>
  <c r="H108" i="18" s="1"/>
  <c r="H106" i="18" s="1"/>
  <c r="K16" i="34"/>
  <c r="L16" i="18"/>
  <c r="M16" i="31"/>
  <c r="K34" i="34"/>
  <c r="K37" i="34" s="1"/>
  <c r="K40" i="34" s="1"/>
  <c r="K41" i="34" s="1"/>
  <c r="K17" i="34"/>
  <c r="K19" i="34" s="1"/>
  <c r="N15" i="31"/>
  <c r="N50" i="31" s="1"/>
  <c r="L15" i="34"/>
  <c r="L50" i="34" s="1"/>
  <c r="L53" i="34" s="1"/>
  <c r="I62" i="18"/>
  <c r="I60" i="18" s="1"/>
  <c r="I61" i="18" s="1"/>
  <c r="I135" i="18"/>
  <c r="M9" i="18" s="1"/>
  <c r="N9" i="18" s="1"/>
  <c r="I132" i="18"/>
  <c r="M7" i="18" s="1"/>
  <c r="N7" i="18" s="1"/>
  <c r="I23" i="18"/>
  <c r="I66" i="18" s="1"/>
  <c r="I109" i="18" s="1"/>
  <c r="I112" i="18" s="1"/>
  <c r="I116" i="18" s="1"/>
  <c r="J58" i="31"/>
  <c r="I58" i="18"/>
  <c r="I59" i="18" s="1"/>
  <c r="G106" i="31"/>
  <c r="I73" i="31"/>
  <c r="I110" i="31"/>
  <c r="I10" i="31" s="1"/>
  <c r="I118" i="31"/>
  <c r="G91" i="18"/>
  <c r="F89" i="18"/>
  <c r="G89" i="18" s="1"/>
  <c r="H89" i="18" s="1"/>
  <c r="I76" i="31"/>
  <c r="F119" i="34"/>
  <c r="R16" i="39"/>
  <c r="I114" i="31"/>
  <c r="I115" i="31" s="1"/>
  <c r="L57" i="31"/>
  <c r="F16" i="39"/>
  <c r="F15" i="39"/>
  <c r="N8" i="18"/>
  <c r="N5" i="18"/>
  <c r="N6" i="18"/>
  <c r="N4" i="18"/>
  <c r="N8" i="27"/>
  <c r="F89" i="23"/>
  <c r="F119" i="23" s="1"/>
  <c r="F83" i="23"/>
  <c r="F93" i="23" s="1"/>
  <c r="F91" i="23" s="1"/>
  <c r="I127" i="23"/>
  <c r="I128" i="23" s="1"/>
  <c r="M4" i="23" s="1"/>
  <c r="F104" i="18"/>
  <c r="G104" i="18" s="1"/>
  <c r="G106" i="18"/>
  <c r="K34" i="23"/>
  <c r="K37" i="23" s="1"/>
  <c r="K40" i="23" s="1"/>
  <c r="K41" i="23" s="1"/>
  <c r="K50" i="23"/>
  <c r="K53" i="23" s="1"/>
  <c r="K127" i="23" s="1"/>
  <c r="F111" i="18"/>
  <c r="F113" i="18" s="1"/>
  <c r="F123" i="18" s="1"/>
  <c r="F121" i="18" s="1"/>
  <c r="L15" i="23"/>
  <c r="M15" i="23" s="1"/>
  <c r="K16" i="23"/>
  <c r="J57" i="34"/>
  <c r="I130" i="23"/>
  <c r="I131" i="23" s="1"/>
  <c r="M6" i="23" s="1"/>
  <c r="I133" i="23"/>
  <c r="I134" i="23" s="1"/>
  <c r="M8" i="23" s="1"/>
  <c r="N4" i="34"/>
  <c r="N8" i="34"/>
  <c r="N6" i="34"/>
  <c r="G118" i="27"/>
  <c r="H118" i="27" s="1"/>
  <c r="J36" i="23"/>
  <c r="J38" i="23" s="1"/>
  <c r="J46" i="23" s="1"/>
  <c r="J44" i="23" s="1"/>
  <c r="J127" i="23"/>
  <c r="J133" i="23"/>
  <c r="I22" i="23"/>
  <c r="J130" i="23"/>
  <c r="G103" i="27"/>
  <c r="H103" i="27" s="1"/>
  <c r="J130" i="27"/>
  <c r="G118" i="25"/>
  <c r="H27" i="29"/>
  <c r="H81" i="29" s="1"/>
  <c r="H83" i="29" s="1"/>
  <c r="H93" i="29" s="1"/>
  <c r="H91" i="29" s="1"/>
  <c r="E119" i="25"/>
  <c r="H38" i="23"/>
  <c r="H46" i="23" s="1"/>
  <c r="H44" i="23" s="1"/>
  <c r="H42" i="23"/>
  <c r="I42" i="23" s="1"/>
  <c r="J57" i="29"/>
  <c r="N4" i="27"/>
  <c r="H88" i="29"/>
  <c r="H114" i="29"/>
  <c r="I58" i="23"/>
  <c r="I59" i="23" s="1"/>
  <c r="N6" i="27"/>
  <c r="J127" i="27"/>
  <c r="I57" i="25"/>
  <c r="I131" i="25"/>
  <c r="M6" i="25" s="1"/>
  <c r="K17" i="27"/>
  <c r="K16" i="27"/>
  <c r="K34" i="27"/>
  <c r="K37" i="27" s="1"/>
  <c r="K40" i="27" s="1"/>
  <c r="K41" i="27" s="1"/>
  <c r="L15" i="27"/>
  <c r="L50" i="27" s="1"/>
  <c r="K53" i="27"/>
  <c r="I52" i="27"/>
  <c r="I20" i="27"/>
  <c r="I21" i="27"/>
  <c r="J56" i="27"/>
  <c r="J57" i="27" s="1"/>
  <c r="J19" i="27"/>
  <c r="J52" i="27" s="1"/>
  <c r="J54" i="27" s="1"/>
  <c r="J18" i="27"/>
  <c r="I28" i="27"/>
  <c r="I25" i="27"/>
  <c r="G103" i="25"/>
  <c r="I36" i="27"/>
  <c r="H73" i="27"/>
  <c r="H74" i="29"/>
  <c r="I134" i="25"/>
  <c r="M8" i="25" s="1"/>
  <c r="E119" i="27"/>
  <c r="H30" i="29"/>
  <c r="H96" i="29" s="1"/>
  <c r="H98" i="29" s="1"/>
  <c r="H108" i="29" s="1"/>
  <c r="G96" i="29"/>
  <c r="G81" i="27"/>
  <c r="H27" i="27"/>
  <c r="F60" i="27"/>
  <c r="G60" i="27"/>
  <c r="F89" i="27"/>
  <c r="F111" i="27"/>
  <c r="F113" i="27" s="1"/>
  <c r="F123" i="27" s="1"/>
  <c r="F121" i="27" s="1"/>
  <c r="F83" i="27"/>
  <c r="F93" i="27" s="1"/>
  <c r="F91" i="27" s="1"/>
  <c r="J52" i="23"/>
  <c r="G96" i="27"/>
  <c r="H30" i="27"/>
  <c r="G60" i="25"/>
  <c r="F104" i="27"/>
  <c r="F98" i="27"/>
  <c r="F108" i="27" s="1"/>
  <c r="F106" i="27" s="1"/>
  <c r="N4" i="25"/>
  <c r="H66" i="25"/>
  <c r="I28" i="25"/>
  <c r="I25" i="25"/>
  <c r="I36" i="25"/>
  <c r="I20" i="25"/>
  <c r="I52" i="25"/>
  <c r="I21" i="25"/>
  <c r="I23" i="25" s="1"/>
  <c r="I66" i="25" s="1"/>
  <c r="I69" i="25" s="1"/>
  <c r="I72" i="25" s="1"/>
  <c r="H58" i="25"/>
  <c r="H54" i="25"/>
  <c r="G96" i="25"/>
  <c r="H30" i="25"/>
  <c r="H84" i="25"/>
  <c r="H82" i="25"/>
  <c r="H86" i="25" s="1"/>
  <c r="H88" i="25" s="1"/>
  <c r="K17" i="25"/>
  <c r="K53" i="25"/>
  <c r="K127" i="25" s="1"/>
  <c r="K16" i="25"/>
  <c r="L15" i="25"/>
  <c r="F104" i="25"/>
  <c r="F98" i="25"/>
  <c r="F108" i="25" s="1"/>
  <c r="F106" i="25" s="1"/>
  <c r="H99" i="25"/>
  <c r="H97" i="25"/>
  <c r="H101" i="25" s="1"/>
  <c r="J133" i="25"/>
  <c r="J130" i="25"/>
  <c r="J127" i="25"/>
  <c r="J56" i="25"/>
  <c r="J57" i="23"/>
  <c r="F83" i="29"/>
  <c r="F93" i="29" s="1"/>
  <c r="F91" i="29" s="1"/>
  <c r="F89" i="29"/>
  <c r="F111" i="29"/>
  <c r="F113" i="29" s="1"/>
  <c r="F123" i="29" s="1"/>
  <c r="F121" i="29" s="1"/>
  <c r="G81" i="25"/>
  <c r="H27" i="25"/>
  <c r="J19" i="25"/>
  <c r="J18" i="25"/>
  <c r="K34" i="25"/>
  <c r="K37" i="25" s="1"/>
  <c r="K40" i="25" s="1"/>
  <c r="K41" i="25" s="1"/>
  <c r="F89" i="25"/>
  <c r="F83" i="25"/>
  <c r="F93" i="25" s="1"/>
  <c r="F91" i="25" s="1"/>
  <c r="F111" i="25"/>
  <c r="F113" i="25" s="1"/>
  <c r="F123" i="25" s="1"/>
  <c r="F121" i="25" s="1"/>
  <c r="H42" i="25"/>
  <c r="H38" i="25"/>
  <c r="H46" i="25" s="1"/>
  <c r="H44" i="25" s="1"/>
  <c r="F106" i="29"/>
  <c r="E119" i="29"/>
  <c r="L16" i="29"/>
  <c r="L53" i="29"/>
  <c r="L133" i="29" s="1"/>
  <c r="L17" i="29"/>
  <c r="M15" i="29"/>
  <c r="M50" i="29" s="1"/>
  <c r="I79" i="29"/>
  <c r="I26" i="29"/>
  <c r="I94" i="29"/>
  <c r="I29" i="29"/>
  <c r="J23" i="29"/>
  <c r="J66" i="29" s="1"/>
  <c r="K18" i="29"/>
  <c r="K19" i="29"/>
  <c r="K21" i="29" s="1"/>
  <c r="K23" i="29" s="1"/>
  <c r="K66" i="29" s="1"/>
  <c r="K68" i="29" s="1"/>
  <c r="J36" i="29"/>
  <c r="J38" i="29" s="1"/>
  <c r="J46" i="29" s="1"/>
  <c r="J44" i="29" s="1"/>
  <c r="J28" i="29"/>
  <c r="J94" i="29" s="1"/>
  <c r="J25" i="29"/>
  <c r="J79" i="29" s="1"/>
  <c r="J84" i="29" s="1"/>
  <c r="H62" i="29"/>
  <c r="H60" i="29" s="1"/>
  <c r="H129" i="29"/>
  <c r="H132" i="29"/>
  <c r="H135" i="29"/>
  <c r="I135" i="29"/>
  <c r="M9" i="29" s="1"/>
  <c r="I62" i="29"/>
  <c r="I132" i="29"/>
  <c r="M7" i="29" s="1"/>
  <c r="I129" i="29"/>
  <c r="M5" i="29" s="1"/>
  <c r="I58" i="29"/>
  <c r="I59" i="29" s="1"/>
  <c r="J52" i="29"/>
  <c r="I22" i="29"/>
  <c r="I23" i="29"/>
  <c r="K56" i="29"/>
  <c r="K133" i="29"/>
  <c r="K127" i="29"/>
  <c r="K130" i="29"/>
  <c r="G74" i="27"/>
  <c r="H74" i="27" s="1"/>
  <c r="I23" i="23"/>
  <c r="I66" i="23" s="1"/>
  <c r="I69" i="23" s="1"/>
  <c r="I72" i="23" s="1"/>
  <c r="G111" i="23"/>
  <c r="G113" i="23" s="1"/>
  <c r="G123" i="23" s="1"/>
  <c r="G121" i="23" s="1"/>
  <c r="K36" i="18"/>
  <c r="K38" i="18" s="1"/>
  <c r="K46" i="18" s="1"/>
  <c r="I23" i="34"/>
  <c r="H96" i="34"/>
  <c r="I30" i="34"/>
  <c r="H81" i="34"/>
  <c r="I27" i="34"/>
  <c r="J54" i="34"/>
  <c r="H114" i="34"/>
  <c r="H129" i="34"/>
  <c r="H135" i="34"/>
  <c r="G89" i="34"/>
  <c r="G83" i="34"/>
  <c r="G93" i="34" s="1"/>
  <c r="G91" i="34" s="1"/>
  <c r="M39" i="34"/>
  <c r="I58" i="34"/>
  <c r="J58" i="34" s="1"/>
  <c r="I54" i="34"/>
  <c r="G109" i="34"/>
  <c r="G71" i="34"/>
  <c r="G114" i="34" s="1"/>
  <c r="G69" i="34"/>
  <c r="G72" i="34" s="1"/>
  <c r="G73" i="34" s="1"/>
  <c r="H73" i="34" s="1"/>
  <c r="G68" i="34"/>
  <c r="K53" i="34"/>
  <c r="I42" i="34"/>
  <c r="I43" i="34" s="1"/>
  <c r="I4" i="34" s="1"/>
  <c r="I38" i="34"/>
  <c r="I46" i="34" s="1"/>
  <c r="I44" i="34" s="1"/>
  <c r="I94" i="34"/>
  <c r="I79" i="34"/>
  <c r="I26" i="34"/>
  <c r="J21" i="34"/>
  <c r="J23" i="34" s="1"/>
  <c r="K18" i="34"/>
  <c r="G88" i="34"/>
  <c r="H88" i="34" s="1"/>
  <c r="J36" i="34"/>
  <c r="H70" i="34"/>
  <c r="H78" i="34" s="1"/>
  <c r="H89" i="31"/>
  <c r="H83" i="31"/>
  <c r="H93" i="31" s="1"/>
  <c r="H91" i="31" s="1"/>
  <c r="I102" i="31"/>
  <c r="I103" i="31"/>
  <c r="J103" i="31" s="1"/>
  <c r="M127" i="31"/>
  <c r="M130" i="31"/>
  <c r="M133" i="31"/>
  <c r="M56" i="31"/>
  <c r="F76" i="31"/>
  <c r="G76" i="31"/>
  <c r="J82" i="31"/>
  <c r="J86" i="31" s="1"/>
  <c r="J84" i="31"/>
  <c r="I100" i="31"/>
  <c r="L34" i="31"/>
  <c r="M39" i="31"/>
  <c r="F119" i="31"/>
  <c r="G74" i="31"/>
  <c r="I96" i="31"/>
  <c r="J30" i="31"/>
  <c r="K37" i="31"/>
  <c r="K40" i="31" s="1"/>
  <c r="K41" i="31" s="1"/>
  <c r="I81" i="31"/>
  <c r="J27" i="31"/>
  <c r="J109" i="31"/>
  <c r="J71" i="31"/>
  <c r="J69" i="31"/>
  <c r="J72" i="31" s="1"/>
  <c r="J68" i="31"/>
  <c r="J42" i="31"/>
  <c r="J38" i="31"/>
  <c r="J46" i="31" s="1"/>
  <c r="J44" i="31" s="1"/>
  <c r="H104" i="31"/>
  <c r="H98" i="31"/>
  <c r="H108" i="31" s="1"/>
  <c r="H106" i="31" s="1"/>
  <c r="L28" i="31"/>
  <c r="L94" i="31" s="1"/>
  <c r="L25" i="31"/>
  <c r="L79" i="31" s="1"/>
  <c r="G121" i="31"/>
  <c r="I117" i="31"/>
  <c r="H111" i="31"/>
  <c r="H113" i="31" s="1"/>
  <c r="H123" i="31" s="1"/>
  <c r="H121" i="31" s="1"/>
  <c r="H118" i="29"/>
  <c r="K37" i="29"/>
  <c r="K40" i="29" s="1"/>
  <c r="K41" i="29" s="1"/>
  <c r="M39" i="29"/>
  <c r="L34" i="29"/>
  <c r="H70" i="27"/>
  <c r="H78" i="27" s="1"/>
  <c r="H76" i="27" s="1"/>
  <c r="N39" i="27"/>
  <c r="G74" i="25"/>
  <c r="M39" i="25"/>
  <c r="H103" i="23"/>
  <c r="I26" i="23"/>
  <c r="H15" i="39" s="1"/>
  <c r="H96" i="23"/>
  <c r="I30" i="23"/>
  <c r="J21" i="23"/>
  <c r="J23" i="23" s="1"/>
  <c r="G104" i="23"/>
  <c r="G98" i="23"/>
  <c r="G108" i="23" s="1"/>
  <c r="G106" i="23" s="1"/>
  <c r="H60" i="23"/>
  <c r="H82" i="23"/>
  <c r="H86" i="23" s="1"/>
  <c r="H84" i="23"/>
  <c r="I80" i="23"/>
  <c r="I6" i="23" s="1"/>
  <c r="I82" i="23"/>
  <c r="I86" i="23" s="1"/>
  <c r="I84" i="23"/>
  <c r="G83" i="23"/>
  <c r="G93" i="23" s="1"/>
  <c r="J28" i="23"/>
  <c r="J94" i="23" s="1"/>
  <c r="J25" i="23"/>
  <c r="M39" i="23"/>
  <c r="I94" i="23"/>
  <c r="I29" i="23"/>
  <c r="H16" i="39" s="1"/>
  <c r="I129" i="23"/>
  <c r="M5" i="23" s="1"/>
  <c r="I135" i="23"/>
  <c r="M9" i="23" s="1"/>
  <c r="I132" i="23"/>
  <c r="M7" i="23" s="1"/>
  <c r="I62" i="23"/>
  <c r="I60" i="23" s="1"/>
  <c r="G114" i="23"/>
  <c r="H109" i="23"/>
  <c r="H71" i="23"/>
  <c r="H69" i="23"/>
  <c r="H72" i="23" s="1"/>
  <c r="H73" i="23" s="1"/>
  <c r="H68" i="23"/>
  <c r="H81" i="23"/>
  <c r="I27" i="23"/>
  <c r="K19" i="23"/>
  <c r="K18" i="23"/>
  <c r="I67" i="18"/>
  <c r="I5" i="18" s="1"/>
  <c r="K57" i="18"/>
  <c r="K25" i="18"/>
  <c r="K28" i="18"/>
  <c r="K94" i="18" s="1"/>
  <c r="M39" i="18"/>
  <c r="L34" i="18"/>
  <c r="L37" i="18" s="1"/>
  <c r="L40" i="18" s="1"/>
  <c r="J99" i="18"/>
  <c r="J97" i="18"/>
  <c r="J101" i="18" s="1"/>
  <c r="H109" i="18"/>
  <c r="H112" i="18" s="1"/>
  <c r="H116" i="18" s="1"/>
  <c r="H71" i="18"/>
  <c r="H114" i="18" s="1"/>
  <c r="H69" i="18"/>
  <c r="H72" i="18" s="1"/>
  <c r="H73" i="18" s="1"/>
  <c r="H68" i="18"/>
  <c r="I99" i="18"/>
  <c r="I97" i="18"/>
  <c r="I101" i="18" s="1"/>
  <c r="I95" i="18"/>
  <c r="I7" i="18" s="1"/>
  <c r="K21" i="18"/>
  <c r="K23" i="18" s="1"/>
  <c r="K41" i="18"/>
  <c r="G111" i="18"/>
  <c r="G113" i="18" s="1"/>
  <c r="G123" i="18" s="1"/>
  <c r="G74" i="18"/>
  <c r="G70" i="18"/>
  <c r="G78" i="18" s="1"/>
  <c r="G76" i="18" s="1"/>
  <c r="J54" i="18"/>
  <c r="J82" i="18"/>
  <c r="J86" i="18" s="1"/>
  <c r="J84" i="18"/>
  <c r="J109" i="18"/>
  <c r="J112" i="18" s="1"/>
  <c r="J116" i="18" s="1"/>
  <c r="J68" i="18"/>
  <c r="J42" i="18"/>
  <c r="I43" i="18"/>
  <c r="I4" i="18" s="1"/>
  <c r="K52" i="18"/>
  <c r="I68" i="18"/>
  <c r="I81" i="18"/>
  <c r="J27" i="18"/>
  <c r="I87" i="18"/>
  <c r="H88" i="18"/>
  <c r="I88" i="18" s="1"/>
  <c r="G112" i="18"/>
  <c r="G116" i="18" s="1"/>
  <c r="L127" i="18"/>
  <c r="L130" i="18"/>
  <c r="L133" i="18"/>
  <c r="L56" i="18"/>
  <c r="H83" i="18"/>
  <c r="H93" i="18" s="1"/>
  <c r="H91" i="18" s="1"/>
  <c r="I85" i="18"/>
  <c r="I82" i="36"/>
  <c r="I86" i="36" s="1"/>
  <c r="I84" i="36"/>
  <c r="I80" i="36"/>
  <c r="I6" i="36" s="1"/>
  <c r="J27" i="36"/>
  <c r="J81" i="36" s="1"/>
  <c r="I81" i="36"/>
  <c r="H91" i="36"/>
  <c r="J84" i="36"/>
  <c r="J109" i="36"/>
  <c r="J82" i="36"/>
  <c r="J86" i="36" s="1"/>
  <c r="K28" i="36"/>
  <c r="K94" i="36" s="1"/>
  <c r="K25" i="36"/>
  <c r="I103" i="36"/>
  <c r="F121" i="36"/>
  <c r="I43" i="36"/>
  <c r="I45" i="36"/>
  <c r="I100" i="36"/>
  <c r="I102" i="36"/>
  <c r="I66" i="36"/>
  <c r="I68" i="36" s="1"/>
  <c r="I24" i="36"/>
  <c r="G70" i="36"/>
  <c r="G78" i="36" s="1"/>
  <c r="G76" i="36" s="1"/>
  <c r="G113" i="36"/>
  <c r="G123" i="36" s="1"/>
  <c r="G121" i="36" s="1"/>
  <c r="K38" i="36"/>
  <c r="K46" i="36" s="1"/>
  <c r="K44" i="36" s="1"/>
  <c r="K42" i="36"/>
  <c r="J54" i="36"/>
  <c r="J58" i="36"/>
  <c r="I69" i="36"/>
  <c r="I72" i="36" s="1"/>
  <c r="I73" i="36" s="1"/>
  <c r="L18" i="36"/>
  <c r="L19" i="36"/>
  <c r="F76" i="36"/>
  <c r="J30" i="36"/>
  <c r="J96" i="36" s="1"/>
  <c r="L37" i="36"/>
  <c r="L40" i="36" s="1"/>
  <c r="L41" i="36" s="1"/>
  <c r="M17" i="36"/>
  <c r="N15" i="36"/>
  <c r="M53" i="36"/>
  <c r="M16" i="36"/>
  <c r="M34" i="36"/>
  <c r="M37" i="36" s="1"/>
  <c r="M40" i="36" s="1"/>
  <c r="E118" i="36"/>
  <c r="F118" i="36" s="1"/>
  <c r="G118" i="36" s="1"/>
  <c r="H118" i="36" s="1"/>
  <c r="I135" i="36"/>
  <c r="M9" i="36" s="1"/>
  <c r="I129" i="36"/>
  <c r="M5" i="36" s="1"/>
  <c r="I132" i="36"/>
  <c r="M7" i="36" s="1"/>
  <c r="I62" i="36"/>
  <c r="I60" i="36" s="1"/>
  <c r="I61" i="36" s="1"/>
  <c r="H104" i="36"/>
  <c r="H98" i="36"/>
  <c r="H108" i="36" s="1"/>
  <c r="H106" i="36" s="1"/>
  <c r="F74" i="36"/>
  <c r="F119" i="36" s="1"/>
  <c r="K21" i="36"/>
  <c r="K23" i="36" s="1"/>
  <c r="K52" i="36"/>
  <c r="L133" i="36"/>
  <c r="L130" i="36"/>
  <c r="L127" i="36"/>
  <c r="L56" i="36"/>
  <c r="H113" i="36"/>
  <c r="H123" i="36" s="1"/>
  <c r="H70" i="36"/>
  <c r="H78" i="36" s="1"/>
  <c r="J97" i="36"/>
  <c r="J101" i="36" s="1"/>
  <c r="J99" i="36"/>
  <c r="J44" i="36"/>
  <c r="K130" i="36"/>
  <c r="K127" i="36"/>
  <c r="K56" i="36"/>
  <c r="K57" i="36" s="1"/>
  <c r="L57" i="36" s="1"/>
  <c r="K133" i="36"/>
  <c r="M34" i="19"/>
  <c r="M32" i="19"/>
  <c r="H38" i="19"/>
  <c r="L38" i="19" s="1"/>
  <c r="K38" i="19"/>
  <c r="M38" i="19" s="1"/>
  <c r="K35" i="19"/>
  <c r="H35" i="19"/>
  <c r="L35" i="19" s="1"/>
  <c r="K36" i="19"/>
  <c r="H36" i="19"/>
  <c r="L36" i="19" s="1"/>
  <c r="H37" i="19"/>
  <c r="L37" i="19" s="1"/>
  <c r="K37" i="19"/>
  <c r="M32" i="13"/>
  <c r="M34" i="13" s="1"/>
  <c r="L34" i="13"/>
  <c r="L8" i="13"/>
  <c r="K10" i="13"/>
  <c r="H36" i="13"/>
  <c r="H37" i="13" s="1"/>
  <c r="I33" i="13"/>
  <c r="G30" i="13"/>
  <c r="H27" i="13"/>
  <c r="H24" i="13"/>
  <c r="H25" i="13" s="1"/>
  <c r="H23" i="13"/>
  <c r="I21" i="13"/>
  <c r="H18" i="13"/>
  <c r="H19" i="13" s="1"/>
  <c r="H17" i="13"/>
  <c r="I15" i="13"/>
  <c r="G12" i="13"/>
  <c r="G11" i="13"/>
  <c r="H9" i="13"/>
  <c r="J71" i="18" l="1"/>
  <c r="M19" i="31"/>
  <c r="M52" i="31" s="1"/>
  <c r="G104" i="34"/>
  <c r="H62" i="34"/>
  <c r="H60" i="34" s="1"/>
  <c r="L18" i="18"/>
  <c r="M17" i="18"/>
  <c r="J28" i="34"/>
  <c r="J94" i="34" s="1"/>
  <c r="J97" i="34" s="1"/>
  <c r="J101" i="34" s="1"/>
  <c r="K21" i="31"/>
  <c r="K23" i="31" s="1"/>
  <c r="K66" i="31" s="1"/>
  <c r="K69" i="31" s="1"/>
  <c r="K72" i="31" s="1"/>
  <c r="K52" i="31"/>
  <c r="K54" i="31" s="1"/>
  <c r="N15" i="18"/>
  <c r="N50" i="18" s="1"/>
  <c r="K36" i="31"/>
  <c r="K58" i="31"/>
  <c r="L58" i="31" s="1"/>
  <c r="M58" i="31" s="1"/>
  <c r="K28" i="31"/>
  <c r="K94" i="31" s="1"/>
  <c r="K25" i="31"/>
  <c r="K79" i="31" s="1"/>
  <c r="M16" i="18"/>
  <c r="N17" i="31"/>
  <c r="N19" i="31" s="1"/>
  <c r="I71" i="18"/>
  <c r="L52" i="31"/>
  <c r="L54" i="31" s="1"/>
  <c r="J73" i="31"/>
  <c r="I24" i="18"/>
  <c r="F14" i="39" s="1"/>
  <c r="F17" i="39" s="1"/>
  <c r="I69" i="18"/>
  <c r="I72" i="18" s="1"/>
  <c r="H104" i="18"/>
  <c r="K36" i="34"/>
  <c r="K38" i="34" s="1"/>
  <c r="K46" i="34" s="1"/>
  <c r="I30" i="18"/>
  <c r="I96" i="18" s="1"/>
  <c r="I98" i="18" s="1"/>
  <c r="I108" i="18" s="1"/>
  <c r="I106" i="18" s="1"/>
  <c r="I107" i="18" s="1"/>
  <c r="N16" i="31"/>
  <c r="L17" i="34"/>
  <c r="L19" i="34" s="1"/>
  <c r="L34" i="34"/>
  <c r="L37" i="34" s="1"/>
  <c r="L40" i="34" s="1"/>
  <c r="L41" i="34" s="1"/>
  <c r="M15" i="34"/>
  <c r="M50" i="34" s="1"/>
  <c r="M53" i="34" s="1"/>
  <c r="L16" i="34"/>
  <c r="J58" i="18"/>
  <c r="L34" i="25"/>
  <c r="L37" i="25" s="1"/>
  <c r="L40" i="25" s="1"/>
  <c r="L41" i="25" s="1"/>
  <c r="L50" i="25"/>
  <c r="L53" i="25" s="1"/>
  <c r="J103" i="36"/>
  <c r="P18" i="39"/>
  <c r="P19" i="39" s="1"/>
  <c r="M57" i="31"/>
  <c r="H111" i="34"/>
  <c r="H113" i="34" s="1"/>
  <c r="H123" i="34" s="1"/>
  <c r="R15" i="39"/>
  <c r="K52" i="34"/>
  <c r="K54" i="34" s="1"/>
  <c r="N16" i="39"/>
  <c r="N15" i="39"/>
  <c r="K130" i="23"/>
  <c r="N6" i="25"/>
  <c r="N8" i="25"/>
  <c r="G89" i="23"/>
  <c r="H89" i="23" s="1"/>
  <c r="L17" i="23"/>
  <c r="L18" i="23" s="1"/>
  <c r="G91" i="23"/>
  <c r="L16" i="23"/>
  <c r="K36" i="23"/>
  <c r="K38" i="23" s="1"/>
  <c r="K46" i="23" s="1"/>
  <c r="K44" i="23" s="1"/>
  <c r="F119" i="18"/>
  <c r="G121" i="18"/>
  <c r="K56" i="23"/>
  <c r="K57" i="23" s="1"/>
  <c r="L34" i="23"/>
  <c r="L37" i="23" s="1"/>
  <c r="L40" i="23" s="1"/>
  <c r="L41" i="23" s="1"/>
  <c r="L50" i="23"/>
  <c r="L53" i="23" s="1"/>
  <c r="L127" i="23" s="1"/>
  <c r="K133" i="23"/>
  <c r="K57" i="29"/>
  <c r="J42" i="23"/>
  <c r="I27" i="29"/>
  <c r="I81" i="29" s="1"/>
  <c r="I83" i="29" s="1"/>
  <c r="I93" i="29" s="1"/>
  <c r="I91" i="29" s="1"/>
  <c r="I67" i="23"/>
  <c r="I5" i="23" s="1"/>
  <c r="I71" i="23"/>
  <c r="I43" i="23"/>
  <c r="I4" i="23" s="1"/>
  <c r="I44" i="23"/>
  <c r="I45" i="23" s="1"/>
  <c r="K56" i="25"/>
  <c r="H111" i="29"/>
  <c r="H113" i="29" s="1"/>
  <c r="H123" i="29" s="1"/>
  <c r="K130" i="25"/>
  <c r="I22" i="25"/>
  <c r="J57" i="25"/>
  <c r="I24" i="23"/>
  <c r="H14" i="39" s="1"/>
  <c r="H17" i="39" s="1"/>
  <c r="I109" i="23"/>
  <c r="I112" i="23" s="1"/>
  <c r="I116" i="23" s="1"/>
  <c r="I71" i="25"/>
  <c r="J58" i="23"/>
  <c r="K69" i="29"/>
  <c r="K72" i="29" s="1"/>
  <c r="K71" i="29"/>
  <c r="K42" i="18"/>
  <c r="J25" i="27"/>
  <c r="J79" i="27" s="1"/>
  <c r="J28" i="27"/>
  <c r="J94" i="27" s="1"/>
  <c r="I68" i="25"/>
  <c r="I70" i="25" s="1"/>
  <c r="I78" i="25" s="1"/>
  <c r="K133" i="25"/>
  <c r="I42" i="27"/>
  <c r="I43" i="27" s="1"/>
  <c r="I4" i="27" s="1"/>
  <c r="I38" i="27"/>
  <c r="I46" i="27" s="1"/>
  <c r="I44" i="27" s="1"/>
  <c r="I45" i="27" s="1"/>
  <c r="J36" i="27"/>
  <c r="J21" i="27"/>
  <c r="J23" i="27" s="1"/>
  <c r="J66" i="27" s="1"/>
  <c r="K130" i="27"/>
  <c r="K127" i="27"/>
  <c r="K56" i="27"/>
  <c r="K57" i="27" s="1"/>
  <c r="K133" i="27"/>
  <c r="L17" i="27"/>
  <c r="M15" i="27"/>
  <c r="M50" i="27" s="1"/>
  <c r="L16" i="27"/>
  <c r="L53" i="27"/>
  <c r="L34" i="27"/>
  <c r="L37" i="27" s="1"/>
  <c r="L40" i="27" s="1"/>
  <c r="L41" i="27" s="1"/>
  <c r="H103" i="25"/>
  <c r="I22" i="27"/>
  <c r="I23" i="27"/>
  <c r="L130" i="29"/>
  <c r="I79" i="27"/>
  <c r="I26" i="27"/>
  <c r="L15" i="39" s="1"/>
  <c r="I67" i="25"/>
  <c r="I5" i="25" s="1"/>
  <c r="I29" i="27"/>
  <c r="L16" i="39" s="1"/>
  <c r="I94" i="27"/>
  <c r="I58" i="27"/>
  <c r="I54" i="27"/>
  <c r="K19" i="27"/>
  <c r="K18" i="27"/>
  <c r="F119" i="27"/>
  <c r="J54" i="23"/>
  <c r="J129" i="23" s="1"/>
  <c r="I68" i="23"/>
  <c r="I70" i="23" s="1"/>
  <c r="I78" i="23" s="1"/>
  <c r="L127" i="29"/>
  <c r="J82" i="29"/>
  <c r="J86" i="29" s="1"/>
  <c r="G111" i="29"/>
  <c r="G113" i="29" s="1"/>
  <c r="G123" i="29" s="1"/>
  <c r="G98" i="29"/>
  <c r="G108" i="29" s="1"/>
  <c r="G106" i="29" s="1"/>
  <c r="G104" i="29"/>
  <c r="H104" i="29" s="1"/>
  <c r="I30" i="29"/>
  <c r="H96" i="27"/>
  <c r="I30" i="27"/>
  <c r="G91" i="29"/>
  <c r="G98" i="27"/>
  <c r="G108" i="27" s="1"/>
  <c r="G106" i="27" s="1"/>
  <c r="G104" i="27"/>
  <c r="I27" i="27"/>
  <c r="H81" i="27"/>
  <c r="G89" i="27"/>
  <c r="G83" i="27"/>
  <c r="G93" i="27" s="1"/>
  <c r="G91" i="27" s="1"/>
  <c r="G111" i="27"/>
  <c r="G113" i="27" s="1"/>
  <c r="G123" i="27" s="1"/>
  <c r="G121" i="27" s="1"/>
  <c r="F119" i="25"/>
  <c r="I27" i="25"/>
  <c r="H81" i="25"/>
  <c r="H132" i="25"/>
  <c r="H135" i="25"/>
  <c r="H62" i="25"/>
  <c r="H60" i="25" s="1"/>
  <c r="H129" i="25"/>
  <c r="G89" i="25"/>
  <c r="G83" i="25"/>
  <c r="G93" i="25" s="1"/>
  <c r="G91" i="25" s="1"/>
  <c r="G111" i="25"/>
  <c r="G113" i="25" s="1"/>
  <c r="G123" i="25" s="1"/>
  <c r="G121" i="25" s="1"/>
  <c r="H96" i="25"/>
  <c r="I30" i="25"/>
  <c r="I26" i="25"/>
  <c r="I79" i="25"/>
  <c r="J28" i="25"/>
  <c r="J94" i="25" s="1"/>
  <c r="J25" i="25"/>
  <c r="J79" i="25" s="1"/>
  <c r="J82" i="25" s="1"/>
  <c r="J86" i="25" s="1"/>
  <c r="F119" i="29"/>
  <c r="G89" i="29"/>
  <c r="G104" i="25"/>
  <c r="G98" i="25"/>
  <c r="G108" i="25" s="1"/>
  <c r="G106" i="25" s="1"/>
  <c r="H71" i="25"/>
  <c r="H114" i="25" s="1"/>
  <c r="H68" i="25"/>
  <c r="H74" i="25" s="1"/>
  <c r="H109" i="25"/>
  <c r="H112" i="25" s="1"/>
  <c r="H116" i="25" s="1"/>
  <c r="H118" i="25" s="1"/>
  <c r="H69" i="25"/>
  <c r="H72" i="25" s="1"/>
  <c r="H73" i="25" s="1"/>
  <c r="I73" i="25" s="1"/>
  <c r="I42" i="25"/>
  <c r="I43" i="25" s="1"/>
  <c r="I4" i="25" s="1"/>
  <c r="I38" i="25"/>
  <c r="I46" i="25" s="1"/>
  <c r="I44" i="25" s="1"/>
  <c r="I45" i="25" s="1"/>
  <c r="J52" i="25"/>
  <c r="J54" i="25" s="1"/>
  <c r="J21" i="25"/>
  <c r="J23" i="25" s="1"/>
  <c r="J66" i="25" s="1"/>
  <c r="J71" i="25" s="1"/>
  <c r="J36" i="25"/>
  <c r="M15" i="25"/>
  <c r="L16" i="25"/>
  <c r="L17" i="25"/>
  <c r="K19" i="25"/>
  <c r="K18" i="25"/>
  <c r="I54" i="25"/>
  <c r="I58" i="25"/>
  <c r="I94" i="25"/>
  <c r="I29" i="25"/>
  <c r="I24" i="25"/>
  <c r="M16" i="29"/>
  <c r="M17" i="29"/>
  <c r="N15" i="29"/>
  <c r="N50" i="29" s="1"/>
  <c r="M53" i="29"/>
  <c r="L18" i="29"/>
  <c r="L19" i="29"/>
  <c r="L21" i="29" s="1"/>
  <c r="L23" i="29" s="1"/>
  <c r="L66" i="29" s="1"/>
  <c r="L69" i="29" s="1"/>
  <c r="L72" i="29" s="1"/>
  <c r="K25" i="29"/>
  <c r="K79" i="29" s="1"/>
  <c r="K28" i="29"/>
  <c r="K94" i="29" s="1"/>
  <c r="K97" i="29" s="1"/>
  <c r="K101" i="29" s="1"/>
  <c r="K36" i="29"/>
  <c r="K38" i="29" s="1"/>
  <c r="K46" i="29" s="1"/>
  <c r="K44" i="29" s="1"/>
  <c r="J42" i="29"/>
  <c r="N5" i="29"/>
  <c r="K52" i="29"/>
  <c r="I99" i="29"/>
  <c r="I100" i="29" s="1"/>
  <c r="I97" i="29"/>
  <c r="I101" i="29" s="1"/>
  <c r="I95" i="29"/>
  <c r="I7" i="29" s="1"/>
  <c r="J58" i="29"/>
  <c r="J54" i="29"/>
  <c r="N7" i="29"/>
  <c r="I82" i="29"/>
  <c r="I86" i="29" s="1"/>
  <c r="I84" i="29"/>
  <c r="I85" i="29" s="1"/>
  <c r="I80" i="29"/>
  <c r="I6" i="29" s="1"/>
  <c r="L56" i="29"/>
  <c r="I60" i="29"/>
  <c r="I61" i="29" s="1"/>
  <c r="I66" i="29"/>
  <c r="I24" i="29"/>
  <c r="N9" i="29"/>
  <c r="J97" i="29"/>
  <c r="J101" i="29" s="1"/>
  <c r="J99" i="29"/>
  <c r="I114" i="18"/>
  <c r="I115" i="18" s="1"/>
  <c r="N7" i="23"/>
  <c r="N9" i="23"/>
  <c r="N6" i="23"/>
  <c r="N5" i="23"/>
  <c r="N4" i="23"/>
  <c r="N8" i="23"/>
  <c r="J114" i="18"/>
  <c r="L57" i="18"/>
  <c r="I66" i="34"/>
  <c r="I109" i="34" s="1"/>
  <c r="I112" i="34" s="1"/>
  <c r="I116" i="34" s="1"/>
  <c r="I24" i="34"/>
  <c r="I99" i="34"/>
  <c r="I97" i="34"/>
  <c r="I101" i="34" s="1"/>
  <c r="I95" i="34"/>
  <c r="I7" i="34" s="1"/>
  <c r="H89" i="34"/>
  <c r="H83" i="34"/>
  <c r="H93" i="34" s="1"/>
  <c r="H91" i="34" s="1"/>
  <c r="G112" i="34"/>
  <c r="G116" i="34" s="1"/>
  <c r="N39" i="34"/>
  <c r="I96" i="34"/>
  <c r="J84" i="34"/>
  <c r="J82" i="34"/>
  <c r="J86" i="34" s="1"/>
  <c r="I59" i="34"/>
  <c r="H98" i="34"/>
  <c r="H108" i="34" s="1"/>
  <c r="H106" i="34" s="1"/>
  <c r="H104" i="34"/>
  <c r="J66" i="34"/>
  <c r="I129" i="34"/>
  <c r="M5" i="34" s="1"/>
  <c r="I135" i="34"/>
  <c r="M9" i="34" s="1"/>
  <c r="I132" i="34"/>
  <c r="M7" i="34" s="1"/>
  <c r="I62" i="34"/>
  <c r="I60" i="34" s="1"/>
  <c r="I45" i="34"/>
  <c r="I84" i="34"/>
  <c r="I82" i="34"/>
  <c r="I86" i="34" s="1"/>
  <c r="I88" i="34" s="1"/>
  <c r="I80" i="34"/>
  <c r="I6" i="34" s="1"/>
  <c r="L127" i="34"/>
  <c r="L130" i="34"/>
  <c r="L133" i="34"/>
  <c r="L56" i="34"/>
  <c r="J129" i="34"/>
  <c r="J132" i="34"/>
  <c r="J135" i="34"/>
  <c r="J62" i="34"/>
  <c r="J42" i="34"/>
  <c r="J38" i="34"/>
  <c r="J46" i="34" s="1"/>
  <c r="J44" i="34" s="1"/>
  <c r="K25" i="34"/>
  <c r="K79" i="34" s="1"/>
  <c r="K28" i="34"/>
  <c r="K94" i="34" s="1"/>
  <c r="L18" i="34"/>
  <c r="G111" i="34"/>
  <c r="G113" i="34" s="1"/>
  <c r="G123" i="34" s="1"/>
  <c r="G121" i="34" s="1"/>
  <c r="G74" i="34"/>
  <c r="G70" i="34"/>
  <c r="G78" i="34" s="1"/>
  <c r="G76" i="34" s="1"/>
  <c r="K21" i="34"/>
  <c r="K23" i="34" s="1"/>
  <c r="K66" i="34" s="1"/>
  <c r="J99" i="34"/>
  <c r="K130" i="34"/>
  <c r="K127" i="34"/>
  <c r="K133" i="34"/>
  <c r="K56" i="34"/>
  <c r="K57" i="34" s="1"/>
  <c r="I81" i="34"/>
  <c r="J27" i="34"/>
  <c r="M54" i="31"/>
  <c r="J96" i="31"/>
  <c r="K30" i="31"/>
  <c r="K132" i="31"/>
  <c r="K135" i="31"/>
  <c r="K129" i="31"/>
  <c r="K62" i="31"/>
  <c r="K60" i="31" s="1"/>
  <c r="M28" i="31"/>
  <c r="M94" i="31" s="1"/>
  <c r="M25" i="31"/>
  <c r="M79" i="31" s="1"/>
  <c r="K38" i="31"/>
  <c r="K46" i="31" s="1"/>
  <c r="K44" i="31" s="1"/>
  <c r="K42" i="31"/>
  <c r="I98" i="31"/>
  <c r="I108" i="31" s="1"/>
  <c r="I106" i="31" s="1"/>
  <c r="I107" i="31" s="1"/>
  <c r="I104" i="31"/>
  <c r="G119" i="31"/>
  <c r="H74" i="31"/>
  <c r="M34" i="31"/>
  <c r="N39" i="31"/>
  <c r="N34" i="31" s="1"/>
  <c r="N53" i="31"/>
  <c r="N51" i="31"/>
  <c r="J70" i="31"/>
  <c r="J78" i="31" s="1"/>
  <c r="J76" i="31" s="1"/>
  <c r="L37" i="31"/>
  <c r="L40" i="31" s="1"/>
  <c r="L41" i="31" s="1"/>
  <c r="L36" i="31"/>
  <c r="N18" i="31"/>
  <c r="J81" i="31"/>
  <c r="K27" i="31"/>
  <c r="J114" i="31"/>
  <c r="I89" i="31"/>
  <c r="I83" i="31"/>
  <c r="I93" i="31" s="1"/>
  <c r="I91" i="31" s="1"/>
  <c r="I111" i="31"/>
  <c r="I113" i="31" s="1"/>
  <c r="I123" i="31" s="1"/>
  <c r="I121" i="31" s="1"/>
  <c r="J88" i="31"/>
  <c r="L69" i="31"/>
  <c r="L72" i="31" s="1"/>
  <c r="L109" i="31"/>
  <c r="L112" i="31" s="1"/>
  <c r="L116" i="31" s="1"/>
  <c r="L71" i="31"/>
  <c r="L68" i="31"/>
  <c r="L84" i="31"/>
  <c r="L82" i="31"/>
  <c r="L86" i="31" s="1"/>
  <c r="K97" i="31"/>
  <c r="K101" i="31" s="1"/>
  <c r="K103" i="31" s="1"/>
  <c r="K99" i="31"/>
  <c r="J112" i="31"/>
  <c r="J116" i="31" s="1"/>
  <c r="L97" i="31"/>
  <c r="L101" i="31" s="1"/>
  <c r="L99" i="31"/>
  <c r="M21" i="31"/>
  <c r="M23" i="31" s="1"/>
  <c r="M66" i="31" s="1"/>
  <c r="I77" i="31"/>
  <c r="K70" i="29"/>
  <c r="K78" i="29" s="1"/>
  <c r="J109" i="29"/>
  <c r="J71" i="29"/>
  <c r="J69" i="29"/>
  <c r="J72" i="29" s="1"/>
  <c r="J68" i="29"/>
  <c r="L37" i="29"/>
  <c r="L40" i="29" s="1"/>
  <c r="L41" i="29" s="1"/>
  <c r="M34" i="29"/>
  <c r="N39" i="29"/>
  <c r="J135" i="27"/>
  <c r="J132" i="27"/>
  <c r="J129" i="27"/>
  <c r="J62" i="27"/>
  <c r="N39" i="25"/>
  <c r="I73" i="23"/>
  <c r="I61" i="23"/>
  <c r="J66" i="23"/>
  <c r="H88" i="23"/>
  <c r="I88" i="23" s="1"/>
  <c r="I87" i="23"/>
  <c r="K21" i="23"/>
  <c r="K23" i="23" s="1"/>
  <c r="K66" i="23" s="1"/>
  <c r="I85" i="23"/>
  <c r="K52" i="23"/>
  <c r="H111" i="23"/>
  <c r="H113" i="23" s="1"/>
  <c r="H123" i="23" s="1"/>
  <c r="H121" i="23" s="1"/>
  <c r="H74" i="23"/>
  <c r="H70" i="23"/>
  <c r="H78" i="23" s="1"/>
  <c r="H76" i="23" s="1"/>
  <c r="I99" i="23"/>
  <c r="I97" i="23"/>
  <c r="I101" i="23" s="1"/>
  <c r="I95" i="23"/>
  <c r="I7" i="23" s="1"/>
  <c r="I96" i="23"/>
  <c r="J30" i="23"/>
  <c r="I81" i="23"/>
  <c r="J27" i="23"/>
  <c r="M17" i="23"/>
  <c r="M16" i="23"/>
  <c r="N15" i="23"/>
  <c r="M50" i="23"/>
  <c r="M53" i="23" s="1"/>
  <c r="J79" i="23"/>
  <c r="H98" i="23"/>
  <c r="H108" i="23" s="1"/>
  <c r="H106" i="23" s="1"/>
  <c r="H104" i="23"/>
  <c r="H114" i="23"/>
  <c r="H83" i="23"/>
  <c r="H93" i="23" s="1"/>
  <c r="H91" i="23" s="1"/>
  <c r="H112" i="23"/>
  <c r="H116" i="23" s="1"/>
  <c r="M34" i="23"/>
  <c r="M37" i="23" s="1"/>
  <c r="M40" i="23" s="1"/>
  <c r="N39" i="23"/>
  <c r="J99" i="23"/>
  <c r="J97" i="23"/>
  <c r="J101" i="23" s="1"/>
  <c r="K28" i="23"/>
  <c r="K25" i="23"/>
  <c r="K79" i="23" s="1"/>
  <c r="J88" i="18"/>
  <c r="I73" i="18"/>
  <c r="J73" i="18" s="1"/>
  <c r="K44" i="18"/>
  <c r="I110" i="18"/>
  <c r="F18" i="39" s="1"/>
  <c r="F19" i="39" s="1"/>
  <c r="K66" i="18"/>
  <c r="N16" i="18"/>
  <c r="N17" i="18"/>
  <c r="N53" i="18"/>
  <c r="J70" i="18"/>
  <c r="J78" i="18" s="1"/>
  <c r="G119" i="18"/>
  <c r="I117" i="18"/>
  <c r="I70" i="18"/>
  <c r="I78" i="18" s="1"/>
  <c r="H111" i="18"/>
  <c r="H113" i="18" s="1"/>
  <c r="H123" i="18" s="1"/>
  <c r="H121" i="18" s="1"/>
  <c r="H74" i="18"/>
  <c r="H119" i="18" s="1"/>
  <c r="H70" i="18"/>
  <c r="H78" i="18" s="1"/>
  <c r="H76" i="18" s="1"/>
  <c r="N39" i="18"/>
  <c r="N34" i="18" s="1"/>
  <c r="M34" i="18"/>
  <c r="M37" i="18" s="1"/>
  <c r="M40" i="18" s="1"/>
  <c r="J81" i="18"/>
  <c r="K27" i="18"/>
  <c r="L21" i="18"/>
  <c r="L23" i="18" s="1"/>
  <c r="L66" i="18" s="1"/>
  <c r="L41" i="18"/>
  <c r="I103" i="18"/>
  <c r="J103" i="18" s="1"/>
  <c r="I102" i="18"/>
  <c r="I83" i="18"/>
  <c r="I93" i="18" s="1"/>
  <c r="I91" i="18" s="1"/>
  <c r="I92" i="18" s="1"/>
  <c r="I89" i="18"/>
  <c r="I90" i="18" s="1"/>
  <c r="K54" i="18"/>
  <c r="K58" i="18"/>
  <c r="L25" i="18"/>
  <c r="L79" i="18" s="1"/>
  <c r="L28" i="18"/>
  <c r="L94" i="18" s="1"/>
  <c r="J129" i="18"/>
  <c r="J132" i="18"/>
  <c r="J135" i="18"/>
  <c r="J62" i="18"/>
  <c r="J60" i="18" s="1"/>
  <c r="I100" i="18"/>
  <c r="K97" i="18"/>
  <c r="K101" i="18" s="1"/>
  <c r="K99" i="18"/>
  <c r="M19" i="18"/>
  <c r="M18" i="18"/>
  <c r="L52" i="18"/>
  <c r="K79" i="18"/>
  <c r="G118" i="18"/>
  <c r="H118" i="18" s="1"/>
  <c r="I118" i="18" s="1"/>
  <c r="J118" i="18" s="1"/>
  <c r="L36" i="18"/>
  <c r="M53" i="18"/>
  <c r="I109" i="36"/>
  <c r="I112" i="36" s="1"/>
  <c r="I116" i="36" s="1"/>
  <c r="I71" i="36"/>
  <c r="I87" i="36"/>
  <c r="I88" i="36"/>
  <c r="J88" i="36" s="1"/>
  <c r="I111" i="36"/>
  <c r="I113" i="36" s="1"/>
  <c r="I123" i="36" s="1"/>
  <c r="I121" i="36" s="1"/>
  <c r="I83" i="36"/>
  <c r="I93" i="36" s="1"/>
  <c r="I91" i="36" s="1"/>
  <c r="I92" i="36" s="1"/>
  <c r="I85" i="36"/>
  <c r="I114" i="36"/>
  <c r="I115" i="36" s="1"/>
  <c r="I89" i="36"/>
  <c r="K27" i="36"/>
  <c r="K81" i="36" s="1"/>
  <c r="K79" i="36"/>
  <c r="J83" i="36"/>
  <c r="J93" i="36" s="1"/>
  <c r="L28" i="36"/>
  <c r="L94" i="36" s="1"/>
  <c r="L25" i="36"/>
  <c r="H76" i="36"/>
  <c r="H121" i="36"/>
  <c r="I67" i="36"/>
  <c r="K66" i="36"/>
  <c r="J71" i="36"/>
  <c r="J114" i="36" s="1"/>
  <c r="J69" i="36"/>
  <c r="J72" i="36" s="1"/>
  <c r="J73" i="36" s="1"/>
  <c r="J68" i="36"/>
  <c r="J111" i="36" s="1"/>
  <c r="M19" i="36"/>
  <c r="M18" i="36"/>
  <c r="L21" i="36"/>
  <c r="L23" i="36" s="1"/>
  <c r="L66" i="36" s="1"/>
  <c r="G74" i="36"/>
  <c r="G119" i="36" s="1"/>
  <c r="I104" i="36"/>
  <c r="I105" i="36" s="1"/>
  <c r="I98" i="36"/>
  <c r="I108" i="36" s="1"/>
  <c r="I106" i="36" s="1"/>
  <c r="I107" i="36" s="1"/>
  <c r="K58" i="36"/>
  <c r="K54" i="36"/>
  <c r="L52" i="36"/>
  <c r="N51" i="36"/>
  <c r="N16" i="36"/>
  <c r="N17" i="36"/>
  <c r="N34" i="36"/>
  <c r="N35" i="36" s="1"/>
  <c r="M133" i="36"/>
  <c r="M130" i="36"/>
  <c r="M127" i="36"/>
  <c r="M56" i="36"/>
  <c r="M57" i="36" s="1"/>
  <c r="M41" i="36"/>
  <c r="K30" i="36"/>
  <c r="K96" i="36" s="1"/>
  <c r="L36" i="36"/>
  <c r="K97" i="36"/>
  <c r="K101" i="36" s="1"/>
  <c r="K103" i="36" s="1"/>
  <c r="K99" i="36"/>
  <c r="I70" i="36"/>
  <c r="I78" i="36" s="1"/>
  <c r="I76" i="36" s="1"/>
  <c r="J132" i="36"/>
  <c r="J129" i="36"/>
  <c r="J135" i="36"/>
  <c r="J62" i="36"/>
  <c r="J60" i="36" s="1"/>
  <c r="M37" i="19"/>
  <c r="M35" i="19"/>
  <c r="M36" i="19"/>
  <c r="K40" i="19"/>
  <c r="H40" i="19"/>
  <c r="L40" i="19" s="1"/>
  <c r="H39" i="19"/>
  <c r="L39" i="19" s="1"/>
  <c r="K39" i="19"/>
  <c r="M39" i="19" s="1"/>
  <c r="H41" i="19"/>
  <c r="L41" i="19" s="1"/>
  <c r="K41" i="19"/>
  <c r="M8" i="13"/>
  <c r="M10" i="13" s="1"/>
  <c r="L10" i="13"/>
  <c r="J33" i="13"/>
  <c r="I36" i="13"/>
  <c r="I27" i="13"/>
  <c r="H30" i="13"/>
  <c r="I23" i="13"/>
  <c r="I24" i="13"/>
  <c r="J21" i="13"/>
  <c r="J15" i="13"/>
  <c r="I17" i="13"/>
  <c r="I18" i="13"/>
  <c r="H11" i="13"/>
  <c r="H12" i="13"/>
  <c r="H13" i="13" s="1"/>
  <c r="I9" i="13"/>
  <c r="K109" i="31" l="1"/>
  <c r="K112" i="31" s="1"/>
  <c r="K116" i="31" s="1"/>
  <c r="J30" i="34"/>
  <c r="K42" i="34"/>
  <c r="K68" i="31"/>
  <c r="K71" i="31"/>
  <c r="K84" i="31"/>
  <c r="K82" i="31"/>
  <c r="K86" i="31" s="1"/>
  <c r="K88" i="31" s="1"/>
  <c r="L88" i="31" s="1"/>
  <c r="J30" i="18"/>
  <c r="J96" i="18" s="1"/>
  <c r="J111" i="18" s="1"/>
  <c r="J113" i="18" s="1"/>
  <c r="J123" i="18" s="1"/>
  <c r="I104" i="18"/>
  <c r="I105" i="18" s="1"/>
  <c r="I111" i="18"/>
  <c r="I113" i="18" s="1"/>
  <c r="I123" i="18" s="1"/>
  <c r="I121" i="18" s="1"/>
  <c r="I122" i="18" s="1"/>
  <c r="K73" i="31"/>
  <c r="L73" i="31" s="1"/>
  <c r="M16" i="34"/>
  <c r="M17" i="34"/>
  <c r="M19" i="34" s="1"/>
  <c r="L36" i="34"/>
  <c r="N15" i="34"/>
  <c r="N50" i="34" s="1"/>
  <c r="M34" i="34"/>
  <c r="M37" i="34" s="1"/>
  <c r="M40" i="34" s="1"/>
  <c r="M34" i="25"/>
  <c r="M37" i="25" s="1"/>
  <c r="M40" i="25" s="1"/>
  <c r="M50" i="25"/>
  <c r="L52" i="34"/>
  <c r="L54" i="34" s="1"/>
  <c r="J88" i="34"/>
  <c r="K58" i="34"/>
  <c r="R14" i="39"/>
  <c r="R17" i="39" s="1"/>
  <c r="K114" i="31"/>
  <c r="N14" i="39"/>
  <c r="N17" i="39" s="1"/>
  <c r="J16" i="39"/>
  <c r="J15" i="39"/>
  <c r="J14" i="39"/>
  <c r="L130" i="23"/>
  <c r="G119" i="23"/>
  <c r="L57" i="29"/>
  <c r="L19" i="23"/>
  <c r="L36" i="23" s="1"/>
  <c r="L38" i="23" s="1"/>
  <c r="L46" i="23" s="1"/>
  <c r="L44" i="23" s="1"/>
  <c r="K30" i="18"/>
  <c r="K96" i="18" s="1"/>
  <c r="L56" i="23"/>
  <c r="L57" i="23" s="1"/>
  <c r="L133" i="23"/>
  <c r="K42" i="23"/>
  <c r="M41" i="34"/>
  <c r="L57" i="34"/>
  <c r="N5" i="34"/>
  <c r="N7" i="34"/>
  <c r="N9" i="34"/>
  <c r="J27" i="29"/>
  <c r="J81" i="29" s="1"/>
  <c r="J83" i="29" s="1"/>
  <c r="J93" i="29" s="1"/>
  <c r="J91" i="29" s="1"/>
  <c r="K57" i="25"/>
  <c r="I114" i="23"/>
  <c r="I115" i="23" s="1"/>
  <c r="I110" i="23"/>
  <c r="H121" i="29"/>
  <c r="I74" i="25"/>
  <c r="I75" i="25" s="1"/>
  <c r="J62" i="23"/>
  <c r="J60" i="23" s="1"/>
  <c r="K99" i="29"/>
  <c r="G119" i="27"/>
  <c r="I135" i="27"/>
  <c r="M9" i="27" s="1"/>
  <c r="I132" i="27"/>
  <c r="M7" i="27" s="1"/>
  <c r="I129" i="27"/>
  <c r="M5" i="27" s="1"/>
  <c r="I62" i="27"/>
  <c r="I60" i="27" s="1"/>
  <c r="I61" i="27" s="1"/>
  <c r="G121" i="29"/>
  <c r="I59" i="27"/>
  <c r="J58" i="27"/>
  <c r="I82" i="27"/>
  <c r="I86" i="27" s="1"/>
  <c r="I84" i="27"/>
  <c r="I85" i="27" s="1"/>
  <c r="I80" i="27"/>
  <c r="I6" i="27" s="1"/>
  <c r="J132" i="23"/>
  <c r="J135" i="23"/>
  <c r="L56" i="27"/>
  <c r="L57" i="27" s="1"/>
  <c r="L130" i="27"/>
  <c r="L133" i="27"/>
  <c r="L127" i="27"/>
  <c r="J84" i="25"/>
  <c r="J69" i="25"/>
  <c r="J72" i="25" s="1"/>
  <c r="J73" i="25" s="1"/>
  <c r="I95" i="27"/>
  <c r="I7" i="27" s="1"/>
  <c r="I99" i="27"/>
  <c r="I100" i="27" s="1"/>
  <c r="I97" i="27"/>
  <c r="I101" i="27" s="1"/>
  <c r="K28" i="27"/>
  <c r="K94" i="27" s="1"/>
  <c r="K25" i="27"/>
  <c r="K79" i="27" s="1"/>
  <c r="I66" i="27"/>
  <c r="I24" i="27"/>
  <c r="L14" i="39" s="1"/>
  <c r="L17" i="39" s="1"/>
  <c r="M34" i="27"/>
  <c r="M16" i="27"/>
  <c r="N15" i="27"/>
  <c r="N50" i="27" s="1"/>
  <c r="M53" i="27"/>
  <c r="M17" i="27"/>
  <c r="J109" i="27"/>
  <c r="J112" i="27" s="1"/>
  <c r="J116" i="27" s="1"/>
  <c r="J69" i="27"/>
  <c r="J72" i="27" s="1"/>
  <c r="J71" i="27"/>
  <c r="J68" i="27"/>
  <c r="J99" i="27"/>
  <c r="J97" i="27"/>
  <c r="J101" i="27" s="1"/>
  <c r="K36" i="27"/>
  <c r="K38" i="27" s="1"/>
  <c r="K46" i="27" s="1"/>
  <c r="K52" i="27"/>
  <c r="K21" i="27"/>
  <c r="K23" i="27" s="1"/>
  <c r="K66" i="27" s="1"/>
  <c r="L19" i="27"/>
  <c r="L18" i="27"/>
  <c r="J38" i="27"/>
  <c r="J46" i="27" s="1"/>
  <c r="J44" i="27" s="1"/>
  <c r="J42" i="27"/>
  <c r="J84" i="27"/>
  <c r="J82" i="27"/>
  <c r="J86" i="27" s="1"/>
  <c r="I74" i="23"/>
  <c r="I75" i="23" s="1"/>
  <c r="M41" i="25"/>
  <c r="I96" i="29"/>
  <c r="J30" i="29"/>
  <c r="J68" i="25"/>
  <c r="H106" i="29"/>
  <c r="H83" i="27"/>
  <c r="H93" i="27" s="1"/>
  <c r="H91" i="27" s="1"/>
  <c r="H111" i="27"/>
  <c r="H113" i="27" s="1"/>
  <c r="H123" i="27" s="1"/>
  <c r="H121" i="27" s="1"/>
  <c r="H89" i="27"/>
  <c r="G119" i="25"/>
  <c r="J30" i="27"/>
  <c r="I96" i="27"/>
  <c r="H104" i="27"/>
  <c r="H98" i="27"/>
  <c r="H108" i="27" s="1"/>
  <c r="H106" i="27" s="1"/>
  <c r="I81" i="27"/>
  <c r="J27" i="27"/>
  <c r="J38" i="25"/>
  <c r="J46" i="25" s="1"/>
  <c r="J44" i="25" s="1"/>
  <c r="J42" i="25"/>
  <c r="I96" i="25"/>
  <c r="J30" i="25"/>
  <c r="L71" i="29"/>
  <c r="J58" i="25"/>
  <c r="I59" i="25"/>
  <c r="K28" i="25"/>
  <c r="K94" i="25" s="1"/>
  <c r="K99" i="25" s="1"/>
  <c r="K25" i="25"/>
  <c r="K79" i="25" s="1"/>
  <c r="H98" i="25"/>
  <c r="H108" i="25" s="1"/>
  <c r="H106" i="25" s="1"/>
  <c r="H104" i="25"/>
  <c r="I129" i="25"/>
  <c r="M5" i="25" s="1"/>
  <c r="I135" i="25"/>
  <c r="M9" i="25" s="1"/>
  <c r="I132" i="25"/>
  <c r="M7" i="25" s="1"/>
  <c r="I62" i="25"/>
  <c r="I60" i="25" s="1"/>
  <c r="I61" i="25" s="1"/>
  <c r="K36" i="25"/>
  <c r="K21" i="25"/>
  <c r="K23" i="25" s="1"/>
  <c r="K66" i="25" s="1"/>
  <c r="L127" i="25"/>
  <c r="L133" i="25"/>
  <c r="L130" i="25"/>
  <c r="L56" i="25"/>
  <c r="J129" i="25"/>
  <c r="J132" i="25"/>
  <c r="J135" i="25"/>
  <c r="J62" i="25"/>
  <c r="J99" i="25"/>
  <c r="J97" i="25"/>
  <c r="J101" i="25" s="1"/>
  <c r="L19" i="25"/>
  <c r="L52" i="25" s="1"/>
  <c r="L54" i="25" s="1"/>
  <c r="L18" i="25"/>
  <c r="H89" i="25"/>
  <c r="H83" i="25"/>
  <c r="H93" i="25" s="1"/>
  <c r="H91" i="25" s="1"/>
  <c r="K109" i="29"/>
  <c r="K112" i="29" s="1"/>
  <c r="K116" i="29" s="1"/>
  <c r="K52" i="25"/>
  <c r="H70" i="25"/>
  <c r="H78" i="25" s="1"/>
  <c r="H76" i="25" s="1"/>
  <c r="H111" i="25"/>
  <c r="H113" i="25" s="1"/>
  <c r="H123" i="25" s="1"/>
  <c r="H121" i="25" s="1"/>
  <c r="I81" i="25"/>
  <c r="J27" i="25"/>
  <c r="K42" i="29"/>
  <c r="M17" i="25"/>
  <c r="M53" i="25"/>
  <c r="M130" i="25" s="1"/>
  <c r="N15" i="25"/>
  <c r="M16" i="25"/>
  <c r="J109" i="25"/>
  <c r="J112" i="25" s="1"/>
  <c r="J116" i="25" s="1"/>
  <c r="I99" i="25"/>
  <c r="I100" i="25" s="1"/>
  <c r="I97" i="25"/>
  <c r="I101" i="25" s="1"/>
  <c r="I95" i="25"/>
  <c r="I7" i="25" s="1"/>
  <c r="H89" i="29"/>
  <c r="G119" i="29"/>
  <c r="I80" i="25"/>
  <c r="I6" i="25" s="1"/>
  <c r="I109" i="25"/>
  <c r="I84" i="25"/>
  <c r="I82" i="25"/>
  <c r="I86" i="25" s="1"/>
  <c r="L28" i="29"/>
  <c r="L94" i="29" s="1"/>
  <c r="L25" i="29"/>
  <c r="L79" i="29" s="1"/>
  <c r="I87" i="29"/>
  <c r="I88" i="29"/>
  <c r="J88" i="29" s="1"/>
  <c r="L52" i="29"/>
  <c r="K82" i="29"/>
  <c r="K86" i="29" s="1"/>
  <c r="K84" i="29"/>
  <c r="M133" i="29"/>
  <c r="M127" i="29"/>
  <c r="M130" i="29"/>
  <c r="M56" i="29"/>
  <c r="K58" i="29"/>
  <c r="K54" i="29"/>
  <c r="L36" i="29"/>
  <c r="L38" i="29" s="1"/>
  <c r="L46" i="29" s="1"/>
  <c r="L44" i="29" s="1"/>
  <c r="N34" i="29"/>
  <c r="N37" i="29" s="1"/>
  <c r="N40" i="29" s="1"/>
  <c r="L68" i="29"/>
  <c r="L70" i="29" s="1"/>
  <c r="L78" i="29" s="1"/>
  <c r="L76" i="29" s="1"/>
  <c r="J114" i="29"/>
  <c r="M18" i="29"/>
  <c r="M19" i="29"/>
  <c r="I69" i="29"/>
  <c r="I72" i="29" s="1"/>
  <c r="I73" i="29" s="1"/>
  <c r="J73" i="29" s="1"/>
  <c r="K73" i="29" s="1"/>
  <c r="L73" i="29" s="1"/>
  <c r="I68" i="29"/>
  <c r="I71" i="29"/>
  <c r="I114" i="29" s="1"/>
  <c r="I115" i="29" s="1"/>
  <c r="I109" i="29"/>
  <c r="I67" i="29"/>
  <c r="I5" i="29" s="1"/>
  <c r="N16" i="29"/>
  <c r="N17" i="29"/>
  <c r="J129" i="29"/>
  <c r="J132" i="29"/>
  <c r="J135" i="29"/>
  <c r="J62" i="29"/>
  <c r="J60" i="29" s="1"/>
  <c r="I102" i="29"/>
  <c r="I103" i="29"/>
  <c r="J103" i="29" s="1"/>
  <c r="K103" i="29" s="1"/>
  <c r="M41" i="23"/>
  <c r="N34" i="23"/>
  <c r="N37" i="23" s="1"/>
  <c r="N40" i="23" s="1"/>
  <c r="I76" i="23"/>
  <c r="I77" i="23" s="1"/>
  <c r="J76" i="18"/>
  <c r="I10" i="18"/>
  <c r="M36" i="18"/>
  <c r="M38" i="18" s="1"/>
  <c r="M46" i="18" s="1"/>
  <c r="M41" i="18"/>
  <c r="I69" i="34"/>
  <c r="I72" i="34" s="1"/>
  <c r="I73" i="34" s="1"/>
  <c r="I67" i="34"/>
  <c r="I5" i="34" s="1"/>
  <c r="I71" i="34"/>
  <c r="I114" i="34" s="1"/>
  <c r="I115" i="34" s="1"/>
  <c r="I68" i="34"/>
  <c r="I70" i="34" s="1"/>
  <c r="I78" i="34" s="1"/>
  <c r="I76" i="34" s="1"/>
  <c r="K109" i="34"/>
  <c r="K112" i="34" s="1"/>
  <c r="K116" i="34" s="1"/>
  <c r="K71" i="34"/>
  <c r="K69" i="34"/>
  <c r="K72" i="34" s="1"/>
  <c r="K68" i="34"/>
  <c r="I89" i="34"/>
  <c r="I90" i="34" s="1"/>
  <c r="I83" i="34"/>
  <c r="I93" i="34" s="1"/>
  <c r="I91" i="34" s="1"/>
  <c r="M127" i="34"/>
  <c r="M133" i="34"/>
  <c r="M130" i="34"/>
  <c r="M56" i="34"/>
  <c r="G119" i="34"/>
  <c r="H74" i="34"/>
  <c r="L38" i="34"/>
  <c r="L46" i="34" s="1"/>
  <c r="L44" i="34" s="1"/>
  <c r="I102" i="34"/>
  <c r="I103" i="34"/>
  <c r="J103" i="34" s="1"/>
  <c r="J81" i="34"/>
  <c r="K27" i="34"/>
  <c r="I87" i="34"/>
  <c r="I100" i="34"/>
  <c r="K44" i="34"/>
  <c r="K97" i="34"/>
  <c r="K101" i="34" s="1"/>
  <c r="K99" i="34"/>
  <c r="H76" i="34"/>
  <c r="I85" i="34"/>
  <c r="H121" i="34"/>
  <c r="I110" i="34"/>
  <c r="R18" i="39" s="1"/>
  <c r="R19" i="39" s="1"/>
  <c r="K84" i="34"/>
  <c r="K82" i="34"/>
  <c r="K86" i="34" s="1"/>
  <c r="I61" i="34"/>
  <c r="I117" i="34"/>
  <c r="G118" i="34"/>
  <c r="H118" i="34" s="1"/>
  <c r="I118" i="34" s="1"/>
  <c r="J109" i="34"/>
  <c r="J112" i="34" s="1"/>
  <c r="J116" i="34" s="1"/>
  <c r="J69" i="34"/>
  <c r="J72" i="34" s="1"/>
  <c r="J71" i="34"/>
  <c r="J114" i="34" s="1"/>
  <c r="J68" i="34"/>
  <c r="J96" i="34"/>
  <c r="K30" i="34"/>
  <c r="L28" i="34"/>
  <c r="L25" i="34"/>
  <c r="L79" i="34" s="1"/>
  <c r="L21" i="34"/>
  <c r="L23" i="34" s="1"/>
  <c r="L66" i="34" s="1"/>
  <c r="J60" i="34"/>
  <c r="K132" i="34"/>
  <c r="K129" i="34"/>
  <c r="K135" i="34"/>
  <c r="K62" i="34"/>
  <c r="K60" i="34" s="1"/>
  <c r="I98" i="34"/>
  <c r="I108" i="34" s="1"/>
  <c r="I106" i="34" s="1"/>
  <c r="I104" i="34"/>
  <c r="I105" i="34" s="1"/>
  <c r="L103" i="31"/>
  <c r="L114" i="31"/>
  <c r="M109" i="31"/>
  <c r="M71" i="31"/>
  <c r="M69" i="31"/>
  <c r="M72" i="31" s="1"/>
  <c r="M68" i="31"/>
  <c r="J83" i="31"/>
  <c r="J93" i="31" s="1"/>
  <c r="J91" i="31" s="1"/>
  <c r="J89" i="31"/>
  <c r="L70" i="31"/>
  <c r="L78" i="31" s="1"/>
  <c r="N21" i="31"/>
  <c r="N22" i="31" s="1"/>
  <c r="N20" i="31"/>
  <c r="J111" i="31"/>
  <c r="J113" i="31" s="1"/>
  <c r="J123" i="31" s="1"/>
  <c r="J121" i="31" s="1"/>
  <c r="N28" i="31"/>
  <c r="N25" i="31"/>
  <c r="I90" i="31"/>
  <c r="K70" i="31"/>
  <c r="K78" i="31" s="1"/>
  <c r="K76" i="31" s="1"/>
  <c r="J98" i="31"/>
  <c r="J108" i="31" s="1"/>
  <c r="J106" i="31" s="1"/>
  <c r="J104" i="31"/>
  <c r="N52" i="31"/>
  <c r="I122" i="31"/>
  <c r="M37" i="31"/>
  <c r="M40" i="31" s="1"/>
  <c r="M41" i="31" s="1"/>
  <c r="M36" i="31"/>
  <c r="I92" i="31"/>
  <c r="N36" i="31"/>
  <c r="H119" i="31"/>
  <c r="I74" i="31"/>
  <c r="M84" i="31"/>
  <c r="M82" i="31"/>
  <c r="M86" i="31" s="1"/>
  <c r="L42" i="31"/>
  <c r="L38" i="31"/>
  <c r="L46" i="31" s="1"/>
  <c r="L44" i="31" s="1"/>
  <c r="N127" i="31"/>
  <c r="N128" i="31" s="1"/>
  <c r="N133" i="31"/>
  <c r="N134" i="31" s="1"/>
  <c r="N130" i="31"/>
  <c r="N131" i="31" s="1"/>
  <c r="N56" i="31"/>
  <c r="N57" i="31" s="1"/>
  <c r="M97" i="31"/>
  <c r="M101" i="31" s="1"/>
  <c r="M99" i="31"/>
  <c r="L132" i="31"/>
  <c r="L129" i="31"/>
  <c r="L135" i="31"/>
  <c r="L62" i="31"/>
  <c r="L60" i="31" s="1"/>
  <c r="J118" i="31"/>
  <c r="K118" i="31" s="1"/>
  <c r="L118" i="31" s="1"/>
  <c r="K81" i="31"/>
  <c r="L27" i="31"/>
  <c r="N37" i="31"/>
  <c r="N40" i="31" s="1"/>
  <c r="N35" i="31"/>
  <c r="K96" i="31"/>
  <c r="L30" i="31"/>
  <c r="I105" i="31"/>
  <c r="M135" i="31"/>
  <c r="M129" i="31"/>
  <c r="M132" i="31"/>
  <c r="M62" i="31"/>
  <c r="J112" i="29"/>
  <c r="J116" i="29" s="1"/>
  <c r="I92" i="29"/>
  <c r="M37" i="29"/>
  <c r="M40" i="29" s="1"/>
  <c r="M41" i="29" s="1"/>
  <c r="J70" i="29"/>
  <c r="J78" i="29" s="1"/>
  <c r="K69" i="23"/>
  <c r="K72" i="23" s="1"/>
  <c r="K71" i="23"/>
  <c r="K68" i="23"/>
  <c r="I117" i="23"/>
  <c r="H118" i="23"/>
  <c r="I118" i="23" s="1"/>
  <c r="J82" i="23"/>
  <c r="J86" i="23" s="1"/>
  <c r="J88" i="23" s="1"/>
  <c r="J84" i="23"/>
  <c r="L25" i="23"/>
  <c r="L79" i="23" s="1"/>
  <c r="L28" i="23"/>
  <c r="L94" i="23" s="1"/>
  <c r="M127" i="23"/>
  <c r="M133" i="23"/>
  <c r="M130" i="23"/>
  <c r="M56" i="23"/>
  <c r="I98" i="23"/>
  <c r="I108" i="23" s="1"/>
  <c r="I106" i="23" s="1"/>
  <c r="I104" i="23"/>
  <c r="I105" i="23" s="1"/>
  <c r="N17" i="23"/>
  <c r="N16" i="23"/>
  <c r="N50" i="23"/>
  <c r="K82" i="23"/>
  <c r="K86" i="23" s="1"/>
  <c r="K84" i="23"/>
  <c r="J81" i="23"/>
  <c r="K27" i="23"/>
  <c r="K94" i="23"/>
  <c r="M18" i="23"/>
  <c r="M19" i="23"/>
  <c r="M52" i="23" s="1"/>
  <c r="I83" i="23"/>
  <c r="I93" i="23" s="1"/>
  <c r="I91" i="23" s="1"/>
  <c r="I89" i="23"/>
  <c r="H119" i="23"/>
  <c r="I111" i="23"/>
  <c r="I113" i="23" s="1"/>
  <c r="I123" i="23" s="1"/>
  <c r="I121" i="23" s="1"/>
  <c r="I122" i="23" s="1"/>
  <c r="I103" i="23"/>
  <c r="J103" i="23" s="1"/>
  <c r="I102" i="23"/>
  <c r="J109" i="23"/>
  <c r="J69" i="23"/>
  <c r="J72" i="23" s="1"/>
  <c r="J73" i="23" s="1"/>
  <c r="J71" i="23"/>
  <c r="J68" i="23"/>
  <c r="J96" i="23"/>
  <c r="K30" i="23"/>
  <c r="I100" i="23"/>
  <c r="K54" i="23"/>
  <c r="K58" i="23"/>
  <c r="N51" i="18"/>
  <c r="I74" i="18"/>
  <c r="I75" i="18" s="1"/>
  <c r="K132" i="18"/>
  <c r="K135" i="18"/>
  <c r="K129" i="18"/>
  <c r="K62" i="18"/>
  <c r="K60" i="18" s="1"/>
  <c r="M127" i="18"/>
  <c r="M130" i="18"/>
  <c r="M133" i="18"/>
  <c r="M56" i="18"/>
  <c r="M57" i="18" s="1"/>
  <c r="M52" i="18"/>
  <c r="K103" i="18"/>
  <c r="J83" i="18"/>
  <c r="J93" i="18" s="1"/>
  <c r="J91" i="18" s="1"/>
  <c r="J89" i="18"/>
  <c r="K69" i="18"/>
  <c r="K72" i="18" s="1"/>
  <c r="K73" i="18" s="1"/>
  <c r="K71" i="18"/>
  <c r="K109" i="18"/>
  <c r="K68" i="18"/>
  <c r="K82" i="18"/>
  <c r="K86" i="18" s="1"/>
  <c r="K84" i="18"/>
  <c r="L58" i="18"/>
  <c r="L54" i="18"/>
  <c r="N37" i="18"/>
  <c r="N40" i="18" s="1"/>
  <c r="N35" i="18"/>
  <c r="N127" i="18"/>
  <c r="N130" i="18"/>
  <c r="N133" i="18"/>
  <c r="N56" i="18"/>
  <c r="L42" i="18"/>
  <c r="L38" i="18"/>
  <c r="L46" i="18" s="1"/>
  <c r="L44" i="18" s="1"/>
  <c r="L97" i="18"/>
  <c r="L101" i="18" s="1"/>
  <c r="L99" i="18"/>
  <c r="N19" i="18"/>
  <c r="N52" i="18" s="1"/>
  <c r="N18" i="18"/>
  <c r="M21" i="18"/>
  <c r="M23" i="18" s="1"/>
  <c r="M66" i="18" s="1"/>
  <c r="L82" i="18"/>
  <c r="L86" i="18" s="1"/>
  <c r="L84" i="18"/>
  <c r="L109" i="18"/>
  <c r="L112" i="18" s="1"/>
  <c r="L116" i="18" s="1"/>
  <c r="L69" i="18"/>
  <c r="L72" i="18" s="1"/>
  <c r="L71" i="18"/>
  <c r="L68" i="18"/>
  <c r="K81" i="18"/>
  <c r="L27" i="18"/>
  <c r="M28" i="18"/>
  <c r="M94" i="18" s="1"/>
  <c r="M25" i="18"/>
  <c r="M79" i="18" s="1"/>
  <c r="I76" i="18"/>
  <c r="J91" i="36"/>
  <c r="K83" i="36"/>
  <c r="K93" i="36" s="1"/>
  <c r="K91" i="36" s="1"/>
  <c r="J89" i="36"/>
  <c r="I90" i="36"/>
  <c r="K84" i="36"/>
  <c r="K109" i="36"/>
  <c r="K112" i="36" s="1"/>
  <c r="K116" i="36" s="1"/>
  <c r="K82" i="36"/>
  <c r="K86" i="36" s="1"/>
  <c r="K88" i="36" s="1"/>
  <c r="L27" i="36"/>
  <c r="L81" i="36" s="1"/>
  <c r="L79" i="36"/>
  <c r="M28" i="36"/>
  <c r="M94" i="36" s="1"/>
  <c r="M25" i="36"/>
  <c r="I110" i="36"/>
  <c r="I118" i="36"/>
  <c r="I117" i="36"/>
  <c r="I122" i="36"/>
  <c r="I77" i="36"/>
  <c r="M52" i="36"/>
  <c r="M54" i="36" s="1"/>
  <c r="M36" i="36"/>
  <c r="M38" i="36" s="1"/>
  <c r="M46" i="36" s="1"/>
  <c r="L42" i="36"/>
  <c r="L38" i="36"/>
  <c r="L46" i="36" s="1"/>
  <c r="L44" i="36" s="1"/>
  <c r="L30" i="36"/>
  <c r="L96" i="36" s="1"/>
  <c r="N37" i="36"/>
  <c r="N40" i="36" s="1"/>
  <c r="N41" i="36" s="1"/>
  <c r="H74" i="36"/>
  <c r="H119" i="36" s="1"/>
  <c r="L97" i="36"/>
  <c r="L101" i="36" s="1"/>
  <c r="L103" i="36" s="1"/>
  <c r="L99" i="36"/>
  <c r="N19" i="36"/>
  <c r="N20" i="36" s="1"/>
  <c r="N18" i="36"/>
  <c r="L58" i="36"/>
  <c r="L54" i="36"/>
  <c r="J112" i="36"/>
  <c r="J116" i="36" s="1"/>
  <c r="K71" i="36"/>
  <c r="K69" i="36"/>
  <c r="K72" i="36" s="1"/>
  <c r="K73" i="36" s="1"/>
  <c r="K68" i="36"/>
  <c r="K111" i="36" s="1"/>
  <c r="J98" i="36"/>
  <c r="J108" i="36" s="1"/>
  <c r="J106" i="36" s="1"/>
  <c r="J104" i="36"/>
  <c r="N53" i="36"/>
  <c r="K132" i="36"/>
  <c r="K135" i="36"/>
  <c r="K129" i="36"/>
  <c r="K62" i="36"/>
  <c r="K60" i="36" s="1"/>
  <c r="M21" i="36"/>
  <c r="M23" i="36" s="1"/>
  <c r="M66" i="36" s="1"/>
  <c r="J70" i="36"/>
  <c r="J78" i="36" s="1"/>
  <c r="J76" i="36" s="1"/>
  <c r="J113" i="36"/>
  <c r="J123" i="36" s="1"/>
  <c r="J121" i="36" s="1"/>
  <c r="M41" i="19"/>
  <c r="M40" i="19"/>
  <c r="J35" i="13"/>
  <c r="J36" i="13"/>
  <c r="K33" i="13"/>
  <c r="I30" i="13"/>
  <c r="J27" i="13"/>
  <c r="H31" i="13"/>
  <c r="K21" i="13"/>
  <c r="J23" i="13"/>
  <c r="J24" i="13"/>
  <c r="J18" i="13"/>
  <c r="J17" i="13"/>
  <c r="K15" i="13"/>
  <c r="J9" i="13"/>
  <c r="I11" i="13"/>
  <c r="I12" i="13"/>
  <c r="J98" i="18" l="1"/>
  <c r="J108" i="18" s="1"/>
  <c r="J106" i="18" s="1"/>
  <c r="L42" i="34"/>
  <c r="J104" i="18"/>
  <c r="K104" i="18" s="1"/>
  <c r="M36" i="34"/>
  <c r="M38" i="34" s="1"/>
  <c r="M46" i="34" s="1"/>
  <c r="M44" i="34" s="1"/>
  <c r="J121" i="18"/>
  <c r="N16" i="34"/>
  <c r="M18" i="34"/>
  <c r="M28" i="34" s="1"/>
  <c r="M94" i="34" s="1"/>
  <c r="N34" i="34"/>
  <c r="N35" i="34" s="1"/>
  <c r="N17" i="34"/>
  <c r="N19" i="34" s="1"/>
  <c r="N34" i="25"/>
  <c r="N35" i="25" s="1"/>
  <c r="N50" i="25"/>
  <c r="L52" i="23"/>
  <c r="L54" i="23" s="1"/>
  <c r="L135" i="23" s="1"/>
  <c r="M73" i="31"/>
  <c r="L58" i="34"/>
  <c r="K88" i="34"/>
  <c r="I10" i="23"/>
  <c r="H18" i="39"/>
  <c r="H19" i="39" s="1"/>
  <c r="M52" i="34"/>
  <c r="M58" i="34" s="1"/>
  <c r="I111" i="34"/>
  <c r="I113" i="34" s="1"/>
  <c r="I123" i="34" s="1"/>
  <c r="I121" i="34" s="1"/>
  <c r="I122" i="34" s="1"/>
  <c r="K111" i="31"/>
  <c r="K113" i="31" s="1"/>
  <c r="K123" i="31" s="1"/>
  <c r="K121" i="31" s="1"/>
  <c r="M88" i="31"/>
  <c r="M103" i="31"/>
  <c r="J17" i="39"/>
  <c r="L21" i="23"/>
  <c r="L23" i="23" s="1"/>
  <c r="L66" i="23" s="1"/>
  <c r="L71" i="23" s="1"/>
  <c r="M57" i="29"/>
  <c r="L42" i="23"/>
  <c r="M57" i="34"/>
  <c r="L30" i="18"/>
  <c r="M30" i="18" s="1"/>
  <c r="K27" i="29"/>
  <c r="K81" i="29" s="1"/>
  <c r="K83" i="29" s="1"/>
  <c r="K93" i="29" s="1"/>
  <c r="K91" i="29" s="1"/>
  <c r="I10" i="34"/>
  <c r="N41" i="31"/>
  <c r="J118" i="34"/>
  <c r="K118" i="34" s="1"/>
  <c r="L57" i="25"/>
  <c r="M57" i="23"/>
  <c r="J74" i="25"/>
  <c r="K114" i="29"/>
  <c r="J114" i="25"/>
  <c r="J70" i="25"/>
  <c r="J78" i="25" s="1"/>
  <c r="J76" i="25" s="1"/>
  <c r="H119" i="25"/>
  <c r="I119" i="18"/>
  <c r="I120" i="18" s="1"/>
  <c r="I102" i="27"/>
  <c r="I103" i="27"/>
  <c r="J103" i="27" s="1"/>
  <c r="L21" i="27"/>
  <c r="L23" i="27" s="1"/>
  <c r="L66" i="27" s="1"/>
  <c r="L52" i="27"/>
  <c r="L36" i="27"/>
  <c r="J114" i="27"/>
  <c r="J70" i="27"/>
  <c r="J78" i="27" s="1"/>
  <c r="K71" i="27"/>
  <c r="K69" i="27"/>
  <c r="K72" i="27" s="1"/>
  <c r="K68" i="27"/>
  <c r="K109" i="27"/>
  <c r="K112" i="27" s="1"/>
  <c r="K116" i="27" s="1"/>
  <c r="I68" i="27"/>
  <c r="I111" i="27" s="1"/>
  <c r="I113" i="27" s="1"/>
  <c r="I123" i="27" s="1"/>
  <c r="I121" i="27" s="1"/>
  <c r="I122" i="27" s="1"/>
  <c r="I67" i="27"/>
  <c r="I5" i="27" s="1"/>
  <c r="I69" i="27"/>
  <c r="I72" i="27" s="1"/>
  <c r="I73" i="27" s="1"/>
  <c r="J73" i="27" s="1"/>
  <c r="I109" i="27"/>
  <c r="I71" i="27"/>
  <c r="I114" i="27" s="1"/>
  <c r="I115" i="27" s="1"/>
  <c r="J60" i="27"/>
  <c r="K54" i="27"/>
  <c r="K58" i="27"/>
  <c r="K82" i="27"/>
  <c r="K86" i="27" s="1"/>
  <c r="K84" i="27"/>
  <c r="K44" i="27"/>
  <c r="M19" i="27"/>
  <c r="M18" i="27"/>
  <c r="K99" i="27"/>
  <c r="K97" i="27"/>
  <c r="K101" i="27" s="1"/>
  <c r="N5" i="27"/>
  <c r="M37" i="27"/>
  <c r="M40" i="27" s="1"/>
  <c r="M41" i="27" s="1"/>
  <c r="M127" i="27"/>
  <c r="M56" i="27"/>
  <c r="M57" i="27" s="1"/>
  <c r="M133" i="27"/>
  <c r="M130" i="27"/>
  <c r="N7" i="27"/>
  <c r="L25" i="27"/>
  <c r="L79" i="27" s="1"/>
  <c r="L84" i="27" s="1"/>
  <c r="L28" i="27"/>
  <c r="L94" i="27" s="1"/>
  <c r="L99" i="27" s="1"/>
  <c r="K42" i="27"/>
  <c r="N34" i="27"/>
  <c r="N37" i="27" s="1"/>
  <c r="N40" i="27" s="1"/>
  <c r="N17" i="27"/>
  <c r="N16" i="27"/>
  <c r="I88" i="27"/>
  <c r="J88" i="27" s="1"/>
  <c r="I87" i="27"/>
  <c r="N9" i="27"/>
  <c r="M133" i="25"/>
  <c r="M127" i="25"/>
  <c r="M56" i="25"/>
  <c r="K88" i="29"/>
  <c r="K97" i="25"/>
  <c r="K101" i="25" s="1"/>
  <c r="I104" i="29"/>
  <c r="I105" i="29" s="1"/>
  <c r="I98" i="29"/>
  <c r="I108" i="29" s="1"/>
  <c r="I106" i="29" s="1"/>
  <c r="I107" i="29" s="1"/>
  <c r="J96" i="29"/>
  <c r="K30" i="29"/>
  <c r="K96" i="29" s="1"/>
  <c r="N134" i="18"/>
  <c r="J74" i="18"/>
  <c r="K74" i="18" s="1"/>
  <c r="I119" i="23"/>
  <c r="I120" i="23" s="1"/>
  <c r="K109" i="25"/>
  <c r="K112" i="25" s="1"/>
  <c r="K116" i="25" s="1"/>
  <c r="J81" i="27"/>
  <c r="K27" i="27"/>
  <c r="N41" i="23"/>
  <c r="I83" i="27"/>
  <c r="I93" i="27" s="1"/>
  <c r="I91" i="27" s="1"/>
  <c r="I92" i="27" s="1"/>
  <c r="I89" i="27"/>
  <c r="I98" i="27"/>
  <c r="I108" i="27" s="1"/>
  <c r="I106" i="27" s="1"/>
  <c r="I107" i="27" s="1"/>
  <c r="I104" i="27"/>
  <c r="I105" i="27" s="1"/>
  <c r="J96" i="27"/>
  <c r="K30" i="27"/>
  <c r="H119" i="27"/>
  <c r="I114" i="25"/>
  <c r="I115" i="25" s="1"/>
  <c r="I85" i="25"/>
  <c r="L42" i="29"/>
  <c r="L28" i="25"/>
  <c r="L94" i="25" s="1"/>
  <c r="L25" i="25"/>
  <c r="L79" i="25" s="1"/>
  <c r="N35" i="23"/>
  <c r="L21" i="25"/>
  <c r="L23" i="25" s="1"/>
  <c r="L66" i="25" s="1"/>
  <c r="L36" i="25"/>
  <c r="N7" i="25"/>
  <c r="I104" i="25"/>
  <c r="I105" i="25" s="1"/>
  <c r="I98" i="25"/>
  <c r="I108" i="25" s="1"/>
  <c r="I106" i="25" s="1"/>
  <c r="I107" i="25" s="1"/>
  <c r="N41" i="18"/>
  <c r="H119" i="29"/>
  <c r="I89" i="29"/>
  <c r="N17" i="25"/>
  <c r="N16" i="25"/>
  <c r="N9" i="25"/>
  <c r="K82" i="25"/>
  <c r="K86" i="25" s="1"/>
  <c r="K84" i="25"/>
  <c r="I76" i="25"/>
  <c r="I77" i="25" s="1"/>
  <c r="K42" i="25"/>
  <c r="K38" i="25"/>
  <c r="K46" i="25" s="1"/>
  <c r="K44" i="25" s="1"/>
  <c r="I112" i="25"/>
  <c r="I116" i="25" s="1"/>
  <c r="I110" i="25"/>
  <c r="J18" i="39" s="1"/>
  <c r="J19" i="39" s="1"/>
  <c r="J81" i="25"/>
  <c r="K27" i="25"/>
  <c r="K54" i="25"/>
  <c r="K58" i="25"/>
  <c r="L58" i="25" s="1"/>
  <c r="I89" i="25"/>
  <c r="I83" i="25"/>
  <c r="I93" i="25" s="1"/>
  <c r="I91" i="25" s="1"/>
  <c r="I92" i="25" s="1"/>
  <c r="I111" i="25"/>
  <c r="I113" i="25" s="1"/>
  <c r="I123" i="25" s="1"/>
  <c r="I121" i="25" s="1"/>
  <c r="I122" i="25" s="1"/>
  <c r="I103" i="25"/>
  <c r="J103" i="25" s="1"/>
  <c r="I102" i="25"/>
  <c r="N5" i="25"/>
  <c r="I88" i="25"/>
  <c r="J88" i="25" s="1"/>
  <c r="I87" i="25"/>
  <c r="M19" i="25"/>
  <c r="M18" i="25"/>
  <c r="J60" i="25"/>
  <c r="K69" i="25"/>
  <c r="K72" i="25" s="1"/>
  <c r="K73" i="25" s="1"/>
  <c r="K71" i="25"/>
  <c r="K68" i="25"/>
  <c r="K70" i="25" s="1"/>
  <c r="K78" i="25" s="1"/>
  <c r="J96" i="25"/>
  <c r="K30" i="25"/>
  <c r="N19" i="29"/>
  <c r="N21" i="29" s="1"/>
  <c r="N18" i="29"/>
  <c r="M52" i="29"/>
  <c r="M21" i="29"/>
  <c r="M23" i="29" s="1"/>
  <c r="M66" i="29" s="1"/>
  <c r="L84" i="29"/>
  <c r="L82" i="29"/>
  <c r="L86" i="29" s="1"/>
  <c r="L109" i="29"/>
  <c r="L112" i="29" s="1"/>
  <c r="L116" i="29" s="1"/>
  <c r="I112" i="29"/>
  <c r="I116" i="29" s="1"/>
  <c r="I110" i="29"/>
  <c r="N18" i="39" s="1"/>
  <c r="N19" i="39" s="1"/>
  <c r="M25" i="29"/>
  <c r="M79" i="29" s="1"/>
  <c r="M84" i="29" s="1"/>
  <c r="M28" i="29"/>
  <c r="M94" i="29" s="1"/>
  <c r="L97" i="29"/>
  <c r="L101" i="29" s="1"/>
  <c r="L103" i="29" s="1"/>
  <c r="L99" i="29"/>
  <c r="N41" i="29"/>
  <c r="I70" i="29"/>
  <c r="I78" i="29" s="1"/>
  <c r="I76" i="29" s="1"/>
  <c r="I77" i="29" s="1"/>
  <c r="I74" i="29"/>
  <c r="I111" i="29"/>
  <c r="I113" i="29" s="1"/>
  <c r="I123" i="29" s="1"/>
  <c r="I121" i="29" s="1"/>
  <c r="I122" i="29" s="1"/>
  <c r="K62" i="29"/>
  <c r="K60" i="29" s="1"/>
  <c r="K132" i="29"/>
  <c r="K135" i="29"/>
  <c r="K129" i="29"/>
  <c r="M36" i="29"/>
  <c r="L58" i="29"/>
  <c r="L54" i="29"/>
  <c r="N53" i="29"/>
  <c r="N51" i="29"/>
  <c r="N35" i="29"/>
  <c r="M36" i="23"/>
  <c r="M38" i="23" s="1"/>
  <c r="M46" i="23" s="1"/>
  <c r="M44" i="23" s="1"/>
  <c r="K73" i="23"/>
  <c r="M42" i="18"/>
  <c r="J73" i="34"/>
  <c r="K73" i="34" s="1"/>
  <c r="K103" i="34"/>
  <c r="N53" i="34"/>
  <c r="N51" i="34"/>
  <c r="L132" i="34"/>
  <c r="L135" i="34"/>
  <c r="L129" i="34"/>
  <c r="L62" i="34"/>
  <c r="L60" i="34" s="1"/>
  <c r="I77" i="34"/>
  <c r="K70" i="34"/>
  <c r="K78" i="34" s="1"/>
  <c r="L84" i="34"/>
  <c r="L82" i="34"/>
  <c r="L86" i="34" s="1"/>
  <c r="J111" i="34"/>
  <c r="J113" i="34" s="1"/>
  <c r="J123" i="34" s="1"/>
  <c r="J70" i="34"/>
  <c r="J78" i="34" s="1"/>
  <c r="J76" i="34" s="1"/>
  <c r="I107" i="34"/>
  <c r="K81" i="34"/>
  <c r="L27" i="34"/>
  <c r="L94" i="34"/>
  <c r="N37" i="34"/>
  <c r="N40" i="34" s="1"/>
  <c r="N41" i="34" s="1"/>
  <c r="J89" i="34"/>
  <c r="J83" i="34"/>
  <c r="J93" i="34" s="1"/>
  <c r="J91" i="34" s="1"/>
  <c r="K114" i="34"/>
  <c r="K96" i="34"/>
  <c r="L30" i="34"/>
  <c r="I92" i="34"/>
  <c r="J98" i="34"/>
  <c r="J108" i="34" s="1"/>
  <c r="J106" i="34" s="1"/>
  <c r="J104" i="34"/>
  <c r="M21" i="34"/>
  <c r="M23" i="34" s="1"/>
  <c r="M66" i="34" s="1"/>
  <c r="L71" i="34"/>
  <c r="L69" i="34"/>
  <c r="L72" i="34" s="1"/>
  <c r="L68" i="34"/>
  <c r="H119" i="34"/>
  <c r="I74" i="34"/>
  <c r="I119" i="34" s="1"/>
  <c r="L96" i="31"/>
  <c r="M30" i="31"/>
  <c r="I75" i="31"/>
  <c r="N79" i="31"/>
  <c r="N26" i="31"/>
  <c r="P21" i="39" s="1"/>
  <c r="M112" i="31"/>
  <c r="M116" i="31" s="1"/>
  <c r="M118" i="31" s="1"/>
  <c r="K98" i="31"/>
  <c r="K108" i="31" s="1"/>
  <c r="K106" i="31" s="1"/>
  <c r="K104" i="31"/>
  <c r="N94" i="31"/>
  <c r="N29" i="31"/>
  <c r="P22" i="39" s="1"/>
  <c r="I119" i="31"/>
  <c r="I120" i="31" s="1"/>
  <c r="J74" i="31"/>
  <c r="N54" i="31"/>
  <c r="N58" i="31"/>
  <c r="N59" i="31" s="1"/>
  <c r="N38" i="31"/>
  <c r="N46" i="31" s="1"/>
  <c r="M42" i="31"/>
  <c r="N42" i="31" s="1"/>
  <c r="N43" i="31" s="1"/>
  <c r="M38" i="31"/>
  <c r="M46" i="31" s="1"/>
  <c r="M44" i="31" s="1"/>
  <c r="L81" i="31"/>
  <c r="M27" i="31"/>
  <c r="K89" i="31"/>
  <c r="K83" i="31"/>
  <c r="K93" i="31" s="1"/>
  <c r="K91" i="31" s="1"/>
  <c r="N23" i="31"/>
  <c r="M70" i="31"/>
  <c r="M78" i="31" s="1"/>
  <c r="M76" i="31" s="1"/>
  <c r="L76" i="31"/>
  <c r="M60" i="31"/>
  <c r="M114" i="31"/>
  <c r="K76" i="29"/>
  <c r="L132" i="25"/>
  <c r="L135" i="25"/>
  <c r="L129" i="25"/>
  <c r="L62" i="25"/>
  <c r="K88" i="23"/>
  <c r="M54" i="23"/>
  <c r="K99" i="23"/>
  <c r="K114" i="23" s="1"/>
  <c r="K97" i="23"/>
  <c r="K101" i="23" s="1"/>
  <c r="K103" i="23" s="1"/>
  <c r="K81" i="23"/>
  <c r="L27" i="23"/>
  <c r="J111" i="23"/>
  <c r="J113" i="23" s="1"/>
  <c r="J123" i="23" s="1"/>
  <c r="J121" i="23" s="1"/>
  <c r="J74" i="23"/>
  <c r="K74" i="23" s="1"/>
  <c r="J70" i="23"/>
  <c r="J78" i="23" s="1"/>
  <c r="J76" i="23" s="1"/>
  <c r="J89" i="23"/>
  <c r="J83" i="23"/>
  <c r="J93" i="23" s="1"/>
  <c r="J91" i="23" s="1"/>
  <c r="K109" i="23"/>
  <c r="K112" i="23" s="1"/>
  <c r="K116" i="23" s="1"/>
  <c r="J114" i="23"/>
  <c r="M25" i="23"/>
  <c r="M79" i="23" s="1"/>
  <c r="M28" i="23"/>
  <c r="K132" i="23"/>
  <c r="K135" i="23"/>
  <c r="K129" i="23"/>
  <c r="K62" i="23"/>
  <c r="K60" i="23" s="1"/>
  <c r="N53" i="23"/>
  <c r="N51" i="23"/>
  <c r="L99" i="23"/>
  <c r="L97" i="23"/>
  <c r="L101" i="23" s="1"/>
  <c r="I107" i="23"/>
  <c r="J112" i="23"/>
  <c r="J116" i="23" s="1"/>
  <c r="J118" i="23" s="1"/>
  <c r="K96" i="23"/>
  <c r="L30" i="23"/>
  <c r="I90" i="23"/>
  <c r="I92" i="23"/>
  <c r="L84" i="23"/>
  <c r="L82" i="23"/>
  <c r="L86" i="23" s="1"/>
  <c r="J104" i="23"/>
  <c r="J98" i="23"/>
  <c r="J108" i="23" s="1"/>
  <c r="J106" i="23" s="1"/>
  <c r="N19" i="23"/>
  <c r="N36" i="23" s="1"/>
  <c r="N18" i="23"/>
  <c r="K70" i="23"/>
  <c r="K78" i="23" s="1"/>
  <c r="M21" i="23"/>
  <c r="M23" i="23" s="1"/>
  <c r="M66" i="23" s="1"/>
  <c r="M44" i="18"/>
  <c r="K114" i="18"/>
  <c r="L103" i="18"/>
  <c r="N131" i="18"/>
  <c r="L73" i="18"/>
  <c r="N128" i="18"/>
  <c r="M109" i="18"/>
  <c r="M112" i="18" s="1"/>
  <c r="M116" i="18" s="1"/>
  <c r="M71" i="18"/>
  <c r="M69" i="18"/>
  <c r="M72" i="18" s="1"/>
  <c r="M68" i="18"/>
  <c r="K83" i="18"/>
  <c r="K93" i="18" s="1"/>
  <c r="K91" i="18" s="1"/>
  <c r="K89" i="18"/>
  <c r="K98" i="18"/>
  <c r="K108" i="18" s="1"/>
  <c r="K106" i="18" s="1"/>
  <c r="L132" i="18"/>
  <c r="L135" i="18"/>
  <c r="L129" i="18"/>
  <c r="L62" i="18"/>
  <c r="L60" i="18" s="1"/>
  <c r="M58" i="18"/>
  <c r="N58" i="18" s="1"/>
  <c r="N59" i="18" s="1"/>
  <c r="M54" i="18"/>
  <c r="M82" i="18"/>
  <c r="M86" i="18" s="1"/>
  <c r="M84" i="18"/>
  <c r="N25" i="18"/>
  <c r="N28" i="18"/>
  <c r="N57" i="18"/>
  <c r="M97" i="18"/>
  <c r="M101" i="18" s="1"/>
  <c r="M99" i="18"/>
  <c r="L70" i="18"/>
  <c r="L78" i="18" s="1"/>
  <c r="N21" i="18"/>
  <c r="N22" i="18" s="1"/>
  <c r="N20" i="18"/>
  <c r="L114" i="18"/>
  <c r="N54" i="18"/>
  <c r="L81" i="18"/>
  <c r="M27" i="18"/>
  <c r="N36" i="18"/>
  <c r="K88" i="18"/>
  <c r="L88" i="18" s="1"/>
  <c r="K111" i="18"/>
  <c r="K113" i="18" s="1"/>
  <c r="K123" i="18" s="1"/>
  <c r="K121" i="18" s="1"/>
  <c r="K70" i="18"/>
  <c r="K78" i="18" s="1"/>
  <c r="K76" i="18" s="1"/>
  <c r="I77" i="18"/>
  <c r="K112" i="18"/>
  <c r="K116" i="18" s="1"/>
  <c r="M58" i="36"/>
  <c r="M27" i="36"/>
  <c r="M81" i="36" s="1"/>
  <c r="M79" i="36"/>
  <c r="K89" i="36"/>
  <c r="K114" i="36"/>
  <c r="L83" i="36"/>
  <c r="L93" i="36" s="1"/>
  <c r="L91" i="36" s="1"/>
  <c r="L109" i="36"/>
  <c r="L84" i="36"/>
  <c r="L82" i="36"/>
  <c r="L86" i="36" s="1"/>
  <c r="L88" i="36" s="1"/>
  <c r="N28" i="36"/>
  <c r="N94" i="36" s="1"/>
  <c r="N95" i="36" s="1"/>
  <c r="N25" i="36"/>
  <c r="M42" i="36"/>
  <c r="J118" i="36"/>
  <c r="K118" i="36" s="1"/>
  <c r="M44" i="36"/>
  <c r="N7" i="36"/>
  <c r="N21" i="36"/>
  <c r="N22" i="36" s="1"/>
  <c r="I74" i="36"/>
  <c r="I119" i="36" s="1"/>
  <c r="N5" i="36"/>
  <c r="L129" i="36"/>
  <c r="L135" i="36"/>
  <c r="L132" i="36"/>
  <c r="L62" i="36"/>
  <c r="L60" i="36" s="1"/>
  <c r="N36" i="36"/>
  <c r="N52" i="36"/>
  <c r="M99" i="36"/>
  <c r="M97" i="36"/>
  <c r="M101" i="36" s="1"/>
  <c r="M103" i="36" s="1"/>
  <c r="K104" i="36"/>
  <c r="K98" i="36"/>
  <c r="K108" i="36" s="1"/>
  <c r="K106" i="36" s="1"/>
  <c r="N127" i="36"/>
  <c r="N128" i="36" s="1"/>
  <c r="N130" i="36"/>
  <c r="N131" i="36" s="1"/>
  <c r="N133" i="36"/>
  <c r="N134" i="36" s="1"/>
  <c r="N56" i="36"/>
  <c r="N57" i="36" s="1"/>
  <c r="K70" i="36"/>
  <c r="K78" i="36" s="1"/>
  <c r="K76" i="36" s="1"/>
  <c r="K113" i="36"/>
  <c r="K123" i="36" s="1"/>
  <c r="K121" i="36" s="1"/>
  <c r="L71" i="36"/>
  <c r="L69" i="36"/>
  <c r="L72" i="36" s="1"/>
  <c r="L73" i="36" s="1"/>
  <c r="L68" i="36"/>
  <c r="L111" i="36" s="1"/>
  <c r="N9" i="36"/>
  <c r="M30" i="36"/>
  <c r="M96" i="36" s="1"/>
  <c r="M135" i="36"/>
  <c r="M129" i="36"/>
  <c r="M132" i="36"/>
  <c r="M62" i="36"/>
  <c r="K36" i="13"/>
  <c r="K35" i="13"/>
  <c r="L33" i="13"/>
  <c r="J30" i="13"/>
  <c r="J29" i="13"/>
  <c r="K27" i="13"/>
  <c r="K24" i="13"/>
  <c r="K23" i="13"/>
  <c r="L21" i="13"/>
  <c r="L15" i="13"/>
  <c r="K18" i="13"/>
  <c r="K17" i="13"/>
  <c r="K9" i="13"/>
  <c r="J12" i="13"/>
  <c r="J11" i="13"/>
  <c r="M25" i="34" l="1"/>
  <c r="M79" i="34" s="1"/>
  <c r="M42" i="34"/>
  <c r="N36" i="34"/>
  <c r="N42" i="34" s="1"/>
  <c r="N43" i="34" s="1"/>
  <c r="N18" i="34"/>
  <c r="N25" i="34" s="1"/>
  <c r="N37" i="25"/>
  <c r="N40" i="25" s="1"/>
  <c r="N41" i="25" s="1"/>
  <c r="L88" i="34"/>
  <c r="L129" i="23"/>
  <c r="L132" i="23"/>
  <c r="L62" i="23"/>
  <c r="L58" i="23"/>
  <c r="M58" i="23" s="1"/>
  <c r="J121" i="34"/>
  <c r="M54" i="34"/>
  <c r="M135" i="34" s="1"/>
  <c r="K76" i="34"/>
  <c r="L73" i="34"/>
  <c r="L109" i="23"/>
  <c r="L112" i="23" s="1"/>
  <c r="L116" i="23" s="1"/>
  <c r="L96" i="18"/>
  <c r="L104" i="18" s="1"/>
  <c r="L69" i="23"/>
  <c r="L72" i="23" s="1"/>
  <c r="L73" i="23" s="1"/>
  <c r="L68" i="23"/>
  <c r="L74" i="23" s="1"/>
  <c r="N20" i="29"/>
  <c r="K111" i="29"/>
  <c r="K113" i="29" s="1"/>
  <c r="K123" i="29" s="1"/>
  <c r="L27" i="29"/>
  <c r="L81" i="29" s="1"/>
  <c r="L83" i="29" s="1"/>
  <c r="L93" i="29" s="1"/>
  <c r="L91" i="29" s="1"/>
  <c r="M57" i="25"/>
  <c r="K103" i="25"/>
  <c r="K88" i="27"/>
  <c r="M42" i="29"/>
  <c r="K114" i="25"/>
  <c r="N35" i="27"/>
  <c r="K98" i="29"/>
  <c r="K108" i="29" s="1"/>
  <c r="N41" i="27"/>
  <c r="L30" i="29"/>
  <c r="L96" i="29" s="1"/>
  <c r="L98" i="29" s="1"/>
  <c r="L108" i="29" s="1"/>
  <c r="L97" i="27"/>
  <c r="L101" i="27" s="1"/>
  <c r="K76" i="25"/>
  <c r="K114" i="27"/>
  <c r="M82" i="29"/>
  <c r="M86" i="29" s="1"/>
  <c r="L71" i="27"/>
  <c r="L114" i="27" s="1"/>
  <c r="L69" i="27"/>
  <c r="L72" i="27" s="1"/>
  <c r="L68" i="27"/>
  <c r="J119" i="18"/>
  <c r="L82" i="27"/>
  <c r="L86" i="27" s="1"/>
  <c r="N51" i="27"/>
  <c r="N53" i="27"/>
  <c r="I112" i="27"/>
  <c r="I116" i="27" s="1"/>
  <c r="I110" i="27"/>
  <c r="L58" i="27"/>
  <c r="L54" i="27"/>
  <c r="L88" i="29"/>
  <c r="K73" i="27"/>
  <c r="M36" i="27"/>
  <c r="M38" i="27" s="1"/>
  <c r="M46" i="27" s="1"/>
  <c r="M21" i="27"/>
  <c r="M23" i="27" s="1"/>
  <c r="M66" i="27" s="1"/>
  <c r="M52" i="27"/>
  <c r="N19" i="27"/>
  <c r="N18" i="27"/>
  <c r="I70" i="27"/>
  <c r="I78" i="27" s="1"/>
  <c r="I76" i="27" s="1"/>
  <c r="I77" i="27" s="1"/>
  <c r="I74" i="27"/>
  <c r="I119" i="27" s="1"/>
  <c r="I120" i="27" s="1"/>
  <c r="K103" i="27"/>
  <c r="M28" i="27"/>
  <c r="M94" i="27" s="1"/>
  <c r="M25" i="27"/>
  <c r="M79" i="27" s="1"/>
  <c r="L109" i="27"/>
  <c r="L112" i="27" s="1"/>
  <c r="L116" i="27" s="1"/>
  <c r="K132" i="27"/>
  <c r="K62" i="27"/>
  <c r="K60" i="27" s="1"/>
  <c r="K135" i="27"/>
  <c r="K129" i="27"/>
  <c r="K70" i="27"/>
  <c r="K78" i="27" s="1"/>
  <c r="K76" i="27" s="1"/>
  <c r="L42" i="27"/>
  <c r="L38" i="27"/>
  <c r="L46" i="27" s="1"/>
  <c r="L44" i="27" s="1"/>
  <c r="K76" i="23"/>
  <c r="J111" i="29"/>
  <c r="J113" i="29" s="1"/>
  <c r="J123" i="29" s="1"/>
  <c r="J104" i="29"/>
  <c r="K104" i="29" s="1"/>
  <c r="J98" i="29"/>
  <c r="J108" i="29" s="1"/>
  <c r="J106" i="29" s="1"/>
  <c r="M42" i="23"/>
  <c r="N42" i="23" s="1"/>
  <c r="N43" i="23" s="1"/>
  <c r="K81" i="27"/>
  <c r="L27" i="27"/>
  <c r="N23" i="29"/>
  <c r="N66" i="29" s="1"/>
  <c r="J89" i="27"/>
  <c r="J83" i="27"/>
  <c r="J93" i="27" s="1"/>
  <c r="J91" i="27" s="1"/>
  <c r="J111" i="27"/>
  <c r="J113" i="27" s="1"/>
  <c r="J123" i="27" s="1"/>
  <c r="J121" i="27" s="1"/>
  <c r="K74" i="25"/>
  <c r="I90" i="27"/>
  <c r="K96" i="27"/>
  <c r="L30" i="27"/>
  <c r="J104" i="27"/>
  <c r="J98" i="27"/>
  <c r="J108" i="27" s="1"/>
  <c r="J106" i="27" s="1"/>
  <c r="N52" i="29"/>
  <c r="N54" i="29" s="1"/>
  <c r="N135" i="29" s="1"/>
  <c r="L109" i="25"/>
  <c r="L112" i="25" s="1"/>
  <c r="L116" i="25" s="1"/>
  <c r="L71" i="25"/>
  <c r="L69" i="25"/>
  <c r="L72" i="25" s="1"/>
  <c r="L73" i="25" s="1"/>
  <c r="L68" i="25"/>
  <c r="K88" i="25"/>
  <c r="J89" i="25"/>
  <c r="J83" i="25"/>
  <c r="J93" i="25" s="1"/>
  <c r="J91" i="25" s="1"/>
  <c r="J111" i="25"/>
  <c r="J113" i="25" s="1"/>
  <c r="J123" i="25" s="1"/>
  <c r="J121" i="25" s="1"/>
  <c r="L84" i="25"/>
  <c r="L82" i="25"/>
  <c r="L86" i="25" s="1"/>
  <c r="N53" i="25"/>
  <c r="N51" i="25"/>
  <c r="L97" i="25"/>
  <c r="L101" i="25" s="1"/>
  <c r="L99" i="25"/>
  <c r="I90" i="25"/>
  <c r="I119" i="25"/>
  <c r="I120" i="25" s="1"/>
  <c r="K81" i="25"/>
  <c r="L27" i="25"/>
  <c r="M103" i="18"/>
  <c r="M52" i="25"/>
  <c r="M54" i="25" s="1"/>
  <c r="M21" i="25"/>
  <c r="M23" i="25" s="1"/>
  <c r="M36" i="25"/>
  <c r="K132" i="25"/>
  <c r="K62" i="25"/>
  <c r="K60" i="25" s="1"/>
  <c r="K135" i="25"/>
  <c r="K129" i="25"/>
  <c r="I10" i="25"/>
  <c r="N19" i="25"/>
  <c r="N36" i="25" s="1"/>
  <c r="N38" i="25" s="1"/>
  <c r="N46" i="25" s="1"/>
  <c r="N18" i="25"/>
  <c r="J98" i="25"/>
  <c r="J108" i="25" s="1"/>
  <c r="J106" i="25" s="1"/>
  <c r="J104" i="25"/>
  <c r="K96" i="25"/>
  <c r="L30" i="25"/>
  <c r="M25" i="25"/>
  <c r="M79" i="25" s="1"/>
  <c r="M28" i="25"/>
  <c r="M94" i="25" s="1"/>
  <c r="I117" i="25"/>
  <c r="I118" i="25"/>
  <c r="J118" i="25" s="1"/>
  <c r="K118" i="25" s="1"/>
  <c r="J89" i="29"/>
  <c r="K89" i="29" s="1"/>
  <c r="I90" i="29"/>
  <c r="L42" i="25"/>
  <c r="L38" i="25"/>
  <c r="L46" i="25" s="1"/>
  <c r="L44" i="25" s="1"/>
  <c r="M71" i="29"/>
  <c r="M69" i="29"/>
  <c r="M72" i="29" s="1"/>
  <c r="M73" i="29" s="1"/>
  <c r="M68" i="29"/>
  <c r="M70" i="29" s="1"/>
  <c r="M78" i="29" s="1"/>
  <c r="M76" i="29" s="1"/>
  <c r="M38" i="29"/>
  <c r="M46" i="29" s="1"/>
  <c r="M44" i="29" s="1"/>
  <c r="M97" i="29"/>
  <c r="M101" i="29" s="1"/>
  <c r="M103" i="29" s="1"/>
  <c r="M99" i="29"/>
  <c r="N22" i="29"/>
  <c r="J76" i="29"/>
  <c r="M54" i="29"/>
  <c r="M58" i="29"/>
  <c r="M109" i="29"/>
  <c r="M112" i="29" s="1"/>
  <c r="M116" i="29" s="1"/>
  <c r="N25" i="29"/>
  <c r="N28" i="29"/>
  <c r="I10" i="29"/>
  <c r="L114" i="29"/>
  <c r="L132" i="29"/>
  <c r="L129" i="29"/>
  <c r="L135" i="29"/>
  <c r="L62" i="29"/>
  <c r="L60" i="29" s="1"/>
  <c r="N127" i="29"/>
  <c r="N128" i="29" s="1"/>
  <c r="N130" i="29"/>
  <c r="N131" i="29" s="1"/>
  <c r="N133" i="29"/>
  <c r="N134" i="29" s="1"/>
  <c r="N56" i="29"/>
  <c r="N57" i="29" s="1"/>
  <c r="I75" i="29"/>
  <c r="I119" i="29"/>
  <c r="I120" i="29" s="1"/>
  <c r="J74" i="29"/>
  <c r="I117" i="29"/>
  <c r="I118" i="29"/>
  <c r="J118" i="29" s="1"/>
  <c r="K118" i="29" s="1"/>
  <c r="L118" i="29" s="1"/>
  <c r="N36" i="29"/>
  <c r="N38" i="29" s="1"/>
  <c r="N46" i="29" s="1"/>
  <c r="K118" i="23"/>
  <c r="L88" i="23"/>
  <c r="M73" i="18"/>
  <c r="M109" i="34"/>
  <c r="M112" i="34" s="1"/>
  <c r="M116" i="34" s="1"/>
  <c r="M71" i="34"/>
  <c r="M69" i="34"/>
  <c r="M72" i="34" s="1"/>
  <c r="M68" i="34"/>
  <c r="K98" i="34"/>
  <c r="K108" i="34" s="1"/>
  <c r="K106" i="34" s="1"/>
  <c r="K104" i="34"/>
  <c r="L97" i="34"/>
  <c r="L101" i="34" s="1"/>
  <c r="L103" i="34" s="1"/>
  <c r="L99" i="34"/>
  <c r="L114" i="34" s="1"/>
  <c r="L70" i="34"/>
  <c r="L78" i="34" s="1"/>
  <c r="L76" i="34" s="1"/>
  <c r="I120" i="34"/>
  <c r="N52" i="34"/>
  <c r="L109" i="34"/>
  <c r="K83" i="34"/>
  <c r="K93" i="34" s="1"/>
  <c r="K91" i="34" s="1"/>
  <c r="K89" i="34"/>
  <c r="K111" i="34"/>
  <c r="K113" i="34" s="1"/>
  <c r="K123" i="34" s="1"/>
  <c r="K121" i="34" s="1"/>
  <c r="L81" i="34"/>
  <c r="M27" i="34"/>
  <c r="J74" i="34"/>
  <c r="M82" i="34"/>
  <c r="M86" i="34" s="1"/>
  <c r="M84" i="34"/>
  <c r="N21" i="34"/>
  <c r="N22" i="34" s="1"/>
  <c r="N20" i="34"/>
  <c r="M97" i="34"/>
  <c r="M101" i="34" s="1"/>
  <c r="M99" i="34"/>
  <c r="L96" i="34"/>
  <c r="M30" i="34"/>
  <c r="N127" i="34"/>
  <c r="N128" i="34" s="1"/>
  <c r="N130" i="34"/>
  <c r="N131" i="34" s="1"/>
  <c r="N133" i="34"/>
  <c r="N134" i="34" s="1"/>
  <c r="N56" i="34"/>
  <c r="N57" i="34" s="1"/>
  <c r="I75" i="34"/>
  <c r="N44" i="31"/>
  <c r="N45" i="31" s="1"/>
  <c r="N82" i="31"/>
  <c r="N86" i="31" s="1"/>
  <c r="N84" i="31"/>
  <c r="N85" i="31" s="1"/>
  <c r="N80" i="31"/>
  <c r="M96" i="31"/>
  <c r="N30" i="31"/>
  <c r="N96" i="31" s="1"/>
  <c r="N66" i="31"/>
  <c r="N24" i="31"/>
  <c r="P20" i="39" s="1"/>
  <c r="P23" i="39" s="1"/>
  <c r="N99" i="31"/>
  <c r="N100" i="31" s="1"/>
  <c r="N97" i="31"/>
  <c r="N101" i="31" s="1"/>
  <c r="N95" i="31"/>
  <c r="L98" i="31"/>
  <c r="L108" i="31" s="1"/>
  <c r="L106" i="31" s="1"/>
  <c r="L104" i="31"/>
  <c r="M81" i="31"/>
  <c r="N27" i="31"/>
  <c r="N81" i="31" s="1"/>
  <c r="J119" i="31"/>
  <c r="K74" i="31"/>
  <c r="L83" i="31"/>
  <c r="L93" i="31" s="1"/>
  <c r="L91" i="31" s="1"/>
  <c r="L89" i="31"/>
  <c r="L111" i="31"/>
  <c r="L113" i="31" s="1"/>
  <c r="L123" i="31" s="1"/>
  <c r="L121" i="31" s="1"/>
  <c r="N135" i="31"/>
  <c r="N129" i="31"/>
  <c r="N132" i="31"/>
  <c r="N62" i="31"/>
  <c r="N60" i="31" s="1"/>
  <c r="N61" i="31" s="1"/>
  <c r="K111" i="23"/>
  <c r="K113" i="23" s="1"/>
  <c r="K123" i="23" s="1"/>
  <c r="K121" i="23" s="1"/>
  <c r="N38" i="23"/>
  <c r="N46" i="23" s="1"/>
  <c r="N44" i="23" s="1"/>
  <c r="N45" i="23" s="1"/>
  <c r="M69" i="23"/>
  <c r="M72" i="23" s="1"/>
  <c r="M71" i="23"/>
  <c r="M68" i="23"/>
  <c r="L114" i="23"/>
  <c r="N52" i="23"/>
  <c r="L96" i="23"/>
  <c r="M30" i="23"/>
  <c r="N127" i="23"/>
  <c r="N128" i="23" s="1"/>
  <c r="N133" i="23"/>
  <c r="N134" i="23" s="1"/>
  <c r="N130" i="23"/>
  <c r="N131" i="23" s="1"/>
  <c r="N56" i="23"/>
  <c r="N57" i="23" s="1"/>
  <c r="L60" i="23"/>
  <c r="K104" i="23"/>
  <c r="K98" i="23"/>
  <c r="K108" i="23" s="1"/>
  <c r="K106" i="23" s="1"/>
  <c r="M135" i="23"/>
  <c r="M129" i="23"/>
  <c r="M132" i="23"/>
  <c r="M62" i="23"/>
  <c r="L103" i="23"/>
  <c r="L81" i="23"/>
  <c r="M27" i="23"/>
  <c r="N25" i="23"/>
  <c r="N28" i="23"/>
  <c r="N94" i="23" s="1"/>
  <c r="M94" i="23"/>
  <c r="K89" i="23"/>
  <c r="K83" i="23"/>
  <c r="K93" i="23" s="1"/>
  <c r="K91" i="23" s="1"/>
  <c r="N21" i="23"/>
  <c r="N22" i="23" s="1"/>
  <c r="N20" i="23"/>
  <c r="M84" i="23"/>
  <c r="M82" i="23"/>
  <c r="M86" i="23" s="1"/>
  <c r="J119" i="23"/>
  <c r="N23" i="18"/>
  <c r="N66" i="18" s="1"/>
  <c r="K118" i="18"/>
  <c r="L118" i="18" s="1"/>
  <c r="M118" i="18" s="1"/>
  <c r="M135" i="18"/>
  <c r="M129" i="18"/>
  <c r="M132" i="18"/>
  <c r="M62" i="18"/>
  <c r="M60" i="18" s="1"/>
  <c r="M70" i="18"/>
  <c r="M78" i="18" s="1"/>
  <c r="M76" i="18" s="1"/>
  <c r="N135" i="18"/>
  <c r="N129" i="18"/>
  <c r="N132" i="18"/>
  <c r="N62" i="18"/>
  <c r="N42" i="18"/>
  <c r="N43" i="18" s="1"/>
  <c r="N38" i="18"/>
  <c r="N46" i="18" s="1"/>
  <c r="N44" i="18" s="1"/>
  <c r="N45" i="18" s="1"/>
  <c r="L76" i="18"/>
  <c r="M114" i="18"/>
  <c r="K119" i="18"/>
  <c r="M81" i="18"/>
  <c r="N27" i="18"/>
  <c r="N81" i="18" s="1"/>
  <c r="L74" i="18"/>
  <c r="M74" i="18" s="1"/>
  <c r="N94" i="18"/>
  <c r="N29" i="18"/>
  <c r="L89" i="18"/>
  <c r="L83" i="18"/>
  <c r="L93" i="18" s="1"/>
  <c r="L91" i="18" s="1"/>
  <c r="M96" i="18"/>
  <c r="N30" i="18"/>
  <c r="N96" i="18" s="1"/>
  <c r="N79" i="18"/>
  <c r="N26" i="18"/>
  <c r="M88" i="18"/>
  <c r="N29" i="36"/>
  <c r="L114" i="36"/>
  <c r="L89" i="36"/>
  <c r="M82" i="36"/>
  <c r="M86" i="36" s="1"/>
  <c r="M88" i="36" s="1"/>
  <c r="M109" i="36"/>
  <c r="M112" i="36" s="1"/>
  <c r="M116" i="36" s="1"/>
  <c r="M84" i="36"/>
  <c r="M83" i="36"/>
  <c r="M93" i="36" s="1"/>
  <c r="M91" i="36" s="1"/>
  <c r="N26" i="36"/>
  <c r="N79" i="36"/>
  <c r="N80" i="36" s="1"/>
  <c r="N27" i="36"/>
  <c r="N81" i="36" s="1"/>
  <c r="I75" i="36"/>
  <c r="M60" i="36"/>
  <c r="L112" i="36"/>
  <c r="L116" i="36" s="1"/>
  <c r="N54" i="36"/>
  <c r="N58" i="36"/>
  <c r="N59" i="36" s="1"/>
  <c r="J74" i="36"/>
  <c r="J119" i="36" s="1"/>
  <c r="N30" i="36"/>
  <c r="N96" i="36" s="1"/>
  <c r="N99" i="36"/>
  <c r="N100" i="36" s="1"/>
  <c r="N97" i="36"/>
  <c r="N101" i="36" s="1"/>
  <c r="N102" i="36" s="1"/>
  <c r="N42" i="36"/>
  <c r="N43" i="36" s="1"/>
  <c r="N38" i="36"/>
  <c r="N46" i="36" s="1"/>
  <c r="N44" i="36" s="1"/>
  <c r="N45" i="36" s="1"/>
  <c r="N23" i="36"/>
  <c r="M69" i="36"/>
  <c r="M72" i="36" s="1"/>
  <c r="M73" i="36" s="1"/>
  <c r="M71" i="36"/>
  <c r="M68" i="36"/>
  <c r="M111" i="36" s="1"/>
  <c r="L98" i="36"/>
  <c r="L108" i="36" s="1"/>
  <c r="L106" i="36" s="1"/>
  <c r="L104" i="36"/>
  <c r="L70" i="36"/>
  <c r="L78" i="36" s="1"/>
  <c r="L76" i="36" s="1"/>
  <c r="L113" i="36"/>
  <c r="L123" i="36" s="1"/>
  <c r="L121" i="36" s="1"/>
  <c r="L36" i="13"/>
  <c r="L35" i="13"/>
  <c r="M33" i="13"/>
  <c r="K30" i="13"/>
  <c r="K29" i="13"/>
  <c r="L27" i="13"/>
  <c r="M21" i="13"/>
  <c r="L23" i="13"/>
  <c r="L24" i="13"/>
  <c r="L17" i="13"/>
  <c r="L18" i="13"/>
  <c r="M15" i="13"/>
  <c r="L9" i="13"/>
  <c r="K12" i="13"/>
  <c r="K11" i="13"/>
  <c r="N28" i="34" l="1"/>
  <c r="N38" i="34"/>
  <c r="N46" i="34" s="1"/>
  <c r="N44" i="34" s="1"/>
  <c r="N45" i="34" s="1"/>
  <c r="M88" i="34"/>
  <c r="M60" i="23"/>
  <c r="M62" i="34"/>
  <c r="M60" i="34" s="1"/>
  <c r="M132" i="34"/>
  <c r="M129" i="34"/>
  <c r="M73" i="34"/>
  <c r="L111" i="18"/>
  <c r="L113" i="18" s="1"/>
  <c r="L123" i="18" s="1"/>
  <c r="L121" i="18" s="1"/>
  <c r="L118" i="23"/>
  <c r="I10" i="27"/>
  <c r="L18" i="39"/>
  <c r="L19" i="39" s="1"/>
  <c r="L98" i="18"/>
  <c r="L108" i="18" s="1"/>
  <c r="L106" i="18" s="1"/>
  <c r="F21" i="39"/>
  <c r="F22" i="39"/>
  <c r="L70" i="23"/>
  <c r="L78" i="23" s="1"/>
  <c r="L76" i="23" s="1"/>
  <c r="M27" i="29"/>
  <c r="N27" i="29" s="1"/>
  <c r="N81" i="29" s="1"/>
  <c r="N83" i="29" s="1"/>
  <c r="N93" i="29" s="1"/>
  <c r="L89" i="29"/>
  <c r="K121" i="29"/>
  <c r="M58" i="25"/>
  <c r="L103" i="25"/>
  <c r="L111" i="29"/>
  <c r="L113" i="29" s="1"/>
  <c r="L123" i="29" s="1"/>
  <c r="L121" i="29" s="1"/>
  <c r="M73" i="23"/>
  <c r="L88" i="27"/>
  <c r="L104" i="29"/>
  <c r="M30" i="29"/>
  <c r="M96" i="29" s="1"/>
  <c r="M98" i="29" s="1"/>
  <c r="M108" i="29" s="1"/>
  <c r="M106" i="29" s="1"/>
  <c r="M88" i="29"/>
  <c r="L106" i="29"/>
  <c r="L103" i="27"/>
  <c r="M44" i="27"/>
  <c r="M118" i="29"/>
  <c r="L73" i="27"/>
  <c r="J76" i="27"/>
  <c r="M88" i="23"/>
  <c r="M42" i="27"/>
  <c r="N133" i="27"/>
  <c r="N134" i="27" s="1"/>
  <c r="N130" i="27"/>
  <c r="N131" i="27" s="1"/>
  <c r="N127" i="27"/>
  <c r="N128" i="27" s="1"/>
  <c r="N56" i="27"/>
  <c r="N57" i="27" s="1"/>
  <c r="M84" i="27"/>
  <c r="M82" i="27"/>
  <c r="M86" i="27" s="1"/>
  <c r="N52" i="27"/>
  <c r="N54" i="27" s="1"/>
  <c r="N21" i="27"/>
  <c r="N36" i="27"/>
  <c r="N28" i="27"/>
  <c r="N25" i="27"/>
  <c r="M97" i="27"/>
  <c r="M101" i="27" s="1"/>
  <c r="M99" i="27"/>
  <c r="M54" i="27"/>
  <c r="M58" i="27"/>
  <c r="L62" i="27"/>
  <c r="L60" i="27" s="1"/>
  <c r="L135" i="27"/>
  <c r="L132" i="27"/>
  <c r="L129" i="27"/>
  <c r="M68" i="27"/>
  <c r="M71" i="27"/>
  <c r="M109" i="27"/>
  <c r="M112" i="27" s="1"/>
  <c r="M116" i="27" s="1"/>
  <c r="M69" i="27"/>
  <c r="M72" i="27" s="1"/>
  <c r="L70" i="27"/>
  <c r="L78" i="27" s="1"/>
  <c r="L76" i="27" s="1"/>
  <c r="I75" i="27"/>
  <c r="J74" i="27"/>
  <c r="K74" i="27" s="1"/>
  <c r="L74" i="27" s="1"/>
  <c r="N20" i="27"/>
  <c r="I117" i="27"/>
  <c r="I118" i="27"/>
  <c r="J118" i="27" s="1"/>
  <c r="K118" i="27" s="1"/>
  <c r="L118" i="27" s="1"/>
  <c r="N24" i="29"/>
  <c r="J121" i="29"/>
  <c r="N44" i="29"/>
  <c r="N45" i="29" s="1"/>
  <c r="N20" i="25"/>
  <c r="K119" i="23"/>
  <c r="K106" i="29"/>
  <c r="M30" i="27"/>
  <c r="L96" i="27"/>
  <c r="K98" i="27"/>
  <c r="K108" i="27" s="1"/>
  <c r="K106" i="27" s="1"/>
  <c r="K104" i="27"/>
  <c r="L81" i="27"/>
  <c r="M27" i="27"/>
  <c r="K111" i="27"/>
  <c r="K113" i="27" s="1"/>
  <c r="K123" i="27" s="1"/>
  <c r="K121" i="27" s="1"/>
  <c r="K89" i="27"/>
  <c r="K83" i="27"/>
  <c r="K93" i="27" s="1"/>
  <c r="K91" i="27" s="1"/>
  <c r="L60" i="25"/>
  <c r="N58" i="29"/>
  <c r="N59" i="29" s="1"/>
  <c r="M66" i="25"/>
  <c r="N52" i="25"/>
  <c r="N21" i="25"/>
  <c r="N22" i="25" s="1"/>
  <c r="M99" i="25"/>
  <c r="M97" i="25"/>
  <c r="M101" i="25" s="1"/>
  <c r="M42" i="25"/>
  <c r="N42" i="25" s="1"/>
  <c r="N43" i="25" s="1"/>
  <c r="M38" i="25"/>
  <c r="M46" i="25" s="1"/>
  <c r="J119" i="25"/>
  <c r="L70" i="25"/>
  <c r="L78" i="25" s="1"/>
  <c r="L76" i="25" s="1"/>
  <c r="L74" i="25"/>
  <c r="K89" i="25"/>
  <c r="K83" i="25"/>
  <c r="K93" i="25" s="1"/>
  <c r="K91" i="25" s="1"/>
  <c r="K111" i="25"/>
  <c r="K113" i="25" s="1"/>
  <c r="K123" i="25" s="1"/>
  <c r="K121" i="25" s="1"/>
  <c r="N23" i="23"/>
  <c r="N66" i="23" s="1"/>
  <c r="M82" i="25"/>
  <c r="M86" i="25" s="1"/>
  <c r="M84" i="25"/>
  <c r="N28" i="25"/>
  <c r="N25" i="25"/>
  <c r="L96" i="25"/>
  <c r="M30" i="25"/>
  <c r="N127" i="25"/>
  <c r="N128" i="25" s="1"/>
  <c r="N130" i="25"/>
  <c r="N131" i="25" s="1"/>
  <c r="N133" i="25"/>
  <c r="N134" i="25" s="1"/>
  <c r="N56" i="25"/>
  <c r="N57" i="25" s="1"/>
  <c r="L114" i="25"/>
  <c r="K98" i="25"/>
  <c r="K108" i="25" s="1"/>
  <c r="K106" i="25" s="1"/>
  <c r="K104" i="25"/>
  <c r="M132" i="25"/>
  <c r="M129" i="25"/>
  <c r="M135" i="25"/>
  <c r="M62" i="25"/>
  <c r="M60" i="25" s="1"/>
  <c r="L118" i="25"/>
  <c r="N42" i="29"/>
  <c r="N43" i="29" s="1"/>
  <c r="L81" i="25"/>
  <c r="M27" i="25"/>
  <c r="L88" i="25"/>
  <c r="N29" i="29"/>
  <c r="N94" i="29"/>
  <c r="M135" i="29"/>
  <c r="M132" i="29"/>
  <c r="M129" i="29"/>
  <c r="M62" i="29"/>
  <c r="M60" i="29" s="1"/>
  <c r="N62" i="29"/>
  <c r="N132" i="29"/>
  <c r="J119" i="29"/>
  <c r="K74" i="29"/>
  <c r="N129" i="29"/>
  <c r="N79" i="29"/>
  <c r="N26" i="29"/>
  <c r="M114" i="29"/>
  <c r="M103" i="34"/>
  <c r="N94" i="34"/>
  <c r="N29" i="34"/>
  <c r="L89" i="34"/>
  <c r="L83" i="34"/>
  <c r="L93" i="34" s="1"/>
  <c r="L91" i="34" s="1"/>
  <c r="L112" i="34"/>
  <c r="L116" i="34" s="1"/>
  <c r="J119" i="34"/>
  <c r="K74" i="34"/>
  <c r="N58" i="34"/>
  <c r="N59" i="34" s="1"/>
  <c r="N54" i="34"/>
  <c r="M70" i="34"/>
  <c r="M78" i="34" s="1"/>
  <c r="M76" i="34" s="1"/>
  <c r="L111" i="34"/>
  <c r="L113" i="34" s="1"/>
  <c r="L123" i="34" s="1"/>
  <c r="L121" i="34" s="1"/>
  <c r="M114" i="34"/>
  <c r="M96" i="34"/>
  <c r="N30" i="34"/>
  <c r="N96" i="34" s="1"/>
  <c r="N23" i="34"/>
  <c r="N79" i="34"/>
  <c r="N26" i="34"/>
  <c r="L104" i="34"/>
  <c r="L98" i="34"/>
  <c r="L108" i="34" s="1"/>
  <c r="L106" i="34" s="1"/>
  <c r="M81" i="34"/>
  <c r="N27" i="34"/>
  <c r="N81" i="34" s="1"/>
  <c r="M104" i="31"/>
  <c r="N104" i="31" s="1"/>
  <c r="N105" i="31" s="1"/>
  <c r="M98" i="31"/>
  <c r="M108" i="31" s="1"/>
  <c r="M106" i="31" s="1"/>
  <c r="K119" i="31"/>
  <c r="L74" i="31"/>
  <c r="N109" i="31"/>
  <c r="N69" i="31"/>
  <c r="N72" i="31" s="1"/>
  <c r="N73" i="31" s="1"/>
  <c r="N71" i="31"/>
  <c r="N114" i="31" s="1"/>
  <c r="N115" i="31" s="1"/>
  <c r="N68" i="31"/>
  <c r="N67" i="31"/>
  <c r="N87" i="31"/>
  <c r="N88" i="31"/>
  <c r="N83" i="31"/>
  <c r="N93" i="31" s="1"/>
  <c r="N102" i="31"/>
  <c r="N103" i="31"/>
  <c r="M83" i="31"/>
  <c r="M93" i="31" s="1"/>
  <c r="M91" i="31" s="1"/>
  <c r="M89" i="31"/>
  <c r="N89" i="31" s="1"/>
  <c r="N90" i="31" s="1"/>
  <c r="M111" i="31"/>
  <c r="M113" i="31" s="1"/>
  <c r="M123" i="31" s="1"/>
  <c r="M121" i="31" s="1"/>
  <c r="N98" i="31"/>
  <c r="N108" i="31" s="1"/>
  <c r="N71" i="29"/>
  <c r="N69" i="29"/>
  <c r="N72" i="29" s="1"/>
  <c r="N73" i="29" s="1"/>
  <c r="N68" i="29"/>
  <c r="N67" i="29"/>
  <c r="L111" i="23"/>
  <c r="L113" i="23" s="1"/>
  <c r="L123" i="23" s="1"/>
  <c r="L121" i="23" s="1"/>
  <c r="M81" i="23"/>
  <c r="N27" i="23"/>
  <c r="N81" i="23" s="1"/>
  <c r="M96" i="23"/>
  <c r="N30" i="23"/>
  <c r="N96" i="23" s="1"/>
  <c r="M74" i="23"/>
  <c r="M70" i="23"/>
  <c r="M78" i="23" s="1"/>
  <c r="L89" i="23"/>
  <c r="L83" i="23"/>
  <c r="L93" i="23" s="1"/>
  <c r="L91" i="23" s="1"/>
  <c r="N29" i="23"/>
  <c r="H22" i="39" s="1"/>
  <c r="L104" i="23"/>
  <c r="L98" i="23"/>
  <c r="L108" i="23" s="1"/>
  <c r="L106" i="23" s="1"/>
  <c r="M97" i="23"/>
  <c r="M101" i="23" s="1"/>
  <c r="M103" i="23" s="1"/>
  <c r="M99" i="23"/>
  <c r="M114" i="23" s="1"/>
  <c r="N95" i="23"/>
  <c r="N97" i="23"/>
  <c r="N101" i="23" s="1"/>
  <c r="N99" i="23"/>
  <c r="M109" i="23"/>
  <c r="N79" i="23"/>
  <c r="N26" i="23"/>
  <c r="H21" i="39" s="1"/>
  <c r="N58" i="23"/>
  <c r="N59" i="23" s="1"/>
  <c r="N54" i="23"/>
  <c r="N24" i="18"/>
  <c r="N60" i="18"/>
  <c r="N61" i="18" s="1"/>
  <c r="M111" i="18"/>
  <c r="M113" i="18" s="1"/>
  <c r="M123" i="18" s="1"/>
  <c r="N84" i="18"/>
  <c r="N85" i="18" s="1"/>
  <c r="N82" i="18"/>
  <c r="N86" i="18" s="1"/>
  <c r="N87" i="18" s="1"/>
  <c r="N80" i="18"/>
  <c r="N109" i="18"/>
  <c r="N71" i="18"/>
  <c r="N69" i="18"/>
  <c r="N72" i="18" s="1"/>
  <c r="N73" i="18" s="1"/>
  <c r="N68" i="18"/>
  <c r="N67" i="18"/>
  <c r="N97" i="18"/>
  <c r="N101" i="18" s="1"/>
  <c r="N99" i="18"/>
  <c r="N100" i="18" s="1"/>
  <c r="N95" i="18"/>
  <c r="N98" i="18"/>
  <c r="N108" i="18" s="1"/>
  <c r="L119" i="18"/>
  <c r="N83" i="18"/>
  <c r="N93" i="18" s="1"/>
  <c r="M98" i="18"/>
  <c r="M108" i="18" s="1"/>
  <c r="M104" i="18"/>
  <c r="N104" i="18" s="1"/>
  <c r="N105" i="18" s="1"/>
  <c r="M89" i="18"/>
  <c r="N89" i="18" s="1"/>
  <c r="N90" i="18" s="1"/>
  <c r="M83" i="18"/>
  <c r="M93" i="18" s="1"/>
  <c r="M91" i="18" s="1"/>
  <c r="M89" i="36"/>
  <c r="N82" i="36"/>
  <c r="N86" i="36" s="1"/>
  <c r="N87" i="36" s="1"/>
  <c r="N84" i="36"/>
  <c r="M114" i="36"/>
  <c r="N83" i="36"/>
  <c r="N93" i="36" s="1"/>
  <c r="N91" i="36" s="1"/>
  <c r="N92" i="36" s="1"/>
  <c r="I120" i="36"/>
  <c r="N66" i="36"/>
  <c r="N109" i="36" s="1"/>
  <c r="N24" i="36"/>
  <c r="N132" i="36"/>
  <c r="N135" i="36"/>
  <c r="N129" i="36"/>
  <c r="N62" i="36"/>
  <c r="N60" i="36" s="1"/>
  <c r="N61" i="36" s="1"/>
  <c r="L118" i="36"/>
  <c r="M118" i="36" s="1"/>
  <c r="N103" i="36"/>
  <c r="M113" i="36"/>
  <c r="M123" i="36" s="1"/>
  <c r="M121" i="36" s="1"/>
  <c r="M70" i="36"/>
  <c r="M78" i="36" s="1"/>
  <c r="M76" i="36" s="1"/>
  <c r="M104" i="36"/>
  <c r="M98" i="36"/>
  <c r="M108" i="36" s="1"/>
  <c r="M106" i="36" s="1"/>
  <c r="K74" i="36"/>
  <c r="K119" i="36" s="1"/>
  <c r="M35" i="13"/>
  <c r="M36" i="13"/>
  <c r="M37" i="13" s="1"/>
  <c r="M27" i="13"/>
  <c r="L29" i="13"/>
  <c r="L30" i="13"/>
  <c r="M23" i="13"/>
  <c r="M24" i="13"/>
  <c r="M25" i="13" s="1"/>
  <c r="M17" i="13"/>
  <c r="M18" i="13"/>
  <c r="M19" i="13" s="1"/>
  <c r="L11" i="13"/>
  <c r="L12" i="13"/>
  <c r="M9" i="13"/>
  <c r="M76" i="23" l="1"/>
  <c r="M121" i="18"/>
  <c r="M106" i="18"/>
  <c r="R21" i="39"/>
  <c r="R22" i="39"/>
  <c r="N21" i="39"/>
  <c r="N22" i="39"/>
  <c r="N20" i="39"/>
  <c r="F20" i="39"/>
  <c r="F23" i="39" s="1"/>
  <c r="M81" i="29"/>
  <c r="M89" i="29" s="1"/>
  <c r="N89" i="29" s="1"/>
  <c r="N90" i="29" s="1"/>
  <c r="M103" i="25"/>
  <c r="M88" i="27"/>
  <c r="M104" i="29"/>
  <c r="N58" i="27"/>
  <c r="N59" i="27" s="1"/>
  <c r="M103" i="27"/>
  <c r="N30" i="29"/>
  <c r="N96" i="29" s="1"/>
  <c r="N98" i="29" s="1"/>
  <c r="N108" i="29" s="1"/>
  <c r="N106" i="29" s="1"/>
  <c r="N107" i="29" s="1"/>
  <c r="M118" i="27"/>
  <c r="M73" i="27"/>
  <c r="M74" i="27"/>
  <c r="M70" i="27"/>
  <c r="M78" i="27" s="1"/>
  <c r="M76" i="27" s="1"/>
  <c r="N94" i="27"/>
  <c r="N29" i="27"/>
  <c r="L22" i="39" s="1"/>
  <c r="J119" i="27"/>
  <c r="N38" i="27"/>
  <c r="N46" i="27" s="1"/>
  <c r="N44" i="27" s="1"/>
  <c r="N45" i="27" s="1"/>
  <c r="N42" i="27"/>
  <c r="N43" i="27" s="1"/>
  <c r="N22" i="27"/>
  <c r="N23" i="27"/>
  <c r="N129" i="27"/>
  <c r="N132" i="27"/>
  <c r="N135" i="27"/>
  <c r="N62" i="27"/>
  <c r="N79" i="27"/>
  <c r="N26" i="27"/>
  <c r="L21" i="39" s="1"/>
  <c r="M114" i="27"/>
  <c r="M62" i="27"/>
  <c r="M60" i="27" s="1"/>
  <c r="M135" i="27"/>
  <c r="M129" i="27"/>
  <c r="M132" i="27"/>
  <c r="N24" i="23"/>
  <c r="H20" i="39" s="1"/>
  <c r="H23" i="39" s="1"/>
  <c r="L98" i="27"/>
  <c r="L108" i="27" s="1"/>
  <c r="L106" i="27" s="1"/>
  <c r="L104" i="27"/>
  <c r="K119" i="27"/>
  <c r="M81" i="27"/>
  <c r="N27" i="27"/>
  <c r="N81" i="27" s="1"/>
  <c r="N83" i="27" s="1"/>
  <c r="N93" i="27" s="1"/>
  <c r="M96" i="27"/>
  <c r="N30" i="27"/>
  <c r="N96" i="27" s="1"/>
  <c r="N98" i="27" s="1"/>
  <c r="N108" i="27" s="1"/>
  <c r="L111" i="27"/>
  <c r="L113" i="27" s="1"/>
  <c r="L123" i="27" s="1"/>
  <c r="L121" i="27" s="1"/>
  <c r="L89" i="27"/>
  <c r="L83" i="27"/>
  <c r="L93" i="27" s="1"/>
  <c r="L91" i="27" s="1"/>
  <c r="N109" i="29"/>
  <c r="N112" i="29" s="1"/>
  <c r="N116" i="29" s="1"/>
  <c r="N27" i="25"/>
  <c r="N81" i="25" s="1"/>
  <c r="N83" i="25" s="1"/>
  <c r="N93" i="25" s="1"/>
  <c r="M81" i="25"/>
  <c r="N23" i="25"/>
  <c r="M96" i="25"/>
  <c r="N30" i="25"/>
  <c r="N96" i="25" s="1"/>
  <c r="N98" i="25" s="1"/>
  <c r="N108" i="25" s="1"/>
  <c r="L111" i="25"/>
  <c r="L113" i="25" s="1"/>
  <c r="L123" i="25" s="1"/>
  <c r="L121" i="25" s="1"/>
  <c r="L83" i="25"/>
  <c r="L93" i="25" s="1"/>
  <c r="L91" i="25" s="1"/>
  <c r="L89" i="25"/>
  <c r="N26" i="25"/>
  <c r="N79" i="25"/>
  <c r="L104" i="25"/>
  <c r="L98" i="25"/>
  <c r="L108" i="25" s="1"/>
  <c r="L106" i="25" s="1"/>
  <c r="M88" i="25"/>
  <c r="N54" i="25"/>
  <c r="N58" i="25"/>
  <c r="N59" i="25" s="1"/>
  <c r="N29" i="25"/>
  <c r="N94" i="25"/>
  <c r="K119" i="25"/>
  <c r="M69" i="25"/>
  <c r="M72" i="25" s="1"/>
  <c r="M73" i="25" s="1"/>
  <c r="M68" i="25"/>
  <c r="M71" i="25"/>
  <c r="M114" i="25" s="1"/>
  <c r="M109" i="25"/>
  <c r="M112" i="25" s="1"/>
  <c r="M116" i="25" s="1"/>
  <c r="M118" i="25" s="1"/>
  <c r="M44" i="25"/>
  <c r="N44" i="25"/>
  <c r="K119" i="29"/>
  <c r="L74" i="29"/>
  <c r="N60" i="29"/>
  <c r="N61" i="29" s="1"/>
  <c r="N95" i="29"/>
  <c r="N99" i="29"/>
  <c r="N100" i="29" s="1"/>
  <c r="N97" i="29"/>
  <c r="N101" i="29" s="1"/>
  <c r="N84" i="29"/>
  <c r="N85" i="29" s="1"/>
  <c r="N82" i="29"/>
  <c r="N86" i="29" s="1"/>
  <c r="N80" i="29"/>
  <c r="N103" i="23"/>
  <c r="N88" i="18"/>
  <c r="M83" i="34"/>
  <c r="M93" i="34" s="1"/>
  <c r="M91" i="34" s="1"/>
  <c r="M89" i="34"/>
  <c r="N89" i="34" s="1"/>
  <c r="N90" i="34" s="1"/>
  <c r="M104" i="34"/>
  <c r="N104" i="34" s="1"/>
  <c r="N105" i="34" s="1"/>
  <c r="M98" i="34"/>
  <c r="M108" i="34" s="1"/>
  <c r="M106" i="34" s="1"/>
  <c r="N135" i="34"/>
  <c r="N129" i="34"/>
  <c r="N132" i="34"/>
  <c r="N62" i="34"/>
  <c r="N60" i="34" s="1"/>
  <c r="N61" i="34" s="1"/>
  <c r="K119" i="34"/>
  <c r="L74" i="34"/>
  <c r="N82" i="34"/>
  <c r="N86" i="34" s="1"/>
  <c r="N84" i="34"/>
  <c r="N85" i="34" s="1"/>
  <c r="N80" i="34"/>
  <c r="L118" i="34"/>
  <c r="M118" i="34" s="1"/>
  <c r="N66" i="34"/>
  <c r="N24" i="34"/>
  <c r="N98" i="34"/>
  <c r="N108" i="34" s="1"/>
  <c r="N99" i="34"/>
  <c r="N100" i="34" s="1"/>
  <c r="N97" i="34"/>
  <c r="N101" i="34" s="1"/>
  <c r="N95" i="34"/>
  <c r="N83" i="34"/>
  <c r="N93" i="34" s="1"/>
  <c r="M111" i="34"/>
  <c r="M113" i="34" s="1"/>
  <c r="M123" i="34" s="1"/>
  <c r="M121" i="34" s="1"/>
  <c r="N112" i="31"/>
  <c r="N116" i="31" s="1"/>
  <c r="N110" i="31"/>
  <c r="P24" i="39" s="1"/>
  <c r="P25" i="39" s="1"/>
  <c r="N106" i="31"/>
  <c r="N107" i="31" s="1"/>
  <c r="L119" i="31"/>
  <c r="M74" i="31"/>
  <c r="M119" i="31" s="1"/>
  <c r="N91" i="31"/>
  <c r="N92" i="31" s="1"/>
  <c r="N111" i="31"/>
  <c r="N113" i="31" s="1"/>
  <c r="N123" i="31" s="1"/>
  <c r="N121" i="31" s="1"/>
  <c r="N122" i="31" s="1"/>
  <c r="N70" i="31"/>
  <c r="N78" i="31" s="1"/>
  <c r="N76" i="31" s="1"/>
  <c r="N77" i="31" s="1"/>
  <c r="N70" i="29"/>
  <c r="N78" i="29" s="1"/>
  <c r="N76" i="29" s="1"/>
  <c r="N77" i="29" s="1"/>
  <c r="L119" i="23"/>
  <c r="M104" i="23"/>
  <c r="N104" i="23" s="1"/>
  <c r="N105" i="23" s="1"/>
  <c r="M98" i="23"/>
  <c r="M108" i="23" s="1"/>
  <c r="M106" i="23" s="1"/>
  <c r="N100" i="23"/>
  <c r="N102" i="23"/>
  <c r="N83" i="23"/>
  <c r="N93" i="23" s="1"/>
  <c r="M112" i="23"/>
  <c r="M116" i="23" s="1"/>
  <c r="N109" i="23"/>
  <c r="N112" i="23" s="1"/>
  <c r="N116" i="23" s="1"/>
  <c r="N71" i="23"/>
  <c r="N69" i="23"/>
  <c r="N72" i="23" s="1"/>
  <c r="N73" i="23" s="1"/>
  <c r="N68" i="23"/>
  <c r="N67" i="23"/>
  <c r="N84" i="23"/>
  <c r="N85" i="23" s="1"/>
  <c r="N82" i="23"/>
  <c r="N86" i="23" s="1"/>
  <c r="N80" i="23"/>
  <c r="M89" i="23"/>
  <c r="N89" i="23" s="1"/>
  <c r="N90" i="23" s="1"/>
  <c r="M83" i="23"/>
  <c r="M93" i="23" s="1"/>
  <c r="M91" i="23" s="1"/>
  <c r="N135" i="23"/>
  <c r="N129" i="23"/>
  <c r="N132" i="23"/>
  <c r="N62" i="23"/>
  <c r="N60" i="23" s="1"/>
  <c r="N61" i="23" s="1"/>
  <c r="M111" i="23"/>
  <c r="M113" i="23" s="1"/>
  <c r="M123" i="23" s="1"/>
  <c r="M121" i="23" s="1"/>
  <c r="N98" i="23"/>
  <c r="N108" i="23" s="1"/>
  <c r="N114" i="18"/>
  <c r="N115" i="18" s="1"/>
  <c r="M119" i="18"/>
  <c r="N112" i="18"/>
  <c r="N116" i="18" s="1"/>
  <c r="N110" i="18"/>
  <c r="F24" i="39" s="1"/>
  <c r="F25" i="39" s="1"/>
  <c r="N102" i="18"/>
  <c r="N103" i="18"/>
  <c r="N91" i="18"/>
  <c r="N92" i="18" s="1"/>
  <c r="N111" i="18"/>
  <c r="N113" i="18" s="1"/>
  <c r="N123" i="18" s="1"/>
  <c r="N121" i="18" s="1"/>
  <c r="N74" i="18"/>
  <c r="N70" i="18"/>
  <c r="N78" i="18" s="1"/>
  <c r="N76" i="18" s="1"/>
  <c r="N77" i="18" s="1"/>
  <c r="N106" i="18"/>
  <c r="N85" i="36"/>
  <c r="N89" i="36"/>
  <c r="N90" i="36" s="1"/>
  <c r="N88" i="36"/>
  <c r="N110" i="36"/>
  <c r="N67" i="36"/>
  <c r="N104" i="36"/>
  <c r="N105" i="36" s="1"/>
  <c r="N98" i="36"/>
  <c r="N108" i="36" s="1"/>
  <c r="N106" i="36" s="1"/>
  <c r="N107" i="36" s="1"/>
  <c r="L74" i="36"/>
  <c r="L119" i="36" s="1"/>
  <c r="N69" i="36"/>
  <c r="N72" i="36" s="1"/>
  <c r="N73" i="36" s="1"/>
  <c r="N71" i="36"/>
  <c r="N68" i="36"/>
  <c r="N111" i="36" s="1"/>
  <c r="M29" i="13"/>
  <c r="M30" i="13"/>
  <c r="M31" i="13" s="1"/>
  <c r="M11" i="13"/>
  <c r="M12" i="13"/>
  <c r="N107" i="18" l="1"/>
  <c r="N122" i="18"/>
  <c r="R20" i="39"/>
  <c r="R23" i="39" s="1"/>
  <c r="N91" i="34"/>
  <c r="N92" i="34" s="1"/>
  <c r="N106" i="34"/>
  <c r="N107" i="34" s="1"/>
  <c r="N23" i="39"/>
  <c r="J21" i="39"/>
  <c r="J22" i="39"/>
  <c r="M83" i="29"/>
  <c r="M93" i="29" s="1"/>
  <c r="M91" i="29" s="1"/>
  <c r="M111" i="29"/>
  <c r="M113" i="29" s="1"/>
  <c r="M123" i="29" s="1"/>
  <c r="M121" i="29" s="1"/>
  <c r="N104" i="29"/>
  <c r="N105" i="29" s="1"/>
  <c r="N111" i="29"/>
  <c r="N113" i="29" s="1"/>
  <c r="N123" i="29" s="1"/>
  <c r="N60" i="27"/>
  <c r="N61" i="27" s="1"/>
  <c r="N82" i="27"/>
  <c r="N86" i="27" s="1"/>
  <c r="N84" i="27"/>
  <c r="N85" i="27" s="1"/>
  <c r="N80" i="27"/>
  <c r="N99" i="27"/>
  <c r="N100" i="27" s="1"/>
  <c r="N95" i="27"/>
  <c r="N97" i="27"/>
  <c r="N101" i="27" s="1"/>
  <c r="N45" i="25"/>
  <c r="N66" i="27"/>
  <c r="N24" i="27"/>
  <c r="L20" i="39" s="1"/>
  <c r="L23" i="39" s="1"/>
  <c r="L119" i="27"/>
  <c r="L119" i="25"/>
  <c r="N110" i="29"/>
  <c r="N24" i="39" s="1"/>
  <c r="N25" i="39" s="1"/>
  <c r="M98" i="27"/>
  <c r="M108" i="27" s="1"/>
  <c r="M104" i="27"/>
  <c r="N104" i="27" s="1"/>
  <c r="N105" i="27" s="1"/>
  <c r="M111" i="27"/>
  <c r="M113" i="27" s="1"/>
  <c r="M123" i="27" s="1"/>
  <c r="M121" i="27" s="1"/>
  <c r="M83" i="27"/>
  <c r="M93" i="27" s="1"/>
  <c r="M91" i="27" s="1"/>
  <c r="M89" i="27"/>
  <c r="M83" i="25"/>
  <c r="M93" i="25" s="1"/>
  <c r="M89" i="25"/>
  <c r="N89" i="25" s="1"/>
  <c r="N90" i="25" s="1"/>
  <c r="N62" i="25"/>
  <c r="N60" i="25" s="1"/>
  <c r="N61" i="25" s="1"/>
  <c r="N135" i="25"/>
  <c r="N132" i="25"/>
  <c r="N129" i="25"/>
  <c r="N82" i="25"/>
  <c r="N86" i="25" s="1"/>
  <c r="N80" i="25"/>
  <c r="N84" i="25"/>
  <c r="N85" i="25" s="1"/>
  <c r="M98" i="25"/>
  <c r="M108" i="25" s="1"/>
  <c r="M104" i="25"/>
  <c r="N104" i="25" s="1"/>
  <c r="N105" i="25" s="1"/>
  <c r="N95" i="25"/>
  <c r="N97" i="25"/>
  <c r="N101" i="25" s="1"/>
  <c r="N99" i="25"/>
  <c r="N100" i="25" s="1"/>
  <c r="N66" i="25"/>
  <c r="N24" i="25"/>
  <c r="M74" i="25"/>
  <c r="M70" i="25"/>
  <c r="M78" i="25" s="1"/>
  <c r="M76" i="25" s="1"/>
  <c r="M111" i="25"/>
  <c r="M113" i="25" s="1"/>
  <c r="M123" i="25" s="1"/>
  <c r="M121" i="25" s="1"/>
  <c r="N114" i="29"/>
  <c r="N115" i="29" s="1"/>
  <c r="N87" i="29"/>
  <c r="N88" i="29"/>
  <c r="N102" i="29"/>
  <c r="N103" i="29"/>
  <c r="L119" i="29"/>
  <c r="M74" i="29"/>
  <c r="N91" i="23"/>
  <c r="N92" i="23" s="1"/>
  <c r="L119" i="34"/>
  <c r="M74" i="34"/>
  <c r="M119" i="34" s="1"/>
  <c r="N109" i="34"/>
  <c r="N69" i="34"/>
  <c r="N72" i="34" s="1"/>
  <c r="N73" i="34" s="1"/>
  <c r="N71" i="34"/>
  <c r="N114" i="34" s="1"/>
  <c r="N115" i="34" s="1"/>
  <c r="N68" i="34"/>
  <c r="N67" i="34"/>
  <c r="N87" i="34"/>
  <c r="N88" i="34"/>
  <c r="N102" i="34"/>
  <c r="N103" i="34"/>
  <c r="N74" i="31"/>
  <c r="N117" i="31"/>
  <c r="N118" i="31"/>
  <c r="N117" i="29"/>
  <c r="N118" i="29"/>
  <c r="N114" i="23"/>
  <c r="N115" i="23" s="1"/>
  <c r="N117" i="23"/>
  <c r="M118" i="23"/>
  <c r="N118" i="23" s="1"/>
  <c r="M119" i="23"/>
  <c r="N111" i="23"/>
  <c r="N113" i="23" s="1"/>
  <c r="N123" i="23" s="1"/>
  <c r="N121" i="23" s="1"/>
  <c r="N122" i="23" s="1"/>
  <c r="N70" i="23"/>
  <c r="N78" i="23" s="1"/>
  <c r="N76" i="23" s="1"/>
  <c r="N77" i="23" s="1"/>
  <c r="N74" i="23"/>
  <c r="N87" i="23"/>
  <c r="N88" i="23"/>
  <c r="N106" i="23"/>
  <c r="N107" i="23" s="1"/>
  <c r="N110" i="23"/>
  <c r="H24" i="39" s="1"/>
  <c r="H25" i="39" s="1"/>
  <c r="N119" i="18"/>
  <c r="N120" i="18" s="1"/>
  <c r="N75" i="18"/>
  <c r="N117" i="18"/>
  <c r="N118" i="18"/>
  <c r="N114" i="36"/>
  <c r="N115" i="36" s="1"/>
  <c r="N113" i="36"/>
  <c r="N123" i="36" s="1"/>
  <c r="N121" i="36" s="1"/>
  <c r="N122" i="36" s="1"/>
  <c r="N70" i="36"/>
  <c r="N78" i="36" s="1"/>
  <c r="N76" i="36" s="1"/>
  <c r="N77" i="36" s="1"/>
  <c r="N112" i="36"/>
  <c r="N116" i="36" s="1"/>
  <c r="N117" i="36" s="1"/>
  <c r="M74" i="36"/>
  <c r="M119" i="36" s="1"/>
  <c r="M13" i="13"/>
  <c r="J20" i="39" l="1"/>
  <c r="J23" i="39" s="1"/>
  <c r="N91" i="29"/>
  <c r="N92" i="29" s="1"/>
  <c r="N121" i="29"/>
  <c r="N122" i="29" s="1"/>
  <c r="N102" i="27"/>
  <c r="N103" i="27"/>
  <c r="N87" i="27"/>
  <c r="N88" i="27"/>
  <c r="N109" i="27"/>
  <c r="N69" i="27"/>
  <c r="N72" i="27" s="1"/>
  <c r="N73" i="27" s="1"/>
  <c r="N71" i="27"/>
  <c r="N114" i="27" s="1"/>
  <c r="N115" i="27" s="1"/>
  <c r="N67" i="27"/>
  <c r="N68" i="27"/>
  <c r="N91" i="27"/>
  <c r="N92" i="27" s="1"/>
  <c r="M119" i="27"/>
  <c r="N89" i="27"/>
  <c r="M106" i="27"/>
  <c r="N106" i="27"/>
  <c r="N71" i="25"/>
  <c r="N114" i="25" s="1"/>
  <c r="N115" i="25" s="1"/>
  <c r="N69" i="25"/>
  <c r="N72" i="25" s="1"/>
  <c r="N73" i="25" s="1"/>
  <c r="N109" i="25"/>
  <c r="N67" i="25"/>
  <c r="N68" i="25"/>
  <c r="M106" i="25"/>
  <c r="N106" i="25"/>
  <c r="M119" i="25"/>
  <c r="N103" i="25"/>
  <c r="N102" i="25"/>
  <c r="M91" i="25"/>
  <c r="N91" i="25"/>
  <c r="N88" i="25"/>
  <c r="N87" i="25"/>
  <c r="N74" i="29"/>
  <c r="M119" i="29"/>
  <c r="N111" i="34"/>
  <c r="N113" i="34" s="1"/>
  <c r="N123" i="34" s="1"/>
  <c r="N121" i="34" s="1"/>
  <c r="N122" i="34" s="1"/>
  <c r="N74" i="34"/>
  <c r="N70" i="34"/>
  <c r="N78" i="34" s="1"/>
  <c r="N76" i="34" s="1"/>
  <c r="N77" i="34" s="1"/>
  <c r="N112" i="34"/>
  <c r="N116" i="34" s="1"/>
  <c r="N110" i="34"/>
  <c r="R24" i="39" s="1"/>
  <c r="R25" i="39" s="1"/>
  <c r="N119" i="31"/>
  <c r="N120" i="31" s="1"/>
  <c r="N75" i="31"/>
  <c r="N119" i="23"/>
  <c r="N120" i="23" s="1"/>
  <c r="N75" i="23"/>
  <c r="N74" i="36"/>
  <c r="N119" i="36" s="1"/>
  <c r="N118" i="36"/>
  <c r="N107" i="27" l="1"/>
  <c r="N112" i="27"/>
  <c r="N116" i="27" s="1"/>
  <c r="N110" i="27"/>
  <c r="L24" i="39" s="1"/>
  <c r="L25" i="39" s="1"/>
  <c r="N74" i="27"/>
  <c r="N75" i="27" s="1"/>
  <c r="N70" i="27"/>
  <c r="N78" i="27" s="1"/>
  <c r="N76" i="27" s="1"/>
  <c r="N77" i="27" s="1"/>
  <c r="N111" i="27"/>
  <c r="N113" i="27" s="1"/>
  <c r="N123" i="27" s="1"/>
  <c r="N121" i="27" s="1"/>
  <c r="N122" i="27" s="1"/>
  <c r="N92" i="25"/>
  <c r="N90" i="27"/>
  <c r="N74" i="25"/>
  <c r="N70" i="25"/>
  <c r="N78" i="25" s="1"/>
  <c r="N76" i="25" s="1"/>
  <c r="N77" i="25" s="1"/>
  <c r="N111" i="25"/>
  <c r="N113" i="25" s="1"/>
  <c r="N123" i="25" s="1"/>
  <c r="N121" i="25" s="1"/>
  <c r="N122" i="25" s="1"/>
  <c r="N112" i="25"/>
  <c r="N116" i="25" s="1"/>
  <c r="N110" i="25"/>
  <c r="J24" i="39" s="1"/>
  <c r="J25" i="39" s="1"/>
  <c r="N107" i="25"/>
  <c r="N75" i="29"/>
  <c r="N119" i="29"/>
  <c r="N120" i="29" s="1"/>
  <c r="N117" i="34"/>
  <c r="N118" i="34"/>
  <c r="N119" i="34"/>
  <c r="N120" i="34" s="1"/>
  <c r="N75" i="34"/>
  <c r="N120" i="36"/>
  <c r="N75" i="36"/>
  <c r="N119" i="27" l="1"/>
  <c r="N120" i="27" s="1"/>
  <c r="N117" i="27"/>
  <c r="N118" i="27"/>
  <c r="N118" i="25"/>
  <c r="N117" i="25"/>
  <c r="N119" i="25"/>
  <c r="N120" i="25" s="1"/>
  <c r="N75" i="25"/>
  <c r="I9" i="36"/>
  <c r="M4" i="36"/>
  <c r="N4" i="36" s="1"/>
  <c r="M8" i="36"/>
  <c r="N8" i="36" s="1"/>
  <c r="M6" i="36"/>
  <c r="N6" i="36" s="1"/>
  <c r="I7" i="36"/>
  <c r="I5" i="36"/>
  <c r="I4" i="36"/>
  <c r="I10" i="36"/>
</calcChain>
</file>

<file path=xl/sharedStrings.xml><?xml version="1.0" encoding="utf-8"?>
<sst xmlns="http://schemas.openxmlformats.org/spreadsheetml/2006/main" count="2089" uniqueCount="185">
  <si>
    <t>Bitcoin USD Price</t>
  </si>
  <si>
    <t>Bitcoin USD Marketcap</t>
  </si>
  <si>
    <t>Bitcoin USD Price Start</t>
  </si>
  <si>
    <t>Year 1</t>
  </si>
  <si>
    <t>Year 2</t>
  </si>
  <si>
    <t>Year 3</t>
  </si>
  <si>
    <t>Year 4</t>
  </si>
  <si>
    <t>Year 5</t>
  </si>
  <si>
    <t>Year 6</t>
  </si>
  <si>
    <t>Year 7</t>
  </si>
  <si>
    <t>Year 8</t>
  </si>
  <si>
    <t>Year 9</t>
  </si>
  <si>
    <t>Year 10</t>
  </si>
  <si>
    <t>Remaining BTC Yield %</t>
  </si>
  <si>
    <t>Cumulative BTC Yield %</t>
  </si>
  <si>
    <t>Annual BTC Yield %</t>
  </si>
  <si>
    <t>Bitcoin Growth Yield (BiGY)</t>
  </si>
  <si>
    <t>Bitcoin Transaction Yield (BiTY)</t>
  </si>
  <si>
    <t>Total Yield</t>
  </si>
  <si>
    <t>Annual</t>
  </si>
  <si>
    <t>Bitcoin</t>
  </si>
  <si>
    <t>Test Case</t>
  </si>
  <si>
    <t>Annual Average</t>
  </si>
  <si>
    <t>Bitcoin Compound Annual Growth Rate Calculator</t>
  </si>
  <si>
    <t>Start Price</t>
  </si>
  <si>
    <t>Start Date</t>
  </si>
  <si>
    <t>End Price</t>
  </si>
  <si>
    <t>End Date</t>
  </si>
  <si>
    <t>Bitcoin Yield Estimate Variables</t>
  </si>
  <si>
    <t>Compound Annual Growth Rate</t>
  </si>
  <si>
    <t>Bitcoin Compound Annual Growth Rate (CAGR)</t>
  </si>
  <si>
    <t>Annual Average BTC Yield %</t>
  </si>
  <si>
    <t>BTC</t>
  </si>
  <si>
    <t>USD</t>
  </si>
  <si>
    <t>SR USD Comp.</t>
  </si>
  <si>
    <t>USD
Compounded</t>
  </si>
  <si>
    <t>USD
Simple</t>
  </si>
  <si>
    <t>SP BiGY BTC</t>
  </si>
  <si>
    <t>SP Total BTC</t>
  </si>
  <si>
    <t>Annual Avg. %</t>
  </si>
  <si>
    <t>Annual Avg.</t>
  </si>
  <si>
    <t>Cumulative</t>
  </si>
  <si>
    <t>Cumulative %</t>
  </si>
  <si>
    <t>Annual %</t>
  </si>
  <si>
    <t>Annual Average %</t>
  </si>
  <si>
    <t>Test Case Annual</t>
  </si>
  <si>
    <t>Test Case Cumulative</t>
  </si>
  <si>
    <t>Test Case Annual Average</t>
  </si>
  <si>
    <t>Price</t>
  </si>
  <si>
    <t>Marketcap</t>
  </si>
  <si>
    <t>Unit of Account</t>
  </si>
  <si>
    <t>Measure</t>
  </si>
  <si>
    <t>Yield Estimate Calculator</t>
  </si>
  <si>
    <t>Bitcoin TVL</t>
  </si>
  <si>
    <t>BTC Measure</t>
  </si>
  <si>
    <t>BTC TVL</t>
  </si>
  <si>
    <t>Bitcoin Yield Estimate 10 Year Burndown Summary</t>
  </si>
  <si>
    <t>SP BiTY BTC</t>
  </si>
  <si>
    <t>Total Annual %</t>
  </si>
  <si>
    <t>Total Annual Average %</t>
  </si>
  <si>
    <t>Bitcoin Investor</t>
  </si>
  <si>
    <t>Fiat Investor</t>
  </si>
  <si>
    <t>Service Provider</t>
  </si>
  <si>
    <t>Bond/Pref-to-Value %</t>
  </si>
  <si>
    <t>Loan-to-Value %</t>
  </si>
  <si>
    <t>Stable Provider</t>
  </si>
  <si>
    <t>Stable Receiver</t>
  </si>
  <si>
    <t>High-Interest Debt</t>
  </si>
  <si>
    <t>Low-Interest Debt</t>
  </si>
  <si>
    <t>Service</t>
  </si>
  <si>
    <t>BTC Principal %</t>
  </si>
  <si>
    <t>BTC Debt %</t>
  </si>
  <si>
    <t>Total Down Payment</t>
  </si>
  <si>
    <t>Total Debt</t>
  </si>
  <si>
    <t>BTC Total</t>
  </si>
  <si>
    <t>BTC Principal</t>
  </si>
  <si>
    <t>BTC Bond/Pref</t>
  </si>
  <si>
    <t>BTC Loan</t>
  </si>
  <si>
    <t>Debt-to-Value %</t>
  </si>
  <si>
    <t>N/A</t>
  </si>
  <si>
    <t>Total Debt-to-Value</t>
  </si>
  <si>
    <r>
      <t xml:space="preserve">Bitcoin Lightning Mortgage
</t>
    </r>
    <r>
      <rPr>
        <sz val="11"/>
        <color theme="1"/>
        <rFont val="Aptos Display"/>
        <family val="2"/>
        <scheme val="major"/>
      </rPr>
      <t>Bitcoin collateral with price drawdown liquidation protection for leveraged Bitcoin growth and Lightning transaction exposure</t>
    </r>
  </si>
  <si>
    <t>X: @KyleHutch_</t>
  </si>
  <si>
    <t>Feature</t>
  </si>
  <si>
    <t>Concentrated</t>
  </si>
  <si>
    <t>Distributed</t>
  </si>
  <si>
    <t>Capital Provisioning</t>
  </si>
  <si>
    <t>Capital Risk</t>
  </si>
  <si>
    <t>Common Shareholders</t>
  </si>
  <si>
    <t>Capital Providers</t>
  </si>
  <si>
    <t>Bitcoin Yield Distribution</t>
  </si>
  <si>
    <t>Centralized and Permissioned</t>
  </si>
  <si>
    <t>Decentralized and Permissionless</t>
  </si>
  <si>
    <t>Traditional Finance</t>
  </si>
  <si>
    <t>Service Revenue</t>
  </si>
  <si>
    <t>Service Infrastructure</t>
  </si>
  <si>
    <t>1X = 1 BTC buy adds 1 BTC to TVL</t>
  </si>
  <si>
    <t>Bitcoin Treasury 2.0</t>
  </si>
  <si>
    <t>Treasury Model</t>
  </si>
  <si>
    <t>Bitcoin Total Value Locked
Growth Rate</t>
  </si>
  <si>
    <t>Credit Obligation
Funding Strategy</t>
  </si>
  <si>
    <t>Bitcoin Treasury 1.0, 1.5, 2.0</t>
  </si>
  <si>
    <t>Digital Credit 2.0</t>
  </si>
  <si>
    <t>Digital Credit 1.0</t>
  </si>
  <si>
    <t>A distributed approach enables many different bitcoin volatility risk profiles between individuals. Anyone can opt-out providing capital at any time if the bitcoin price underperforms beyond their comfort level however with built-in bitcoin price drawdown liquidation protection only credit obligations are required to maintain the capital position.</t>
  </si>
  <si>
    <t>While there remains a small overhead of credit-based products built using Traditional Finance such as bonds, preferred shares, and loans the majority of the effort is bitcoinizing those Real World Liabilities (RWL) using bitcoin-backed products and services on the Lightning Network with Lightning Stable Channels as a mechanism to balance bitcoin stable to fiat with bitcoin volatile using leverage.</t>
  </si>
  <si>
    <t>Bitcoiners can permissionlessly provide bitcoin capital to global credit markets and earn true bitcoin yield by participating in the worldwide bitcoin credit market revolution. An example of the power in decentralized and distributed capital means that individuals in the United States can effortlessly provide capital to credit instruments created in Europe.</t>
  </si>
  <si>
    <t>Streaming Finance
using the Bitcoin Lightning Network</t>
  </si>
  <si>
    <t>Explainer</t>
  </si>
  <si>
    <t>Bitcoin Treasury 2.0 (BT 2.0) is implemented by Bitcoin-native companies with laser focus on bitcoin yield strategies to earn bitcoin revenue instead of through common share dilution.</t>
  </si>
  <si>
    <t>Bitcoin Lightning Credit Derivatives
A permissionless, decentralized and distributed strategy for ultra-high yields using leveraged bitcoin growth and lightning transaction fee exposure</t>
  </si>
  <si>
    <t>Annual ETF Fee</t>
  </si>
  <si>
    <t>Annual Loan Fee</t>
  </si>
  <si>
    <r>
      <t xml:space="preserve">Lightning Bank 5 Year Revenue Summary
</t>
    </r>
    <r>
      <rPr>
        <sz val="11"/>
        <rFont val="Aptos Display"/>
        <family val="2"/>
        <scheme val="major"/>
      </rPr>
      <t>TVL = Total Value Locked</t>
    </r>
  </si>
  <si>
    <t>Stable Receiver / Fiat Lender</t>
  </si>
  <si>
    <t>Stable Provider / Bitcoin Borrower</t>
  </si>
  <si>
    <t>Stable Balancer / Lightning Service Provider</t>
  </si>
  <si>
    <t>SP BiLY SB BTC</t>
  </si>
  <si>
    <t>SP BiLY SR BTC</t>
  </si>
  <si>
    <t>Bitcoin Lightning Credit Derivatives</t>
  </si>
  <si>
    <t>SP BiLY BTC</t>
  </si>
  <si>
    <r>
      <t xml:space="preserve">Bitcoin Yield Estimate 5 Year Summary
</t>
    </r>
    <r>
      <rPr>
        <sz val="11"/>
        <rFont val="Aptos Display"/>
        <family val="2"/>
        <scheme val="major"/>
      </rPr>
      <t>SR = Stable Receiver
SB = Stable Balancer
SP = Stable Provider</t>
    </r>
  </si>
  <si>
    <t>Annual Bitcoin Transaction Yield %</t>
  </si>
  <si>
    <t>Annual Bitcoin Growth Yield %</t>
  </si>
  <si>
    <t>Stable Security Cumulative %</t>
  </si>
  <si>
    <t>Stable Security Remaining %</t>
  </si>
  <si>
    <t>Stable Security Annual %</t>
  </si>
  <si>
    <t>Stable Security Annual Average %</t>
  </si>
  <si>
    <t>Stable Debt Annual %</t>
  </si>
  <si>
    <t>Stable Debt Annual Avg. %</t>
  </si>
  <si>
    <t>Stable Receiver Security Annual USD %</t>
  </si>
  <si>
    <t>Stable Balancer Security Annual USD %</t>
  </si>
  <si>
    <t>Stable Balancer Debt Annual USD %</t>
  </si>
  <si>
    <t>Stable Provider Debt-to-Value %</t>
  </si>
  <si>
    <t>S E R V I C E</t>
  </si>
  <si>
    <t>Bitcoin Yield Estimate Variables
BiGY = Bitcoin Growth Yield (CAGR)
BiLY = Bitcoin Liquidity Yield
BiTY = Bitcoin Transaction Yield</t>
  </si>
  <si>
    <t>Annual Bitcoin Liquidity Yield %</t>
  </si>
  <si>
    <t>Bitcoin Liquidity Yield (BiLY)</t>
  </si>
  <si>
    <r>
      <t xml:space="preserve">Bitcoin Yield Estimate Variables
</t>
    </r>
    <r>
      <rPr>
        <sz val="11"/>
        <rFont val="Aptos Display"/>
        <family val="2"/>
        <scheme val="major"/>
      </rPr>
      <t>BiGY = Bitcoin Growth Yield (CAGR)
BiLY = Bitcoin Liquidity Yield
BiTY = Bitcoin Transaction Yield</t>
    </r>
  </si>
  <si>
    <t>T R A N S A C T I O N</t>
  </si>
  <si>
    <t>L I Q U I D I T Y</t>
  </si>
  <si>
    <t>G R O W T H</t>
  </si>
  <si>
    <t>G R O S S   T O T A L</t>
  </si>
  <si>
    <t xml:space="preserve">S E C U R I T Y </t>
  </si>
  <si>
    <t>D E B T</t>
  </si>
  <si>
    <t>N E T   T O T A L</t>
  </si>
  <si>
    <t>C A P I T A L   L E V E R A G E</t>
  </si>
  <si>
    <t>4 X</t>
  </si>
  <si>
    <t>5 X</t>
  </si>
  <si>
    <t>Bitcoin Growth Yield is the Bitcoin Compound Annual Growth Rate from leasing the credit (stable bitcoin) liquidity position. Bitcoin Liquidity Yield is the Lightning fees obtained from leasing the credit (stable bitcoin) and capital (volatile bitcoin) liquidity positions. Bitcoin Transaction Yield is the Lightning fees obtained from routing fees in the credit (stable bitcoin) and capital (volatile bitcoin) liquidity positions
Capital Providers receive 100% of the Bitcoin Yield with fiat-denominated fees deducted thus eliminating the need to dilute common shareholders.</t>
  </si>
  <si>
    <t>B I T C O I N   L I G H T N I N G   C R E D I T   D E R I V A T I V E S</t>
  </si>
  <si>
    <r>
      <t xml:space="preserve">B I T C O I N   L E A S I N G   Y I E L D
A N N U A L I Z E D   </t>
    </r>
    <r>
      <rPr>
        <sz val="20"/>
        <color rgb="FFFFA500"/>
        <rFont val="Aptos Narrow"/>
        <family val="2"/>
        <scheme val="minor"/>
      </rPr>
      <t>B T C</t>
    </r>
    <r>
      <rPr>
        <sz val="20"/>
        <color rgb="FF1F9BFD"/>
        <rFont val="Aptos Narrow"/>
        <family val="2"/>
        <scheme val="minor"/>
      </rPr>
      <t xml:space="preserve">
5   Y E A R   A V E R A G E</t>
    </r>
  </si>
  <si>
    <r>
      <t xml:space="preserve">B I T C O I N   L E A S I N G   Y I E L D
A N N U A L I Z E D   </t>
    </r>
    <r>
      <rPr>
        <sz val="20"/>
        <color rgb="FFFFA500"/>
        <rFont val="Aptos Narrow"/>
        <family val="2"/>
        <scheme val="minor"/>
      </rPr>
      <t>B T C</t>
    </r>
    <r>
      <rPr>
        <sz val="20"/>
        <color rgb="FF1F9BFD"/>
        <rFont val="Aptos Narrow"/>
        <family val="2"/>
        <scheme val="minor"/>
      </rPr>
      <t xml:space="preserve">
10   Y E A R   A V E R A G E</t>
    </r>
  </si>
  <si>
    <t>S E C U R I T Y</t>
  </si>
  <si>
    <r>
      <rPr>
        <sz val="20"/>
        <color rgb="FFCCCCCC"/>
        <rFont val="Aptos Narrow"/>
        <family val="2"/>
        <scheme val="minor"/>
      </rPr>
      <t xml:space="preserve">A M P L I F Y 
Y O U R
</t>
    </r>
    <r>
      <rPr>
        <sz val="20"/>
        <color rgb="FFFFA500"/>
        <rFont val="Aptos Narrow"/>
        <family val="2"/>
        <scheme val="minor"/>
      </rPr>
      <t xml:space="preserve">B I T C O I N
</t>
    </r>
    <r>
      <rPr>
        <sz val="20"/>
        <color rgb="FFCCCCCC"/>
        <rFont val="Aptos Narrow"/>
        <family val="2"/>
        <scheme val="minor"/>
      </rPr>
      <t>O N   T H E</t>
    </r>
    <r>
      <rPr>
        <sz val="20"/>
        <color rgb="FFFFA500"/>
        <rFont val="Aptos Narrow"/>
        <family val="2"/>
        <scheme val="minor"/>
      </rPr>
      <t xml:space="preserve">
L I G H T N I N G
N E T W O R K</t>
    </r>
  </si>
  <si>
    <t>R E C E I V E S</t>
  </si>
  <si>
    <t>D E S C R I P T I O N</t>
  </si>
  <si>
    <t>Lightning Service Provider</t>
  </si>
  <si>
    <t>B U Y S</t>
  </si>
  <si>
    <t>Bitcoin Borrower</t>
  </si>
  <si>
    <t>Fiat Lender</t>
  </si>
  <si>
    <t>Security Fees</t>
  </si>
  <si>
    <t>Debt and Service Fees</t>
  </si>
  <si>
    <t>Net Total Bitcoin Yield</t>
  </si>
  <si>
    <t>M E E T   T H E
P L A Y E R S</t>
  </si>
  <si>
    <t>P O S I T I O N</t>
  </si>
  <si>
    <r>
      <t xml:space="preserve">B I T C O I N   L E A S I N G   Y I E L D
A N N U A L I Z E D   </t>
    </r>
    <r>
      <rPr>
        <sz val="20"/>
        <color rgb="FF719C59"/>
        <rFont val="Aptos Narrow"/>
        <family val="2"/>
        <scheme val="minor"/>
      </rPr>
      <t>F I A T</t>
    </r>
    <r>
      <rPr>
        <sz val="20"/>
        <color rgb="FF1F9BFD"/>
        <rFont val="Aptos Narrow"/>
        <family val="2"/>
        <scheme val="minor"/>
      </rPr>
      <t xml:space="preserve">   O R   </t>
    </r>
    <r>
      <rPr>
        <sz val="20"/>
        <color rgb="FFFFA500"/>
        <rFont val="Aptos Narrow"/>
        <family val="2"/>
        <scheme val="minor"/>
      </rPr>
      <t>B T C</t>
    </r>
  </si>
  <si>
    <r>
      <t xml:space="preserve">B I T C O I N   L E A S I N G   F E E S
A N N U A L I Z E D   </t>
    </r>
    <r>
      <rPr>
        <sz val="20"/>
        <color rgb="FF719C59"/>
        <rFont val="Aptos Narrow"/>
        <family val="2"/>
        <scheme val="minor"/>
      </rPr>
      <t>F I A T</t>
    </r>
  </si>
  <si>
    <t>L E A S E - T O - C A P I T A L</t>
  </si>
  <si>
    <t>T O T A L</t>
  </si>
  <si>
    <r>
      <t xml:space="preserve">Self-custodial </t>
    </r>
    <r>
      <rPr>
        <sz val="20"/>
        <color rgb="FFFFA500"/>
        <rFont val="Aptos Narrow"/>
        <family val="2"/>
        <scheme val="minor"/>
      </rPr>
      <t>bitcoin</t>
    </r>
    <r>
      <rPr>
        <sz val="20"/>
        <color rgb="FFCCCCCC"/>
        <rFont val="Aptos Narrow"/>
        <family val="2"/>
        <scheme val="minor"/>
      </rPr>
      <t xml:space="preserve"> </t>
    </r>
    <r>
      <rPr>
        <sz val="20"/>
        <color rgb="FFFFA500"/>
        <rFont val="Aptos Narrow"/>
        <family val="2"/>
        <scheme val="minor"/>
      </rPr>
      <t>capital</t>
    </r>
    <r>
      <rPr>
        <sz val="20"/>
        <color rgb="FFCCCCCC"/>
        <rFont val="Aptos Narrow"/>
        <family val="2"/>
        <scheme val="minor"/>
      </rPr>
      <t xml:space="preserve"> with price drawdown liquidation protection</t>
    </r>
  </si>
  <si>
    <r>
      <t xml:space="preserve">Custodial </t>
    </r>
    <r>
      <rPr>
        <sz val="20"/>
        <color rgb="FF719C59"/>
        <rFont val="Aptos Narrow"/>
        <family val="2"/>
        <scheme val="minor"/>
      </rPr>
      <t>bitcoin</t>
    </r>
    <r>
      <rPr>
        <sz val="20"/>
        <color rgb="FFCCCCCC"/>
        <rFont val="Aptos Narrow"/>
        <family val="2"/>
        <scheme val="minor"/>
      </rPr>
      <t xml:space="preserve"> </t>
    </r>
    <r>
      <rPr>
        <sz val="20"/>
        <color rgb="FF719C59"/>
        <rFont val="Aptos Narrow"/>
        <family val="2"/>
        <scheme val="minor"/>
      </rPr>
      <t>credit</t>
    </r>
    <r>
      <rPr>
        <sz val="20"/>
        <color rgb="FFCCCCCC"/>
        <rFont val="Aptos Narrow"/>
        <family val="2"/>
        <scheme val="minor"/>
      </rPr>
      <t xml:space="preserve"> with fiat price stability</t>
    </r>
  </si>
  <si>
    <t>A global, permissionless, decentralized and distributed strategy for ultra-high yields using leveraged bitcoin growth, liquidity and transaction leasing exposure</t>
  </si>
  <si>
    <r>
      <t xml:space="preserve">Balancer providing </t>
    </r>
    <r>
      <rPr>
        <sz val="20"/>
        <color theme="5"/>
        <rFont val="Aptos Narrow"/>
        <family val="2"/>
        <scheme val="minor"/>
      </rPr>
      <t>bitcoin yield</t>
    </r>
    <r>
      <rPr>
        <sz val="20"/>
        <color rgb="FFCCCCCC"/>
        <rFont val="Aptos Narrow"/>
        <family val="2"/>
        <scheme val="minor"/>
      </rPr>
      <t xml:space="preserve"> collection and distribution services</t>
    </r>
  </si>
  <si>
    <t>Security (ex: ETF)</t>
  </si>
  <si>
    <t>3 . 5 X</t>
  </si>
  <si>
    <t>3 X</t>
  </si>
  <si>
    <t>2 X</t>
  </si>
  <si>
    <t>4 . 5 X</t>
  </si>
  <si>
    <t>2 . 5 X</t>
  </si>
  <si>
    <t>A M P L I F I E D   C A G R</t>
  </si>
  <si>
    <t>2X = 1 BTC buy adds 2 BTC to TVL
5X = 1 BTC buy adds 5 BTC to TVL</t>
  </si>
  <si>
    <t>Bitcoin TVL is increased at a faster rate due to the decentralized capital participation model. A BTC &amp; LN Long 2X position commands a double growth rate increase while a BTC &amp; LN Long 5X position commands a five times growth rate increase.</t>
  </si>
  <si>
    <t>No</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</si>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</sst>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quot;$&quot;###0.00,,&quot; M&quot;"/>
    <numFmt numFmtId="165" formatCode="&quot;$&quot;#,##0,&quot; K&quot;"/>
    <numFmt numFmtId="166" formatCode="&quot;$&quot;###0.00,,,,&quot; T&quot;"/>
    <numFmt numFmtId="167" formatCode="&quot;$&quot;#,##0.00"/>
    <numFmt numFmtId="168" formatCode="#,##0,&quot; K&quot;"/>
    <numFmt numFmtId="169" formatCode="###0.0,,&quot; M&quot;"/>
    <numFmt numFmtId="170" formatCode="&quot;$&quot;###0.00,,,&quot; B&quot;"/>
  </numFmts>
  <fonts count="34" x14ac:knownFonts="1">
    <font>
      <sz val="11"/>
      <color theme="1"/>
      <name val="Aptos Narrow"/>
      <family val="2"/>
      <scheme val="minor"/>
    </font>
    <font>
      <sz val="11"/>
      <color theme="1"/>
      <name val="Aptos Display"/>
      <family val="2"/>
      <scheme val="major"/>
    </font>
    <font>
      <sz val="11"/>
      <color theme="0"/>
      <name val="Aptos Display"/>
      <family val="2"/>
      <scheme val="major"/>
    </font>
    <font>
      <sz val="11"/>
      <name val="Aptos Display"/>
      <family val="2"/>
      <scheme val="major"/>
    </font>
    <font>
      <b/>
      <sz val="11"/>
      <color theme="1"/>
      <name val="Aptos Display"/>
      <family val="2"/>
      <scheme val="major"/>
    </font>
    <font>
      <b/>
      <sz val="11"/>
      <name val="Aptos Display"/>
      <family val="2"/>
      <scheme val="major"/>
    </font>
    <font>
      <sz val="12"/>
      <color theme="0"/>
      <name val="Aptos Display"/>
      <family val="2"/>
      <scheme val="major"/>
    </font>
    <font>
      <sz val="11"/>
      <color rgb="FF006100"/>
      <name val="Aptos Narrow"/>
      <family val="2"/>
      <scheme val="minor"/>
    </font>
    <font>
      <b/>
      <sz val="11"/>
      <color rgb="FF006100"/>
      <name val="Aptos Narrow"/>
      <family val="2"/>
      <scheme val="minor"/>
    </font>
    <font>
      <sz val="18"/>
      <color theme="1"/>
      <name val="Aptos Display"/>
      <family val="2"/>
      <scheme val="major"/>
    </font>
    <font>
      <sz val="16"/>
      <color rgb="FF1F9BFD"/>
      <name val="Aptos Narrow"/>
      <family val="2"/>
      <scheme val="minor"/>
    </font>
    <font>
      <sz val="16"/>
      <color theme="0"/>
      <name val="Aptos Narrow"/>
      <family val="2"/>
      <scheme val="minor"/>
    </font>
    <font>
      <sz val="14"/>
      <color theme="0" tint="-0.14999847407452621"/>
      <name val="Aptos Narrow"/>
      <family val="2"/>
      <scheme val="minor"/>
    </font>
    <font>
      <sz val="16"/>
      <color rgb="FFFFA500"/>
      <name val="Aptos Narrow"/>
      <family val="2"/>
      <scheme val="minor"/>
    </font>
    <font>
      <sz val="22"/>
      <color theme="0"/>
      <name val="Aptos Narrow"/>
      <family val="2"/>
      <scheme val="minor"/>
    </font>
    <font>
      <sz val="22"/>
      <color rgb="FF1F9BFD"/>
      <name val="Aptos Narrow"/>
      <family val="2"/>
      <scheme val="minor"/>
    </font>
    <font>
      <sz val="16"/>
      <color theme="0" tint="-0.14999847407452621"/>
      <name val="Aptos Narrow"/>
      <family val="2"/>
      <scheme val="minor"/>
    </font>
    <font>
      <sz val="18"/>
      <color rgb="FFFFA500"/>
      <name val="Aptos Narrow"/>
      <family val="2"/>
      <scheme val="minor"/>
    </font>
    <font>
      <sz val="8"/>
      <name val="Aptos Narrow"/>
      <family val="2"/>
      <scheme val="minor"/>
    </font>
    <font>
      <sz val="16"/>
      <color rgb="FFCCCCCC"/>
      <name val="Aptos Narrow"/>
      <family val="2"/>
      <scheme val="minor"/>
    </font>
    <font>
      <sz val="16"/>
      <color theme="0" tint="-0.34998626667073579"/>
      <name val="Aptos Narrow"/>
      <family val="2"/>
      <scheme val="minor"/>
    </font>
    <font>
      <sz val="18"/>
      <color rgb="FF1F9BFD"/>
      <name val="Aptos Narrow"/>
      <family val="2"/>
      <scheme val="minor"/>
    </font>
    <font>
      <sz val="18"/>
      <color rgb="FFCCCCCC"/>
      <name val="Aptos Narrow"/>
      <family val="2"/>
      <scheme val="minor"/>
    </font>
    <font>
      <sz val="20"/>
      <color rgb="FFFFA500"/>
      <name val="Aptos Narrow"/>
      <family val="2"/>
      <scheme val="minor"/>
    </font>
    <font>
      <sz val="20"/>
      <color rgb="FFCCCCCC"/>
      <name val="Aptos Narrow"/>
      <family val="2"/>
      <scheme val="minor"/>
    </font>
    <font>
      <sz val="20"/>
      <color rgb="FF1F9BFD"/>
      <name val="Aptos Narrow"/>
      <family val="2"/>
      <scheme val="minor"/>
    </font>
    <font>
      <sz val="20"/>
      <color theme="0" tint="-0.14999847407452621"/>
      <name val="Aptos Narrow"/>
      <family val="2"/>
      <scheme val="minor"/>
    </font>
    <font>
      <sz val="20"/>
      <color rgb="FF719C59"/>
      <name val="Aptos Narrow"/>
      <family val="2"/>
      <scheme val="minor"/>
    </font>
    <font>
      <sz val="20"/>
      <color theme="0"/>
      <name val="Aptos Narrow"/>
      <family val="2"/>
      <scheme val="minor"/>
    </font>
    <font>
      <sz val="24"/>
      <color rgb="FF719C59"/>
      <name val="Aptos Narrow"/>
      <family val="2"/>
      <scheme val="minor"/>
    </font>
    <font>
      <sz val="24"/>
      <color rgb="FFFFA500"/>
      <name val="Aptos Narrow"/>
      <family val="2"/>
      <scheme val="minor"/>
    </font>
    <font>
      <sz val="20"/>
      <color theme="5"/>
      <name val="Aptos Narrow"/>
      <family val="2"/>
      <scheme val="minor"/>
    </font>
    <font>
      <sz val="28"/>
      <color rgb="FF1F9BFD"/>
      <name val="Aptos Narrow"/>
      <family val="2"/>
      <scheme val="minor"/>
    </font>
    <font>
      <sz val="30"/>
      <color rgb="FFFFA500"/>
      <name val="Aptos Narrow"/>
      <family val="2"/>
      <scheme val="minor"/>
    </font>
  </fonts>
  <fills count="15">
    <fill>
      <patternFill patternType="none"/>
    </fill>
    <fill>
      <patternFill patternType="gray125"/>
    </fill>
    <fill>
      <patternFill patternType="solid">
        <fgColor theme="4"/>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rgb="FFF5DAA9"/>
        <bgColor indexed="64"/>
      </patternFill>
    </fill>
    <fill>
      <patternFill patternType="solid">
        <fgColor theme="0"/>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3" tint="0.89999084444715716"/>
        <bgColor indexed="64"/>
      </patternFill>
    </fill>
    <fill>
      <patternFill patternType="solid">
        <fgColor rgb="FFC6EFCE"/>
      </patternFill>
    </fill>
    <fill>
      <patternFill patternType="solid">
        <fgColor theme="5" tint="0.59999389629810485"/>
        <bgColor indexed="64"/>
      </patternFill>
    </fill>
    <fill>
      <patternFill patternType="solid">
        <fgColor theme="0" tint="-0.14999847407452621"/>
        <bgColor indexed="64"/>
      </patternFill>
    </fill>
    <fill>
      <patternFill patternType="solid">
        <fgColor theme="1"/>
        <bgColor indexed="64"/>
      </patternFill>
    </fill>
  </fills>
  <borders count="47">
    <border>
      <left/>
      <right/>
      <top/>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bottom style="thin">
        <color theme="0"/>
      </bottom>
      <diagonal/>
    </border>
    <border>
      <left style="thin">
        <color theme="0"/>
      </left>
      <right style="thin">
        <color theme="0"/>
      </right>
      <top/>
      <bottom/>
      <diagonal/>
    </border>
    <border>
      <left/>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style="thin">
        <color theme="0"/>
      </top>
      <bottom style="thin">
        <color theme="0"/>
      </bottom>
      <diagonal/>
    </border>
    <border>
      <left style="thin">
        <color theme="0"/>
      </left>
      <right/>
      <top/>
      <bottom/>
      <diagonal/>
    </border>
    <border>
      <left/>
      <right/>
      <top style="thin">
        <color indexed="64"/>
      </top>
      <bottom style="thin">
        <color indexed="64"/>
      </bottom>
      <diagonal/>
    </border>
    <border>
      <left/>
      <right/>
      <top/>
      <bottom style="thin">
        <color indexed="64"/>
      </bottom>
      <diagonal/>
    </border>
    <border>
      <left style="thin">
        <color theme="0"/>
      </left>
      <right style="thin">
        <color theme="0"/>
      </right>
      <top style="thin">
        <color indexed="64"/>
      </top>
      <bottom style="thin">
        <color indexed="64"/>
      </bottom>
      <diagonal/>
    </border>
    <border>
      <left style="thin">
        <color theme="0"/>
      </left>
      <right/>
      <top style="thin">
        <color indexed="64"/>
      </top>
      <bottom style="thin">
        <color indexed="64"/>
      </bottom>
      <diagonal/>
    </border>
    <border>
      <left style="thin">
        <color theme="0"/>
      </left>
      <right style="thin">
        <color theme="0"/>
      </right>
      <top style="thin">
        <color indexed="64"/>
      </top>
      <bottom/>
      <diagonal/>
    </border>
    <border>
      <left style="thin">
        <color theme="0"/>
      </left>
      <right style="thin">
        <color theme="0"/>
      </right>
      <top/>
      <bottom style="thin">
        <color indexed="64"/>
      </bottom>
      <diagonal/>
    </border>
    <border>
      <left style="thin">
        <color theme="0"/>
      </left>
      <right/>
      <top style="thin">
        <color indexed="64"/>
      </top>
      <bottom/>
      <diagonal/>
    </border>
    <border>
      <left style="thin">
        <color theme="0"/>
      </left>
      <right/>
      <top/>
      <bottom style="thin">
        <color indexed="64"/>
      </bottom>
      <diagonal/>
    </border>
    <border>
      <left/>
      <right/>
      <top style="thin">
        <color theme="0"/>
      </top>
      <bottom/>
      <diagonal/>
    </border>
    <border>
      <left style="thin">
        <color theme="0"/>
      </left>
      <right/>
      <top style="thin">
        <color theme="0"/>
      </top>
      <bottom/>
      <diagonal/>
    </border>
    <border>
      <left/>
      <right style="thin">
        <color theme="0"/>
      </right>
      <top/>
      <bottom style="thin">
        <color indexed="64"/>
      </bottom>
      <diagonal/>
    </border>
    <border>
      <left/>
      <right/>
      <top style="thin">
        <color theme="1" tint="0.34998626667073579"/>
      </top>
      <bottom style="thin">
        <color theme="1" tint="0.34998626667073579"/>
      </bottom>
      <diagonal/>
    </border>
    <border>
      <left/>
      <right style="thin">
        <color theme="0"/>
      </right>
      <top style="thin">
        <color theme="1" tint="0.34998626667073579"/>
      </top>
      <bottom style="thin">
        <color theme="1" tint="0.34998626667073579"/>
      </bottom>
      <diagonal/>
    </border>
    <border>
      <left style="thin">
        <color theme="0"/>
      </left>
      <right style="thin">
        <color theme="0"/>
      </right>
      <top style="thin">
        <color theme="1" tint="0.34998626667073579"/>
      </top>
      <bottom style="thin">
        <color theme="1" tint="0.34998626667073579"/>
      </bottom>
      <diagonal/>
    </border>
    <border>
      <left style="thin">
        <color theme="0"/>
      </left>
      <right style="thin">
        <color theme="0"/>
      </right>
      <top/>
      <bottom style="thin">
        <color theme="1" tint="0.34998626667073579"/>
      </bottom>
      <diagonal/>
    </border>
    <border>
      <left style="thin">
        <color theme="0"/>
      </left>
      <right/>
      <top style="thin">
        <color theme="1" tint="0.34998626667073579"/>
      </top>
      <bottom style="thin">
        <color theme="1" tint="0.34998626667073579"/>
      </bottom>
      <diagonal/>
    </border>
    <border>
      <left style="thin">
        <color theme="0"/>
      </left>
      <right style="thin">
        <color theme="0"/>
      </right>
      <top style="thin">
        <color theme="0"/>
      </top>
      <bottom/>
      <diagonal/>
    </border>
    <border>
      <left style="thin">
        <color theme="0"/>
      </left>
      <right/>
      <top style="thin">
        <color theme="1" tint="0.34998626667073579"/>
      </top>
      <bottom/>
      <diagonal/>
    </border>
    <border>
      <left style="thin">
        <color theme="0"/>
      </left>
      <right/>
      <top/>
      <bottom style="thin">
        <color theme="1" tint="0.34998626667073579"/>
      </bottom>
      <diagonal/>
    </border>
    <border>
      <left/>
      <right/>
      <top style="thin">
        <color theme="1" tint="0.34998626667073579"/>
      </top>
      <bottom/>
      <diagonal/>
    </border>
    <border>
      <left/>
      <right style="thin">
        <color theme="0"/>
      </right>
      <top style="thin">
        <color theme="1" tint="0.34998626667073579"/>
      </top>
      <bottom/>
      <diagonal/>
    </border>
    <border>
      <left/>
      <right/>
      <top/>
      <bottom style="thin">
        <color theme="1" tint="0.34998626667073579"/>
      </bottom>
      <diagonal/>
    </border>
    <border>
      <left/>
      <right style="thin">
        <color theme="0"/>
      </right>
      <top/>
      <bottom style="thin">
        <color theme="1" tint="0.34998626667073579"/>
      </bottom>
      <diagonal/>
    </border>
    <border>
      <left/>
      <right/>
      <top/>
      <bottom style="thick">
        <color rgb="FF1F9BFD"/>
      </bottom>
      <diagonal/>
    </border>
    <border>
      <left/>
      <right/>
      <top style="thick">
        <color rgb="FF1F9BFD"/>
      </top>
      <bottom style="medium">
        <color rgb="FF1F9BFD"/>
      </bottom>
      <diagonal/>
    </border>
    <border>
      <left/>
      <right/>
      <top style="medium">
        <color rgb="FF1F9BFD"/>
      </top>
      <bottom style="medium">
        <color rgb="FF1F9BFD"/>
      </bottom>
      <diagonal/>
    </border>
    <border>
      <left/>
      <right/>
      <top style="medium">
        <color rgb="FF1F9BFD"/>
      </top>
      <bottom/>
      <diagonal/>
    </border>
    <border>
      <left/>
      <right/>
      <top/>
      <bottom style="medium">
        <color rgb="FF1F9BFD"/>
      </bottom>
      <diagonal/>
    </border>
    <border>
      <left style="thick">
        <color rgb="FF1F9BFD"/>
      </left>
      <right style="thick">
        <color rgb="FF1F9BFD"/>
      </right>
      <top/>
      <bottom/>
      <diagonal/>
    </border>
    <border>
      <left/>
      <right style="thick">
        <color rgb="FF1F9BFD"/>
      </right>
      <top/>
      <bottom/>
      <diagonal/>
    </border>
    <border>
      <left style="thick">
        <color rgb="FF1F9BFD"/>
      </left>
      <right style="thick">
        <color rgb="FF1F9BFD"/>
      </right>
      <top/>
      <bottom style="medium">
        <color rgb="FF1F9BFD"/>
      </bottom>
      <diagonal/>
    </border>
    <border>
      <left style="thick">
        <color rgb="FF1F9BFD"/>
      </left>
      <right/>
      <top/>
      <bottom/>
      <diagonal/>
    </border>
    <border>
      <left/>
      <right style="thick">
        <color rgb="FF1F9BFD"/>
      </right>
      <top/>
      <bottom style="medium">
        <color rgb="FF1F9BFD"/>
      </bottom>
      <diagonal/>
    </border>
    <border>
      <left style="thick">
        <color rgb="FF1F9BFD"/>
      </left>
      <right/>
      <top/>
      <bottom style="medium">
        <color rgb="FF1F9BFD"/>
      </bottom>
      <diagonal/>
    </border>
    <border>
      <left/>
      <right/>
      <top/>
      <bottom style="thin">
        <color rgb="FFFFA500"/>
      </bottom>
      <diagonal/>
    </border>
    <border>
      <left/>
      <right/>
      <top style="thin">
        <color rgb="FF719C59"/>
      </top>
      <bottom style="medium">
        <color rgb="FF1F9BFD"/>
      </bottom>
      <diagonal/>
    </border>
    <border>
      <left/>
      <right/>
      <top style="thin">
        <color rgb="FF1F9BFD"/>
      </top>
      <bottom style="medium">
        <color rgb="FF1F9BFD"/>
      </bottom>
      <diagonal/>
    </border>
  </borders>
  <cellStyleXfs count="2">
    <xf numFmtId="0" fontId="0" fillId="0" borderId="0"/>
    <xf numFmtId="0" fontId="7" fillId="11" borderId="0" applyNumberFormat="0" applyBorder="0" applyAlignment="0" applyProtection="0"/>
  </cellStyleXfs>
  <cellXfs count="261">
    <xf numFmtId="0" fontId="0" fillId="0" borderId="0" xfId="0"/>
    <xf numFmtId="0" fontId="1" fillId="0" borderId="4" xfId="0" applyFont="1" applyBorder="1" applyAlignment="1">
      <alignment horizontal="left" vertical="center" indent="1"/>
    </xf>
    <xf numFmtId="0" fontId="1" fillId="0" borderId="0" xfId="0" applyFont="1" applyAlignment="1">
      <alignment horizontal="left" vertical="center" indent="1"/>
    </xf>
    <xf numFmtId="0" fontId="1" fillId="0" borderId="3" xfId="0" applyFont="1" applyBorder="1" applyAlignment="1">
      <alignment horizontal="left" vertical="center" indent="1"/>
    </xf>
    <xf numFmtId="0" fontId="1" fillId="0" borderId="5" xfId="0" applyFont="1" applyBorder="1" applyAlignment="1">
      <alignment horizontal="left" vertical="center" indent="1"/>
    </xf>
    <xf numFmtId="0" fontId="1" fillId="6" borderId="0" xfId="0" applyFont="1" applyFill="1" applyAlignment="1">
      <alignment horizontal="left" vertical="center" wrapText="1" indent="1"/>
    </xf>
    <xf numFmtId="10" fontId="4" fillId="6" borderId="6" xfId="0" applyNumberFormat="1" applyFont="1" applyFill="1" applyBorder="1" applyAlignment="1">
      <alignment horizontal="left" vertical="center" wrapText="1" indent="1"/>
    </xf>
    <xf numFmtId="10" fontId="4" fillId="6" borderId="5" xfId="0" applyNumberFormat="1" applyFont="1" applyFill="1" applyBorder="1" applyAlignment="1">
      <alignment horizontal="left" vertical="center" wrapText="1" indent="1"/>
    </xf>
    <xf numFmtId="0" fontId="1" fillId="0" borderId="1" xfId="0" applyFont="1" applyBorder="1" applyAlignment="1">
      <alignment horizontal="left" vertical="center" indent="1"/>
    </xf>
    <xf numFmtId="0" fontId="1" fillId="0" borderId="2" xfId="0" applyFont="1" applyBorder="1" applyAlignment="1">
      <alignment horizontal="left" vertical="center" indent="1"/>
    </xf>
    <xf numFmtId="164" fontId="1" fillId="0" borderId="3" xfId="0" applyNumberFormat="1" applyFont="1" applyBorder="1" applyAlignment="1">
      <alignment horizontal="left" vertical="center" indent="1"/>
    </xf>
    <xf numFmtId="0" fontId="1" fillId="0" borderId="8" xfId="0" applyFont="1" applyBorder="1" applyAlignment="1">
      <alignment horizontal="left" vertical="center" indent="1"/>
    </xf>
    <xf numFmtId="10" fontId="1" fillId="0" borderId="0" xfId="0" applyNumberFormat="1" applyFont="1" applyAlignment="1">
      <alignment horizontal="left" vertical="center" indent="1"/>
    </xf>
    <xf numFmtId="164" fontId="1" fillId="0" borderId="0" xfId="0" applyNumberFormat="1" applyFont="1" applyAlignment="1">
      <alignment horizontal="left" vertical="center" indent="1"/>
    </xf>
    <xf numFmtId="0" fontId="3" fillId="0" borderId="0" xfId="0" applyFont="1" applyAlignment="1">
      <alignment horizontal="left" vertical="center" indent="1"/>
    </xf>
    <xf numFmtId="0" fontId="5" fillId="5" borderId="10" xfId="0" applyFont="1" applyFill="1" applyBorder="1" applyAlignment="1">
      <alignment horizontal="left" vertical="center" indent="1"/>
    </xf>
    <xf numFmtId="10" fontId="5" fillId="5" borderId="10" xfId="0" applyNumberFormat="1" applyFont="1" applyFill="1" applyBorder="1" applyAlignment="1">
      <alignment horizontal="left" vertical="center" indent="1"/>
    </xf>
    <xf numFmtId="10" fontId="4" fillId="5" borderId="10" xfId="0" applyNumberFormat="1" applyFont="1" applyFill="1" applyBorder="1" applyAlignment="1">
      <alignment horizontal="left" vertical="center" indent="1"/>
    </xf>
    <xf numFmtId="0" fontId="3" fillId="0" borderId="10" xfId="0" applyFont="1" applyBorder="1" applyAlignment="1">
      <alignment horizontal="left" vertical="center" indent="1"/>
    </xf>
    <xf numFmtId="0" fontId="3" fillId="0" borderId="12" xfId="0" applyFont="1" applyBorder="1" applyAlignment="1">
      <alignment horizontal="left" vertical="center" indent="1"/>
    </xf>
    <xf numFmtId="4" fontId="1" fillId="0" borderId="12" xfId="0" applyNumberFormat="1" applyFont="1" applyBorder="1" applyAlignment="1">
      <alignment horizontal="left" vertical="center" indent="1"/>
    </xf>
    <xf numFmtId="164" fontId="1" fillId="0" borderId="12" xfId="0" applyNumberFormat="1" applyFont="1" applyBorder="1" applyAlignment="1">
      <alignment horizontal="left" vertical="center" indent="1"/>
    </xf>
    <xf numFmtId="164" fontId="1" fillId="6" borderId="12" xfId="0" applyNumberFormat="1" applyFont="1" applyFill="1" applyBorder="1" applyAlignment="1">
      <alignment horizontal="left" vertical="center" indent="1"/>
    </xf>
    <xf numFmtId="165" fontId="1" fillId="6" borderId="12" xfId="0" applyNumberFormat="1" applyFont="1" applyFill="1" applyBorder="1" applyAlignment="1">
      <alignment horizontal="left" vertical="center" indent="1"/>
    </xf>
    <xf numFmtId="165" fontId="1" fillId="0" borderId="12" xfId="0" applyNumberFormat="1" applyFont="1" applyBorder="1" applyAlignment="1">
      <alignment horizontal="left" vertical="center" indent="1"/>
    </xf>
    <xf numFmtId="166" fontId="1" fillId="0" borderId="12" xfId="0" applyNumberFormat="1" applyFont="1" applyBorder="1" applyAlignment="1">
      <alignment horizontal="left" vertical="center" indent="1"/>
    </xf>
    <xf numFmtId="10" fontId="3" fillId="0" borderId="12" xfId="0" applyNumberFormat="1" applyFont="1" applyBorder="1" applyAlignment="1">
      <alignment horizontal="left" vertical="center" indent="1"/>
    </xf>
    <xf numFmtId="3" fontId="1" fillId="0" borderId="12" xfId="0" applyNumberFormat="1" applyFont="1" applyBorder="1" applyAlignment="1">
      <alignment horizontal="left" vertical="center" indent="1"/>
    </xf>
    <xf numFmtId="3" fontId="4" fillId="8" borderId="12" xfId="0" applyNumberFormat="1" applyFont="1" applyFill="1" applyBorder="1" applyAlignment="1">
      <alignment horizontal="left" vertical="center" indent="1"/>
    </xf>
    <xf numFmtId="3" fontId="4" fillId="5" borderId="10" xfId="0" applyNumberFormat="1" applyFont="1" applyFill="1" applyBorder="1" applyAlignment="1">
      <alignment horizontal="left" vertical="center" indent="1"/>
    </xf>
    <xf numFmtId="3" fontId="4" fillId="8" borderId="10" xfId="0" applyNumberFormat="1" applyFont="1" applyFill="1" applyBorder="1" applyAlignment="1">
      <alignment horizontal="left" vertical="center" indent="1"/>
    </xf>
    <xf numFmtId="10" fontId="4" fillId="0" borderId="3" xfId="0" applyNumberFormat="1" applyFont="1" applyBorder="1" applyAlignment="1">
      <alignment horizontal="left" vertical="center" indent="1"/>
    </xf>
    <xf numFmtId="0" fontId="3" fillId="0" borderId="10" xfId="0" applyFont="1" applyBorder="1" applyAlignment="1">
      <alignment horizontal="left" vertical="center" wrapText="1" indent="1"/>
    </xf>
    <xf numFmtId="164" fontId="4" fillId="4" borderId="10" xfId="0" applyNumberFormat="1" applyFont="1" applyFill="1" applyBorder="1" applyAlignment="1">
      <alignment horizontal="left" vertical="center" wrapText="1" indent="1"/>
    </xf>
    <xf numFmtId="10" fontId="4" fillId="4" borderId="10" xfId="0" applyNumberFormat="1" applyFont="1" applyFill="1" applyBorder="1" applyAlignment="1">
      <alignment horizontal="left" vertical="center" wrapText="1" indent="1"/>
    </xf>
    <xf numFmtId="10" fontId="4" fillId="4" borderId="10" xfId="0" applyNumberFormat="1" applyFont="1" applyFill="1" applyBorder="1" applyAlignment="1">
      <alignment horizontal="left" vertical="center" indent="1"/>
    </xf>
    <xf numFmtId="10" fontId="5" fillId="4" borderId="10" xfId="0" applyNumberFormat="1" applyFont="1" applyFill="1" applyBorder="1" applyAlignment="1">
      <alignment horizontal="left" vertical="center" wrapText="1" indent="1"/>
    </xf>
    <xf numFmtId="0" fontId="4" fillId="0" borderId="2" xfId="0" applyFont="1" applyBorder="1" applyAlignment="1">
      <alignment horizontal="left" vertical="center" indent="1"/>
    </xf>
    <xf numFmtId="10" fontId="4" fillId="8" borderId="10" xfId="0" applyNumberFormat="1" applyFont="1" applyFill="1" applyBorder="1" applyAlignment="1">
      <alignment horizontal="left" vertical="center" indent="1"/>
    </xf>
    <xf numFmtId="10" fontId="4" fillId="4" borderId="11" xfId="0" applyNumberFormat="1" applyFont="1" applyFill="1" applyBorder="1" applyAlignment="1">
      <alignment horizontal="left" vertical="center" indent="1"/>
    </xf>
    <xf numFmtId="0" fontId="3" fillId="0" borderId="4" xfId="0" applyFont="1" applyBorder="1" applyAlignment="1">
      <alignment horizontal="left" vertical="center" indent="1"/>
    </xf>
    <xf numFmtId="10" fontId="4" fillId="8" borderId="11" xfId="0" applyNumberFormat="1" applyFont="1" applyFill="1" applyBorder="1" applyAlignment="1">
      <alignment horizontal="left" vertical="center" wrapText="1" indent="1"/>
    </xf>
    <xf numFmtId="3" fontId="4" fillId="8" borderId="11" xfId="0" applyNumberFormat="1" applyFont="1" applyFill="1" applyBorder="1" applyAlignment="1">
      <alignment horizontal="left" vertical="center" wrapText="1" indent="1"/>
    </xf>
    <xf numFmtId="0" fontId="2" fillId="0" borderId="4" xfId="0" applyFont="1" applyBorder="1" applyAlignment="1">
      <alignment horizontal="left" vertical="center" indent="1"/>
    </xf>
    <xf numFmtId="0" fontId="3" fillId="0" borderId="15" xfId="0" applyFont="1" applyBorder="1" applyAlignment="1">
      <alignment horizontal="left" vertical="center" indent="1"/>
    </xf>
    <xf numFmtId="0" fontId="1" fillId="0" borderId="12" xfId="0" applyFont="1" applyBorder="1" applyAlignment="1">
      <alignment horizontal="left" vertical="center" indent="1"/>
    </xf>
    <xf numFmtId="164" fontId="1" fillId="0" borderId="22" xfId="0" applyNumberFormat="1" applyFont="1" applyBorder="1" applyAlignment="1">
      <alignment horizontal="left" vertical="center" indent="1"/>
    </xf>
    <xf numFmtId="164" fontId="1" fillId="0" borderId="23" xfId="0" applyNumberFormat="1" applyFont="1" applyBorder="1" applyAlignment="1">
      <alignment horizontal="left" vertical="center" indent="1"/>
    </xf>
    <xf numFmtId="166" fontId="1" fillId="0" borderId="22" xfId="0" applyNumberFormat="1" applyFont="1" applyBorder="1" applyAlignment="1">
      <alignment horizontal="left" vertical="center" indent="1"/>
    </xf>
    <xf numFmtId="166" fontId="1" fillId="0" borderId="23" xfId="0" applyNumberFormat="1" applyFont="1" applyBorder="1" applyAlignment="1">
      <alignment horizontal="left" vertical="center" indent="1"/>
    </xf>
    <xf numFmtId="10" fontId="5" fillId="5" borderId="21" xfId="0" applyNumberFormat="1" applyFont="1" applyFill="1" applyBorder="1" applyAlignment="1">
      <alignment horizontal="left" vertical="center" indent="1"/>
    </xf>
    <xf numFmtId="10" fontId="5" fillId="8" borderId="21" xfId="0" applyNumberFormat="1" applyFont="1" applyFill="1" applyBorder="1" applyAlignment="1">
      <alignment horizontal="left" vertical="center" indent="1"/>
    </xf>
    <xf numFmtId="10" fontId="1" fillId="0" borderId="22" xfId="0" applyNumberFormat="1" applyFont="1" applyBorder="1" applyAlignment="1">
      <alignment horizontal="left" vertical="center" indent="1"/>
    </xf>
    <xf numFmtId="10" fontId="1" fillId="0" borderId="23" xfId="0" applyNumberFormat="1" applyFont="1" applyBorder="1" applyAlignment="1">
      <alignment horizontal="left" vertical="center" indent="1"/>
    </xf>
    <xf numFmtId="10" fontId="3" fillId="0" borderId="23" xfId="0" applyNumberFormat="1" applyFont="1" applyBorder="1" applyAlignment="1">
      <alignment horizontal="left" vertical="center" indent="1"/>
    </xf>
    <xf numFmtId="0" fontId="3" fillId="0" borderId="23" xfId="0" applyFont="1" applyBorder="1" applyAlignment="1">
      <alignment horizontal="left" vertical="center" indent="1"/>
    </xf>
    <xf numFmtId="0" fontId="3" fillId="0" borderId="24" xfId="0" applyFont="1" applyBorder="1" applyAlignment="1">
      <alignment horizontal="left" vertical="center" indent="1"/>
    </xf>
    <xf numFmtId="0" fontId="5" fillId="5" borderId="25" xfId="0" applyFont="1" applyFill="1" applyBorder="1" applyAlignment="1">
      <alignment horizontal="left" vertical="center" indent="1"/>
    </xf>
    <xf numFmtId="0" fontId="3" fillId="0" borderId="12" xfId="0" applyFont="1" applyBorder="1" applyAlignment="1">
      <alignment horizontal="left" vertical="center" wrapText="1" indent="1"/>
    </xf>
    <xf numFmtId="10" fontId="4" fillId="7" borderId="12" xfId="0" applyNumberFormat="1" applyFont="1" applyFill="1" applyBorder="1" applyAlignment="1">
      <alignment vertical="center" wrapText="1"/>
    </xf>
    <xf numFmtId="10" fontId="4" fillId="6" borderId="12" xfId="0" applyNumberFormat="1" applyFont="1" applyFill="1" applyBorder="1" applyAlignment="1">
      <alignment horizontal="left" vertical="center" wrapText="1" indent="1"/>
    </xf>
    <xf numFmtId="0" fontId="1" fillId="0" borderId="26" xfId="0" applyFont="1" applyBorder="1" applyAlignment="1">
      <alignment horizontal="left" vertical="center" indent="1"/>
    </xf>
    <xf numFmtId="0" fontId="4" fillId="10" borderId="11" xfId="0" applyFont="1" applyFill="1" applyBorder="1" applyAlignment="1">
      <alignment horizontal="left" vertical="center" indent="1"/>
    </xf>
    <xf numFmtId="170" fontId="8" fillId="11" borderId="11" xfId="1" applyNumberFormat="1" applyFont="1" applyBorder="1" applyAlignment="1">
      <alignment horizontal="left" vertical="center" wrapText="1" indent="1"/>
    </xf>
    <xf numFmtId="0" fontId="3" fillId="0" borderId="13" xfId="0" applyFont="1" applyBorder="1" applyAlignment="1">
      <alignment horizontal="left" vertical="center" indent="1"/>
    </xf>
    <xf numFmtId="0" fontId="3" fillId="0" borderId="17" xfId="0" applyFont="1" applyBorder="1" applyAlignment="1">
      <alignment horizontal="left" vertical="center" indent="1"/>
    </xf>
    <xf numFmtId="168" fontId="3" fillId="0" borderId="12" xfId="0" applyNumberFormat="1" applyFont="1" applyBorder="1" applyAlignment="1">
      <alignment horizontal="left" vertical="center" wrapText="1" indent="1"/>
    </xf>
    <xf numFmtId="0" fontId="3" fillId="0" borderId="13" xfId="0" applyFont="1" applyBorder="1" applyAlignment="1">
      <alignment horizontal="left" vertical="center" wrapText="1" indent="1"/>
    </xf>
    <xf numFmtId="167" fontId="4" fillId="4" borderId="12" xfId="0" applyNumberFormat="1" applyFont="1" applyFill="1" applyBorder="1" applyAlignment="1">
      <alignment horizontal="left" vertical="center" indent="1"/>
    </xf>
    <xf numFmtId="14" fontId="4" fillId="4" borderId="12" xfId="0" applyNumberFormat="1" applyFont="1" applyFill="1" applyBorder="1" applyAlignment="1">
      <alignment horizontal="left" vertical="center" wrapText="1" indent="1"/>
    </xf>
    <xf numFmtId="10" fontId="4" fillId="10" borderId="9" xfId="0" applyNumberFormat="1" applyFont="1" applyFill="1" applyBorder="1" applyAlignment="1">
      <alignment horizontal="left" vertical="center" indent="1"/>
    </xf>
    <xf numFmtId="10" fontId="4" fillId="10" borderId="0" xfId="0" applyNumberFormat="1" applyFont="1" applyFill="1" applyAlignment="1">
      <alignment vertical="center"/>
    </xf>
    <xf numFmtId="0" fontId="5" fillId="0" borderId="15" xfId="0" applyFont="1" applyBorder="1" applyAlignment="1">
      <alignment horizontal="left" vertical="center" wrapText="1" indent="1"/>
    </xf>
    <xf numFmtId="0" fontId="5" fillId="0" borderId="13" xfId="0" applyFont="1" applyBorder="1" applyAlignment="1">
      <alignment horizontal="left" vertical="center" indent="1"/>
    </xf>
    <xf numFmtId="0" fontId="5" fillId="0" borderId="12" xfId="0" applyFont="1" applyBorder="1" applyAlignment="1">
      <alignment horizontal="left" vertical="center" indent="1"/>
    </xf>
    <xf numFmtId="169" fontId="5" fillId="0" borderId="12" xfId="0" applyNumberFormat="1" applyFont="1" applyBorder="1" applyAlignment="1">
      <alignment horizontal="left" vertical="center" wrapText="1" indent="1"/>
    </xf>
    <xf numFmtId="0" fontId="5" fillId="0" borderId="13" xfId="0" applyFont="1" applyBorder="1" applyAlignment="1">
      <alignment horizontal="left" vertical="center" wrapText="1" indent="1"/>
    </xf>
    <xf numFmtId="0" fontId="5" fillId="0" borderId="17" xfId="0" applyFont="1" applyBorder="1" applyAlignment="1">
      <alignment horizontal="left" vertical="center" indent="1"/>
    </xf>
    <xf numFmtId="10" fontId="1" fillId="0" borderId="12" xfId="0" applyNumberFormat="1" applyFont="1" applyBorder="1" applyAlignment="1">
      <alignment horizontal="left" vertical="center" indent="1"/>
    </xf>
    <xf numFmtId="10" fontId="4" fillId="12" borderId="11" xfId="0" applyNumberFormat="1" applyFont="1" applyFill="1" applyBorder="1" applyAlignment="1">
      <alignment horizontal="left" vertical="center" wrapText="1" indent="1"/>
    </xf>
    <xf numFmtId="10" fontId="4" fillId="12" borderId="10" xfId="0" applyNumberFormat="1" applyFont="1" applyFill="1" applyBorder="1" applyAlignment="1">
      <alignment horizontal="left" vertical="center" indent="1"/>
    </xf>
    <xf numFmtId="0" fontId="4" fillId="5" borderId="25" xfId="0" applyFont="1" applyFill="1" applyBorder="1" applyAlignment="1">
      <alignment horizontal="left" vertical="center" indent="1"/>
    </xf>
    <xf numFmtId="0" fontId="4" fillId="5" borderId="21" xfId="0" applyFont="1" applyFill="1" applyBorder="1" applyAlignment="1">
      <alignment horizontal="left" vertical="center" indent="1"/>
    </xf>
    <xf numFmtId="10" fontId="4" fillId="5" borderId="21" xfId="0" applyNumberFormat="1" applyFont="1" applyFill="1" applyBorder="1" applyAlignment="1">
      <alignment horizontal="left" vertical="center" indent="1"/>
    </xf>
    <xf numFmtId="10" fontId="4" fillId="5" borderId="22" xfId="0" applyNumberFormat="1" applyFont="1" applyFill="1" applyBorder="1" applyAlignment="1">
      <alignment horizontal="left" vertical="center" indent="1"/>
    </xf>
    <xf numFmtId="0" fontId="1" fillId="0" borderId="23" xfId="0" applyFont="1" applyBorder="1" applyAlignment="1">
      <alignment horizontal="left" vertical="center" indent="1"/>
    </xf>
    <xf numFmtId="10" fontId="1" fillId="0" borderId="3" xfId="0" applyNumberFormat="1" applyFont="1" applyBorder="1" applyAlignment="1">
      <alignment horizontal="left" vertical="center" indent="1"/>
    </xf>
    <xf numFmtId="0" fontId="4" fillId="13" borderId="25" xfId="0" applyFont="1" applyFill="1" applyBorder="1" applyAlignment="1">
      <alignment horizontal="left" vertical="center" indent="1"/>
    </xf>
    <xf numFmtId="0" fontId="4" fillId="13" borderId="21" xfId="0" applyFont="1" applyFill="1" applyBorder="1" applyAlignment="1">
      <alignment horizontal="left" vertical="center" indent="1"/>
    </xf>
    <xf numFmtId="0" fontId="4" fillId="13" borderId="22" xfId="0" applyFont="1" applyFill="1" applyBorder="1" applyAlignment="1">
      <alignment horizontal="left" vertical="center" indent="1"/>
    </xf>
    <xf numFmtId="10" fontId="1" fillId="0" borderId="21" xfId="0" applyNumberFormat="1" applyFont="1" applyBorder="1" applyAlignment="1">
      <alignment horizontal="left" vertical="center" indent="1"/>
    </xf>
    <xf numFmtId="0" fontId="4" fillId="4" borderId="29" xfId="0" applyFont="1" applyFill="1" applyBorder="1" applyAlignment="1">
      <alignment horizontal="left" vertical="center" indent="1"/>
    </xf>
    <xf numFmtId="0" fontId="4" fillId="7" borderId="29" xfId="0" applyFont="1" applyFill="1" applyBorder="1" applyAlignment="1">
      <alignment horizontal="left" vertical="center" indent="1"/>
    </xf>
    <xf numFmtId="0" fontId="4" fillId="4" borderId="30" xfId="0" applyFont="1" applyFill="1" applyBorder="1" applyAlignment="1">
      <alignment horizontal="left" vertical="center" indent="1"/>
    </xf>
    <xf numFmtId="0" fontId="4" fillId="4" borderId="31" xfId="0" applyFont="1" applyFill="1" applyBorder="1" applyAlignment="1">
      <alignment horizontal="left" vertical="center" indent="1"/>
    </xf>
    <xf numFmtId="0" fontId="4" fillId="7" borderId="31" xfId="0" applyFont="1" applyFill="1" applyBorder="1" applyAlignment="1">
      <alignment horizontal="left" vertical="center" indent="1"/>
    </xf>
    <xf numFmtId="0" fontId="4" fillId="4" borderId="32" xfId="0" applyFont="1" applyFill="1" applyBorder="1" applyAlignment="1">
      <alignment horizontal="left" vertical="center" indent="1"/>
    </xf>
    <xf numFmtId="10" fontId="4" fillId="5" borderId="23" xfId="0" applyNumberFormat="1" applyFont="1" applyFill="1" applyBorder="1" applyAlignment="1">
      <alignment horizontal="left" vertical="center" indent="1"/>
    </xf>
    <xf numFmtId="0" fontId="4" fillId="5" borderId="23" xfId="0" applyFont="1" applyFill="1" applyBorder="1" applyAlignment="1">
      <alignment horizontal="left" vertical="center" indent="1"/>
    </xf>
    <xf numFmtId="0" fontId="15" fillId="14" borderId="0" xfId="0" applyFont="1" applyFill="1" applyAlignment="1">
      <alignment horizontal="right" vertical="center" indent="1"/>
    </xf>
    <xf numFmtId="0" fontId="15" fillId="14" borderId="0" xfId="0" applyFont="1" applyFill="1" applyAlignment="1">
      <alignment horizontal="left" vertical="center" indent="1"/>
    </xf>
    <xf numFmtId="0" fontId="12" fillId="14" borderId="0" xfId="0" applyFont="1" applyFill="1" applyAlignment="1">
      <alignment horizontal="right" vertical="center" indent="1"/>
    </xf>
    <xf numFmtId="0" fontId="12" fillId="14" borderId="0" xfId="0" applyFont="1" applyFill="1" applyAlignment="1">
      <alignment horizontal="left" vertical="center" indent="1"/>
    </xf>
    <xf numFmtId="0" fontId="14" fillId="14" borderId="0" xfId="0" applyFont="1" applyFill="1" applyAlignment="1">
      <alignment horizontal="right" vertical="center" indent="1"/>
    </xf>
    <xf numFmtId="0" fontId="11" fillId="14" borderId="0" xfId="0" applyFont="1" applyFill="1" applyAlignment="1">
      <alignment horizontal="left" vertical="center" indent="1"/>
    </xf>
    <xf numFmtId="0" fontId="16" fillId="14" borderId="0" xfId="0" applyFont="1" applyFill="1" applyAlignment="1">
      <alignment horizontal="left" vertical="center" indent="1"/>
    </xf>
    <xf numFmtId="0" fontId="15" fillId="14" borderId="0" xfId="0" applyFont="1" applyFill="1" applyAlignment="1">
      <alignment horizontal="left" indent="1"/>
    </xf>
    <xf numFmtId="14" fontId="16" fillId="14" borderId="0" xfId="0" applyNumberFormat="1" applyFont="1" applyFill="1" applyAlignment="1">
      <alignment horizontal="left" vertical="top" indent="1"/>
    </xf>
    <xf numFmtId="0" fontId="16" fillId="14" borderId="0" xfId="0" applyFont="1" applyFill="1" applyAlignment="1">
      <alignment horizontal="left" indent="1"/>
    </xf>
    <xf numFmtId="0" fontId="1" fillId="0" borderId="25" xfId="0" applyFont="1" applyBorder="1" applyAlignment="1">
      <alignment horizontal="left" vertical="center" indent="1"/>
    </xf>
    <xf numFmtId="0" fontId="10" fillId="14" borderId="33" xfId="0" applyFont="1" applyFill="1" applyBorder="1" applyAlignment="1">
      <alignment horizontal="right" vertical="center" indent="1"/>
    </xf>
    <xf numFmtId="0" fontId="19" fillId="14" borderId="37" xfId="0" applyFont="1" applyFill="1" applyBorder="1" applyAlignment="1">
      <alignment horizontal="left" vertical="center" wrapText="1" indent="1"/>
    </xf>
    <xf numFmtId="0" fontId="19" fillId="14" borderId="35" xfId="0" applyFont="1" applyFill="1" applyBorder="1" applyAlignment="1">
      <alignment horizontal="left" vertical="center" wrapText="1" indent="1"/>
    </xf>
    <xf numFmtId="0" fontId="19" fillId="14" borderId="36" xfId="0" applyFont="1" applyFill="1" applyBorder="1" applyAlignment="1">
      <alignment horizontal="left" vertical="center" wrapText="1" indent="1"/>
    </xf>
    <xf numFmtId="0" fontId="20" fillId="14" borderId="34" xfId="0" applyFont="1" applyFill="1" applyBorder="1" applyAlignment="1">
      <alignment horizontal="right" vertical="center" indent="1"/>
    </xf>
    <xf numFmtId="0" fontId="19" fillId="14" borderId="34" xfId="0" applyFont="1" applyFill="1" applyBorder="1" applyAlignment="1">
      <alignment horizontal="left" vertical="center" indent="1"/>
    </xf>
    <xf numFmtId="0" fontId="20" fillId="14" borderId="35" xfId="0" applyFont="1" applyFill="1" applyBorder="1" applyAlignment="1">
      <alignment horizontal="right" vertical="center" indent="1"/>
    </xf>
    <xf numFmtId="0" fontId="19" fillId="14" borderId="35" xfId="0" applyFont="1" applyFill="1" applyBorder="1" applyAlignment="1">
      <alignment horizontal="left" vertical="center" indent="1"/>
    </xf>
    <xf numFmtId="0" fontId="20" fillId="14" borderId="36" xfId="0" applyFont="1" applyFill="1" applyBorder="1" applyAlignment="1">
      <alignment horizontal="right" vertical="center" indent="1"/>
    </xf>
    <xf numFmtId="0" fontId="19" fillId="14" borderId="36" xfId="0" applyFont="1" applyFill="1" applyBorder="1" applyAlignment="1">
      <alignment horizontal="left" vertical="center" indent="1"/>
    </xf>
    <xf numFmtId="0" fontId="21" fillId="14" borderId="33" xfId="0" applyFont="1" applyFill="1" applyBorder="1" applyAlignment="1">
      <alignment horizontal="right" vertical="center" indent="1"/>
    </xf>
    <xf numFmtId="0" fontId="21" fillId="14" borderId="33" xfId="0" applyFont="1" applyFill="1" applyBorder="1" applyAlignment="1">
      <alignment horizontal="left" vertical="center" indent="1"/>
    </xf>
    <xf numFmtId="0" fontId="21" fillId="14" borderId="34" xfId="0" applyFont="1" applyFill="1" applyBorder="1" applyAlignment="1">
      <alignment horizontal="right" vertical="center" indent="1"/>
    </xf>
    <xf numFmtId="0" fontId="21" fillId="14" borderId="35" xfId="0" applyFont="1" applyFill="1" applyBorder="1" applyAlignment="1">
      <alignment horizontal="right" vertical="center" indent="1"/>
    </xf>
    <xf numFmtId="0" fontId="21" fillId="14" borderId="36" xfId="0" applyFont="1" applyFill="1" applyBorder="1" applyAlignment="1">
      <alignment horizontal="right" vertical="center" indent="1"/>
    </xf>
    <xf numFmtId="10" fontId="5" fillId="12" borderId="10" xfId="0" applyNumberFormat="1" applyFont="1" applyFill="1" applyBorder="1" applyAlignment="1">
      <alignment horizontal="left" vertical="center" indent="1"/>
    </xf>
    <xf numFmtId="0" fontId="13" fillId="14" borderId="0" xfId="0" applyFont="1" applyFill="1" applyAlignment="1">
      <alignment horizontal="right" vertical="center" indent="1"/>
    </xf>
    <xf numFmtId="0" fontId="10" fillId="14" borderId="0" xfId="0" applyFont="1" applyFill="1" applyAlignment="1">
      <alignment horizontal="center" vertical="center" wrapText="1"/>
    </xf>
    <xf numFmtId="0" fontId="16" fillId="14" borderId="0" xfId="0" applyFont="1" applyFill="1" applyAlignment="1">
      <alignment horizontal="right" vertical="center" indent="1"/>
    </xf>
    <xf numFmtId="0" fontId="19" fillId="14" borderId="0" xfId="0" applyFont="1" applyFill="1" applyAlignment="1">
      <alignment horizontal="left" indent="1"/>
    </xf>
    <xf numFmtId="0" fontId="21" fillId="14" borderId="0" xfId="0" applyFont="1" applyFill="1" applyAlignment="1">
      <alignment horizontal="left" vertical="top" indent="1"/>
    </xf>
    <xf numFmtId="0" fontId="17" fillId="14" borderId="0" xfId="0" applyFont="1" applyFill="1" applyAlignment="1">
      <alignment vertical="center" wrapText="1"/>
    </xf>
    <xf numFmtId="0" fontId="19" fillId="14" borderId="37" xfId="0" applyFont="1" applyFill="1" applyBorder="1" applyAlignment="1">
      <alignment horizontal="left" vertical="center" wrapText="1"/>
    </xf>
    <xf numFmtId="0" fontId="16" fillId="14" borderId="0" xfId="0" applyFont="1" applyFill="1" applyAlignment="1">
      <alignment horizontal="left" vertical="center" wrapText="1" indent="1"/>
    </xf>
    <xf numFmtId="0" fontId="16" fillId="14" borderId="0" xfId="0" applyFont="1" applyFill="1" applyAlignment="1">
      <alignment horizontal="center"/>
    </xf>
    <xf numFmtId="0" fontId="19" fillId="14" borderId="37" xfId="0" applyFont="1" applyFill="1" applyBorder="1" applyAlignment="1">
      <alignment horizontal="right" vertical="center" wrapText="1"/>
    </xf>
    <xf numFmtId="0" fontId="25" fillId="14" borderId="0" xfId="0" applyFont="1" applyFill="1" applyAlignment="1">
      <alignment horizontal="left" vertical="top"/>
    </xf>
    <xf numFmtId="0" fontId="19" fillId="14" borderId="0" xfId="0" applyFont="1" applyFill="1" applyAlignment="1">
      <alignment horizontal="left"/>
    </xf>
    <xf numFmtId="0" fontId="10" fillId="14" borderId="37" xfId="0" applyFont="1" applyFill="1" applyBorder="1" applyAlignment="1">
      <alignment vertical="center"/>
    </xf>
    <xf numFmtId="0" fontId="15" fillId="14" borderId="0" xfId="0" applyFont="1" applyFill="1" applyAlignment="1">
      <alignment horizontal="left"/>
    </xf>
    <xf numFmtId="0" fontId="22" fillId="14" borderId="0" xfId="0" applyFont="1" applyFill="1" applyAlignment="1">
      <alignment horizontal="left" vertical="center"/>
    </xf>
    <xf numFmtId="0" fontId="24" fillId="14" borderId="0" xfId="0" applyFont="1" applyFill="1" applyAlignment="1">
      <alignment horizontal="right" vertical="center" wrapText="1"/>
    </xf>
    <xf numFmtId="0" fontId="24" fillId="14" borderId="0" xfId="0" applyFont="1" applyFill="1" applyAlignment="1">
      <alignment horizontal="left" vertical="center" wrapText="1"/>
    </xf>
    <xf numFmtId="9" fontId="24" fillId="14" borderId="0" xfId="0" applyNumberFormat="1" applyFont="1" applyFill="1" applyAlignment="1">
      <alignment horizontal="center" vertical="center"/>
    </xf>
    <xf numFmtId="9" fontId="24" fillId="14" borderId="36" xfId="0" applyNumberFormat="1" applyFont="1" applyFill="1" applyBorder="1" applyAlignment="1">
      <alignment horizontal="right" vertical="center"/>
    </xf>
    <xf numFmtId="9" fontId="24" fillId="14" borderId="36" xfId="0" applyNumberFormat="1" applyFont="1" applyFill="1" applyBorder="1" applyAlignment="1">
      <alignment horizontal="left" vertical="center"/>
    </xf>
    <xf numFmtId="10" fontId="23" fillId="14" borderId="36" xfId="0" applyNumberFormat="1" applyFont="1" applyFill="1" applyBorder="1" applyAlignment="1">
      <alignment horizontal="center" vertical="center"/>
    </xf>
    <xf numFmtId="9" fontId="24" fillId="14" borderId="0" xfId="0" applyNumberFormat="1" applyFont="1" applyFill="1" applyAlignment="1">
      <alignment horizontal="right" vertical="center"/>
    </xf>
    <xf numFmtId="9" fontId="24" fillId="14" borderId="0" xfId="0" applyNumberFormat="1" applyFont="1" applyFill="1" applyAlignment="1">
      <alignment horizontal="left" vertical="center"/>
    </xf>
    <xf numFmtId="10" fontId="23" fillId="14" borderId="0" xfId="0" applyNumberFormat="1" applyFont="1" applyFill="1" applyAlignment="1">
      <alignment horizontal="center" vertical="center"/>
    </xf>
    <xf numFmtId="10" fontId="23" fillId="14" borderId="44" xfId="0" applyNumberFormat="1" applyFont="1" applyFill="1" applyBorder="1" applyAlignment="1">
      <alignment horizontal="center" vertical="center"/>
    </xf>
    <xf numFmtId="9" fontId="23" fillId="14" borderId="0" xfId="0" applyNumberFormat="1" applyFont="1" applyFill="1" applyAlignment="1">
      <alignment horizontal="left" vertical="center"/>
    </xf>
    <xf numFmtId="0" fontId="25" fillId="14" borderId="37" xfId="0" applyFont="1" applyFill="1" applyBorder="1" applyAlignment="1">
      <alignment vertical="center"/>
    </xf>
    <xf numFmtId="0" fontId="24" fillId="14" borderId="0" xfId="0" applyFont="1" applyFill="1" applyAlignment="1">
      <alignment horizontal="left"/>
    </xf>
    <xf numFmtId="0" fontId="28" fillId="14" borderId="0" xfId="0" applyFont="1" applyFill="1" applyAlignment="1">
      <alignment horizontal="left" vertical="center"/>
    </xf>
    <xf numFmtId="0" fontId="24" fillId="14" borderId="0" xfId="0" applyFont="1" applyFill="1" applyAlignment="1">
      <alignment horizontal="left" vertical="center"/>
    </xf>
    <xf numFmtId="0" fontId="26" fillId="14" borderId="0" xfId="0" applyFont="1" applyFill="1" applyAlignment="1">
      <alignment horizontal="right" vertical="center" indent="1"/>
    </xf>
    <xf numFmtId="14" fontId="26" fillId="14" borderId="0" xfId="0" applyNumberFormat="1" applyFont="1" applyFill="1" applyAlignment="1">
      <alignment horizontal="right" vertical="center" indent="1"/>
    </xf>
    <xf numFmtId="9" fontId="29" fillId="14" borderId="0" xfId="0" applyNumberFormat="1" applyFont="1" applyFill="1" applyAlignment="1">
      <alignment horizontal="center" vertical="center"/>
    </xf>
    <xf numFmtId="9" fontId="30" fillId="14" borderId="0" xfId="0" applyNumberFormat="1" applyFont="1" applyFill="1" applyAlignment="1">
      <alignment horizontal="center" vertical="center"/>
    </xf>
    <xf numFmtId="10" fontId="25" fillId="14" borderId="0" xfId="0" applyNumberFormat="1" applyFont="1" applyFill="1" applyAlignment="1">
      <alignment horizontal="left" vertical="center"/>
    </xf>
    <xf numFmtId="0" fontId="25" fillId="14" borderId="0" xfId="0" applyFont="1" applyFill="1" applyAlignment="1">
      <alignment horizontal="left" vertical="center"/>
    </xf>
    <xf numFmtId="9" fontId="31" fillId="14" borderId="37" xfId="0" applyNumberFormat="1" applyFont="1" applyFill="1" applyBorder="1" applyAlignment="1">
      <alignment horizontal="left" vertical="center"/>
    </xf>
    <xf numFmtId="0" fontId="25" fillId="14" borderId="0" xfId="0" applyFont="1" applyFill="1" applyAlignment="1">
      <alignment vertical="center" wrapText="1"/>
    </xf>
    <xf numFmtId="0" fontId="32" fillId="14" borderId="0" xfId="0" applyFont="1" applyFill="1" applyAlignment="1">
      <alignment horizontal="left" vertical="top"/>
    </xf>
    <xf numFmtId="0" fontId="31" fillId="14" borderId="0" xfId="0" applyFont="1" applyFill="1" applyAlignment="1">
      <alignment horizontal="left" vertical="center" wrapText="1"/>
    </xf>
    <xf numFmtId="0" fontId="5" fillId="10" borderId="18" xfId="0" applyFont="1" applyFill="1" applyBorder="1" applyAlignment="1">
      <alignment horizontal="left" vertical="center" indent="1"/>
    </xf>
    <xf numFmtId="0" fontId="5" fillId="10" borderId="11" xfId="0" applyFont="1" applyFill="1" applyBorder="1" applyAlignment="1">
      <alignment horizontal="left" vertical="center" indent="1"/>
    </xf>
    <xf numFmtId="0" fontId="5" fillId="10" borderId="7" xfId="0" applyFont="1" applyFill="1" applyBorder="1" applyAlignment="1">
      <alignment horizontal="left" vertical="center" indent="1"/>
    </xf>
    <xf numFmtId="0" fontId="5" fillId="10" borderId="20" xfId="0" applyFont="1" applyFill="1" applyBorder="1" applyAlignment="1">
      <alignment horizontal="left" vertical="center" indent="1"/>
    </xf>
    <xf numFmtId="165" fontId="4" fillId="4" borderId="10" xfId="0" applyNumberFormat="1" applyFont="1" applyFill="1" applyBorder="1" applyAlignment="1">
      <alignment horizontal="left" vertical="center" wrapText="1" indent="1"/>
    </xf>
    <xf numFmtId="9" fontId="25" fillId="14" borderId="0" xfId="0" applyNumberFormat="1" applyFont="1" applyFill="1" applyAlignment="1">
      <alignment horizontal="center" vertical="center"/>
    </xf>
    <xf numFmtId="9" fontId="24" fillId="14" borderId="37" xfId="0" applyNumberFormat="1" applyFont="1" applyFill="1" applyBorder="1" applyAlignment="1">
      <alignment horizontal="right" vertical="center"/>
    </xf>
    <xf numFmtId="0" fontId="25" fillId="14" borderId="37" xfId="0" applyFont="1" applyFill="1" applyBorder="1" applyAlignment="1">
      <alignment horizontal="center" vertical="center"/>
    </xf>
    <xf numFmtId="0" fontId="4" fillId="9" borderId="18" xfId="0" applyFont="1" applyFill="1" applyBorder="1" applyAlignment="1">
      <alignment horizontal="left" vertical="center" indent="1"/>
    </xf>
    <xf numFmtId="0" fontId="4" fillId="9" borderId="11" xfId="0" applyFont="1" applyFill="1" applyBorder="1" applyAlignment="1">
      <alignment horizontal="left" vertical="center" indent="1"/>
    </xf>
    <xf numFmtId="0" fontId="4" fillId="3" borderId="18" xfId="0" applyFont="1" applyFill="1" applyBorder="1" applyAlignment="1">
      <alignment horizontal="left" vertical="center" indent="1"/>
    </xf>
    <xf numFmtId="0" fontId="4" fillId="3" borderId="11" xfId="0" applyFont="1" applyFill="1" applyBorder="1" applyAlignment="1">
      <alignment horizontal="left" vertical="center" indent="1"/>
    </xf>
    <xf numFmtId="0" fontId="4" fillId="3" borderId="0" xfId="0" applyFont="1" applyFill="1" applyAlignment="1">
      <alignment horizontal="left" vertical="center" wrapText="1" indent="1"/>
    </xf>
    <xf numFmtId="0" fontId="4" fillId="3" borderId="11" xfId="0" applyFont="1" applyFill="1" applyBorder="1" applyAlignment="1">
      <alignment horizontal="left" vertical="center" wrapText="1" indent="1"/>
    </xf>
    <xf numFmtId="0" fontId="4" fillId="4" borderId="0" xfId="0" applyFont="1" applyFill="1" applyAlignment="1">
      <alignment horizontal="left" vertical="center" wrapText="1" indent="1"/>
    </xf>
    <xf numFmtId="0" fontId="4" fillId="4" borderId="11" xfId="0" applyFont="1" applyFill="1" applyBorder="1" applyAlignment="1">
      <alignment horizontal="left" vertical="center" wrapText="1" indent="1"/>
    </xf>
    <xf numFmtId="168" fontId="1" fillId="0" borderId="12" xfId="0" applyNumberFormat="1" applyFont="1" applyBorder="1" applyAlignment="1">
      <alignment horizontal="left" vertical="center" indent="1"/>
    </xf>
    <xf numFmtId="169" fontId="4" fillId="5" borderId="10" xfId="0" applyNumberFormat="1" applyFont="1" applyFill="1" applyBorder="1" applyAlignment="1">
      <alignment horizontal="left" vertical="center" indent="1"/>
    </xf>
    <xf numFmtId="0" fontId="1" fillId="0" borderId="14" xfId="0" applyFont="1" applyBorder="1" applyAlignment="1">
      <alignment horizontal="left" vertical="center" indent="1"/>
    </xf>
    <xf numFmtId="0" fontId="1" fillId="0" borderId="4" xfId="0" applyFont="1" applyBorder="1" applyAlignment="1">
      <alignment horizontal="left" vertical="center" indent="1"/>
    </xf>
    <xf numFmtId="0" fontId="1" fillId="0" borderId="15" xfId="0" applyFont="1" applyBorder="1" applyAlignment="1">
      <alignment horizontal="left" vertical="center" indent="1"/>
    </xf>
    <xf numFmtId="10" fontId="4" fillId="4" borderId="0" xfId="0" applyNumberFormat="1" applyFont="1" applyFill="1" applyAlignment="1">
      <alignment horizontal="left" vertical="center" indent="1"/>
    </xf>
    <xf numFmtId="10" fontId="4" fillId="4" borderId="11" xfId="0" applyNumberFormat="1" applyFont="1" applyFill="1" applyBorder="1" applyAlignment="1">
      <alignment horizontal="left" vertical="center" indent="1"/>
    </xf>
    <xf numFmtId="0" fontId="4" fillId="4" borderId="18" xfId="0" applyFont="1" applyFill="1" applyBorder="1" applyAlignment="1">
      <alignment horizontal="left" vertical="center" indent="1"/>
    </xf>
    <xf numFmtId="0" fontId="4" fillId="4" borderId="11" xfId="0" applyFont="1" applyFill="1" applyBorder="1" applyAlignment="1">
      <alignment horizontal="left" vertical="center" indent="1"/>
    </xf>
    <xf numFmtId="0" fontId="1" fillId="0" borderId="13" xfId="0" applyFont="1" applyBorder="1" applyAlignment="1">
      <alignment horizontal="left" vertical="center" wrapText="1" indent="1"/>
    </xf>
    <xf numFmtId="0" fontId="1" fillId="0" borderId="13" xfId="0" applyFont="1" applyBorder="1" applyAlignment="1">
      <alignment horizontal="left" vertical="center" indent="1"/>
    </xf>
    <xf numFmtId="0" fontId="1" fillId="0" borderId="12" xfId="0" applyFont="1" applyBorder="1" applyAlignment="1">
      <alignment horizontal="left" vertical="center" indent="1"/>
    </xf>
    <xf numFmtId="0" fontId="4" fillId="7" borderId="18" xfId="0" applyFont="1" applyFill="1" applyBorder="1" applyAlignment="1">
      <alignment horizontal="left" vertical="center" indent="1"/>
    </xf>
    <xf numFmtId="0" fontId="4" fillId="7" borderId="11" xfId="0" applyFont="1" applyFill="1" applyBorder="1" applyAlignment="1">
      <alignment horizontal="left" vertical="center" indent="1"/>
    </xf>
    <xf numFmtId="10" fontId="4" fillId="7" borderId="0" xfId="0" applyNumberFormat="1" applyFont="1" applyFill="1" applyAlignment="1">
      <alignment horizontal="left" vertical="center" indent="1"/>
    </xf>
    <xf numFmtId="10" fontId="4" fillId="7" borderId="11" xfId="0" applyNumberFormat="1" applyFont="1" applyFill="1" applyBorder="1" applyAlignment="1">
      <alignment horizontal="left" vertical="center" indent="1"/>
    </xf>
    <xf numFmtId="0" fontId="4" fillId="7" borderId="0" xfId="0" applyFont="1" applyFill="1" applyAlignment="1">
      <alignment horizontal="left" vertical="center" wrapText="1" indent="1"/>
    </xf>
    <xf numFmtId="0" fontId="4" fillId="7" borderId="11" xfId="0" applyFont="1" applyFill="1" applyBorder="1" applyAlignment="1">
      <alignment horizontal="left" vertical="center" wrapText="1" indent="1"/>
    </xf>
    <xf numFmtId="10" fontId="4" fillId="3" borderId="0" xfId="0" applyNumberFormat="1" applyFont="1" applyFill="1" applyAlignment="1">
      <alignment horizontal="left" vertical="center" indent="1"/>
    </xf>
    <xf numFmtId="10" fontId="4" fillId="3" borderId="11" xfId="0" applyNumberFormat="1" applyFont="1" applyFill="1" applyBorder="1" applyAlignment="1">
      <alignment horizontal="left" vertical="center" indent="1"/>
    </xf>
    <xf numFmtId="0" fontId="1" fillId="0" borderId="16" xfId="0" applyFont="1" applyBorder="1" applyAlignment="1">
      <alignment horizontal="left" vertical="center" indent="1"/>
    </xf>
    <xf numFmtId="0" fontId="1" fillId="0" borderId="9" xfId="0" applyFont="1" applyBorder="1" applyAlignment="1">
      <alignment horizontal="left" vertical="center" indent="1"/>
    </xf>
    <xf numFmtId="0" fontId="1" fillId="0" borderId="17" xfId="0" applyFont="1" applyBorder="1" applyAlignment="1">
      <alignment horizontal="left" vertical="center" indent="1"/>
    </xf>
    <xf numFmtId="0" fontId="6" fillId="2" borderId="19" xfId="0" applyFont="1" applyFill="1" applyBorder="1" applyAlignment="1">
      <alignment horizontal="left" vertical="center" wrapText="1" indent="1"/>
    </xf>
    <xf numFmtId="0" fontId="6" fillId="2" borderId="18" xfId="0" applyFont="1" applyFill="1" applyBorder="1" applyAlignment="1">
      <alignment horizontal="left" vertical="center" wrapText="1" indent="1"/>
    </xf>
    <xf numFmtId="0" fontId="6" fillId="2" borderId="9" xfId="0" applyFont="1" applyFill="1" applyBorder="1" applyAlignment="1">
      <alignment horizontal="left" vertical="center" wrapText="1" indent="1"/>
    </xf>
    <xf numFmtId="0" fontId="6" fillId="2" borderId="0" xfId="0" applyFont="1" applyFill="1" applyAlignment="1">
      <alignment horizontal="left" vertical="center" wrapText="1" indent="1"/>
    </xf>
    <xf numFmtId="0" fontId="5" fillId="10" borderId="18" xfId="0" applyFont="1" applyFill="1" applyBorder="1" applyAlignment="1">
      <alignment horizontal="left" vertical="center" indent="1"/>
    </xf>
    <xf numFmtId="0" fontId="5" fillId="10" borderId="11" xfId="0" applyFont="1" applyFill="1" applyBorder="1" applyAlignment="1">
      <alignment horizontal="left" vertical="center" indent="1"/>
    </xf>
    <xf numFmtId="0" fontId="5" fillId="10" borderId="18" xfId="0" applyFont="1" applyFill="1" applyBorder="1" applyAlignment="1">
      <alignment horizontal="left" vertical="center" wrapText="1" indent="1"/>
    </xf>
    <xf numFmtId="0" fontId="5" fillId="10" borderId="7" xfId="0" applyFont="1" applyFill="1" applyBorder="1" applyAlignment="1">
      <alignment horizontal="left" vertical="center" indent="1"/>
    </xf>
    <xf numFmtId="0" fontId="5" fillId="10" borderId="20" xfId="0" applyFont="1" applyFill="1" applyBorder="1" applyAlignment="1">
      <alignment horizontal="left" vertical="center" indent="1"/>
    </xf>
    <xf numFmtId="0" fontId="5" fillId="10" borderId="19" xfId="0" applyFont="1" applyFill="1" applyBorder="1" applyAlignment="1">
      <alignment horizontal="left" vertical="center" wrapText="1" indent="1"/>
    </xf>
    <xf numFmtId="0" fontId="5" fillId="10" borderId="17" xfId="0" applyFont="1" applyFill="1" applyBorder="1" applyAlignment="1">
      <alignment horizontal="left" vertical="center" wrapText="1" indent="1"/>
    </xf>
    <xf numFmtId="0" fontId="5" fillId="10" borderId="11" xfId="0" applyFont="1" applyFill="1" applyBorder="1" applyAlignment="1">
      <alignment horizontal="left" vertical="center" wrapText="1" indent="1"/>
    </xf>
    <xf numFmtId="0" fontId="5" fillId="10" borderId="0" xfId="0" applyFont="1" applyFill="1" applyAlignment="1">
      <alignment horizontal="left" vertical="center" wrapText="1" indent="1"/>
    </xf>
    <xf numFmtId="0" fontId="5" fillId="10" borderId="0" xfId="0" applyFont="1" applyFill="1" applyAlignment="1">
      <alignment horizontal="left" vertical="center" indent="1"/>
    </xf>
    <xf numFmtId="9" fontId="9" fillId="0" borderId="4" xfId="0" applyNumberFormat="1" applyFont="1" applyBorder="1" applyAlignment="1">
      <alignment horizontal="center" vertical="center"/>
    </xf>
    <xf numFmtId="9" fontId="9" fillId="0" borderId="24" xfId="0" applyNumberFormat="1" applyFont="1" applyBorder="1" applyAlignment="1">
      <alignment horizontal="center" vertical="center"/>
    </xf>
    <xf numFmtId="9" fontId="9" fillId="0" borderId="14" xfId="0" applyNumberFormat="1" applyFont="1" applyBorder="1" applyAlignment="1">
      <alignment horizontal="center" vertical="center"/>
    </xf>
    <xf numFmtId="9" fontId="9" fillId="0" borderId="15" xfId="0" applyNumberFormat="1" applyFont="1" applyBorder="1" applyAlignment="1">
      <alignment horizontal="center" vertical="center"/>
    </xf>
    <xf numFmtId="0" fontId="4" fillId="10" borderId="29" xfId="0" applyFont="1" applyFill="1" applyBorder="1" applyAlignment="1">
      <alignment horizontal="left" vertical="center" indent="1"/>
    </xf>
    <xf numFmtId="0" fontId="4" fillId="10" borderId="31" xfId="0" applyFont="1" applyFill="1" applyBorder="1" applyAlignment="1">
      <alignment horizontal="left" vertical="center" indent="1"/>
    </xf>
    <xf numFmtId="0" fontId="4" fillId="13" borderId="27" xfId="0" applyFont="1" applyFill="1" applyBorder="1" applyAlignment="1">
      <alignment horizontal="left" vertical="center" wrapText="1" indent="1"/>
    </xf>
    <xf numFmtId="0" fontId="4" fillId="13" borderId="29" xfId="0" applyFont="1" applyFill="1" applyBorder="1" applyAlignment="1">
      <alignment horizontal="left" vertical="center" wrapText="1" indent="1"/>
    </xf>
    <xf numFmtId="0" fontId="4" fillId="13" borderId="28" xfId="0" applyFont="1" applyFill="1" applyBorder="1" applyAlignment="1">
      <alignment horizontal="left" vertical="center" wrapText="1" indent="1"/>
    </xf>
    <xf numFmtId="0" fontId="4" fillId="13" borderId="31" xfId="0" applyFont="1" applyFill="1" applyBorder="1" applyAlignment="1">
      <alignment horizontal="left" vertical="center" wrapText="1" indent="1"/>
    </xf>
    <xf numFmtId="0" fontId="19" fillId="14" borderId="36" xfId="0" applyFont="1" applyFill="1" applyBorder="1" applyAlignment="1">
      <alignment horizontal="left" vertical="center" wrapText="1" indent="1"/>
    </xf>
    <xf numFmtId="0" fontId="19" fillId="14" borderId="0" xfId="0" applyFont="1" applyFill="1" applyAlignment="1">
      <alignment horizontal="left" vertical="center" wrapText="1" indent="1"/>
    </xf>
    <xf numFmtId="0" fontId="19" fillId="14" borderId="37" xfId="0" applyFont="1" applyFill="1" applyBorder="1" applyAlignment="1">
      <alignment horizontal="left" vertical="center" wrapText="1" indent="1"/>
    </xf>
    <xf numFmtId="0" fontId="21" fillId="14" borderId="35" xfId="0" applyFont="1" applyFill="1" applyBorder="1" applyAlignment="1">
      <alignment horizontal="right" vertical="center" wrapText="1"/>
    </xf>
    <xf numFmtId="0" fontId="21" fillId="14" borderId="36" xfId="0" applyFont="1" applyFill="1" applyBorder="1" applyAlignment="1">
      <alignment horizontal="right" vertical="center" wrapText="1"/>
    </xf>
    <xf numFmtId="0" fontId="33" fillId="14" borderId="0" xfId="0" applyFont="1" applyFill="1" applyAlignment="1">
      <alignment horizontal="justify" vertical="center" wrapText="1"/>
    </xf>
    <xf numFmtId="0" fontId="26" fillId="14" borderId="39" xfId="0" applyFont="1" applyFill="1" applyBorder="1" applyAlignment="1">
      <alignment horizontal="center"/>
    </xf>
    <xf numFmtId="0" fontId="26" fillId="14" borderId="38" xfId="0" applyFont="1" applyFill="1" applyBorder="1" applyAlignment="1">
      <alignment horizontal="center"/>
    </xf>
    <xf numFmtId="0" fontId="26" fillId="14" borderId="41" xfId="0" applyFont="1" applyFill="1" applyBorder="1" applyAlignment="1">
      <alignment horizontal="center"/>
    </xf>
    <xf numFmtId="0" fontId="25" fillId="14" borderId="36" xfId="0" applyFont="1" applyFill="1" applyBorder="1" applyAlignment="1">
      <alignment horizontal="left" vertical="center" wrapText="1"/>
    </xf>
    <xf numFmtId="0" fontId="25" fillId="14" borderId="0" xfId="0" applyFont="1" applyFill="1" applyAlignment="1">
      <alignment horizontal="left" vertical="center" wrapText="1"/>
    </xf>
    <xf numFmtId="0" fontId="25" fillId="14" borderId="37" xfId="0" applyFont="1" applyFill="1" applyBorder="1" applyAlignment="1">
      <alignment horizontal="left" vertical="center" wrapText="1"/>
    </xf>
    <xf numFmtId="10" fontId="25" fillId="14" borderId="0" xfId="0" applyNumberFormat="1" applyFont="1" applyFill="1" applyAlignment="1">
      <alignment horizontal="left" vertical="center"/>
    </xf>
    <xf numFmtId="0" fontId="24" fillId="14" borderId="0" xfId="0" applyFont="1" applyFill="1" applyAlignment="1">
      <alignment horizontal="right" vertical="center"/>
    </xf>
    <xf numFmtId="0" fontId="25" fillId="14" borderId="0" xfId="0" applyFont="1" applyFill="1" applyAlignment="1">
      <alignment horizontal="right" vertical="center" wrapText="1"/>
    </xf>
    <xf numFmtId="10" fontId="29" fillId="14" borderId="42" xfId="0" applyNumberFormat="1" applyFont="1" applyFill="1" applyBorder="1" applyAlignment="1">
      <alignment horizontal="center" vertical="center"/>
    </xf>
    <xf numFmtId="10" fontId="29" fillId="14" borderId="40" xfId="0" applyNumberFormat="1" applyFont="1" applyFill="1" applyBorder="1" applyAlignment="1">
      <alignment horizontal="center" vertical="center"/>
    </xf>
    <xf numFmtId="10" fontId="29" fillId="14" borderId="43" xfId="0" applyNumberFormat="1" applyFont="1" applyFill="1" applyBorder="1" applyAlignment="1">
      <alignment horizontal="center" vertical="center"/>
    </xf>
    <xf numFmtId="0" fontId="25" fillId="14" borderId="37" xfId="0" applyFont="1" applyFill="1" applyBorder="1" applyAlignment="1">
      <alignment horizontal="right" vertical="center" wrapText="1"/>
    </xf>
    <xf numFmtId="0" fontId="23" fillId="14" borderId="0" xfId="0" applyFont="1" applyFill="1" applyAlignment="1">
      <alignment horizontal="justify" vertical="justify" wrapText="1"/>
    </xf>
    <xf numFmtId="0" fontId="23" fillId="14" borderId="0" xfId="0" applyFont="1" applyFill="1" applyAlignment="1">
      <alignment horizontal="left" wrapText="1"/>
    </xf>
    <xf numFmtId="10" fontId="30" fillId="14" borderId="42" xfId="0" applyNumberFormat="1" applyFont="1" applyFill="1" applyBorder="1" applyAlignment="1">
      <alignment horizontal="center" vertical="center"/>
    </xf>
    <xf numFmtId="10" fontId="30" fillId="14" borderId="40" xfId="0" applyNumberFormat="1" applyFont="1" applyFill="1" applyBorder="1" applyAlignment="1">
      <alignment horizontal="center" vertical="center"/>
    </xf>
    <xf numFmtId="10" fontId="30" fillId="14" borderId="43" xfId="0" applyNumberFormat="1" applyFont="1" applyFill="1" applyBorder="1" applyAlignment="1">
      <alignment horizontal="center" vertical="center"/>
    </xf>
    <xf numFmtId="9" fontId="24" fillId="14" borderId="0" xfId="0" applyNumberFormat="1" applyFont="1" applyFill="1" applyBorder="1" applyAlignment="1">
      <alignment horizontal="right" vertical="center"/>
    </xf>
    <xf numFmtId="9" fontId="31" fillId="14" borderId="0" xfId="0" applyNumberFormat="1" applyFont="1" applyFill="1" applyBorder="1" applyAlignment="1">
      <alignment horizontal="left" vertical="center"/>
    </xf>
    <xf numFmtId="10" fontId="31" fillId="14" borderId="0" xfId="0" applyNumberFormat="1" applyFont="1" applyFill="1" applyBorder="1" applyAlignment="1">
      <alignment horizontal="center" vertical="center"/>
    </xf>
    <xf numFmtId="10" fontId="27" fillId="14" borderId="0" xfId="0" applyNumberFormat="1" applyFont="1" applyFill="1" applyBorder="1" applyAlignment="1">
      <alignment horizontal="center" vertical="center"/>
    </xf>
    <xf numFmtId="0" fontId="25" fillId="14" borderId="0" xfId="0" applyFont="1" applyFill="1" applyBorder="1" applyAlignment="1">
      <alignment horizontal="left" vertical="center" wrapText="1"/>
    </xf>
    <xf numFmtId="10" fontId="27" fillId="14" borderId="45" xfId="0" applyNumberFormat="1" applyFont="1" applyFill="1" applyBorder="1" applyAlignment="1">
      <alignment horizontal="center" vertical="center"/>
    </xf>
    <xf numFmtId="10" fontId="27" fillId="14" borderId="37" xfId="0" applyNumberFormat="1" applyFont="1" applyFill="1" applyBorder="1" applyAlignment="1">
      <alignment horizontal="center" vertical="center"/>
    </xf>
    <xf numFmtId="9" fontId="25" fillId="14" borderId="46" xfId="0" applyNumberFormat="1" applyFont="1" applyFill="1" applyBorder="1" applyAlignment="1">
      <alignment horizontal="center" vertical="center"/>
    </xf>
  </cellXfs>
  <cellStyles count="2">
    <cellStyle name="Good" xfId="1" builtinId="26"/>
    <cellStyle name="Normal" xfId="0" builtinId="0"/>
  </cellStyles>
  <dxfs count="0"/>
  <tableStyles count="0" defaultTableStyle="TableStyleMedium2" defaultPivotStyle="PivotStyleLight16"/>
  <colors>
    <mruColors>
      <color rgb="FF1F9BFD"/>
      <color rgb="FF719C59"/>
      <color rgb="FFCCCCCC"/>
      <color rgb="FFFFA500"/>
      <color rgb="FFB87600"/>
      <color rgb="FF111111"/>
      <color rgb="FFF5DAA9"/>
      <color rgb="FFFFE48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100012</xdr:colOff>
      <xdr:row>0</xdr:row>
      <xdr:rowOff>109537</xdr:rowOff>
    </xdr:from>
    <xdr:to>
      <xdr:col>1</xdr:col>
      <xdr:colOff>1160146</xdr:colOff>
      <xdr:row>2</xdr:row>
      <xdr:rowOff>441009</xdr:rowOff>
    </xdr:to>
    <xdr:pic>
      <xdr:nvPicPr>
        <xdr:cNvPr id="2" name="Picture 1">
          <a:extLst>
            <a:ext uri="{FF2B5EF4-FFF2-40B4-BE49-F238E27FC236}">
              <a16:creationId xmlns:a16="http://schemas.microsoft.com/office/drawing/2014/main" id="{715501B0-B6AF-4D6B-938A-73E18E7F9CE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0012" y="109537"/>
          <a:ext cx="1188722" cy="11887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1</xdr:col>
      <xdr:colOff>1844527</xdr:colOff>
      <xdr:row>3</xdr:row>
      <xdr:rowOff>178217</xdr:rowOff>
    </xdr:from>
    <xdr:ext cx="1614725" cy="1614725"/>
    <xdr:pic>
      <xdr:nvPicPr>
        <xdr:cNvPr id="2" name="Picture 1">
          <a:extLst>
            <a:ext uri="{FF2B5EF4-FFF2-40B4-BE49-F238E27FC236}">
              <a16:creationId xmlns:a16="http://schemas.microsoft.com/office/drawing/2014/main" id="{744D022A-67A5-43BD-900F-988C79FFD7E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7013" y="1332423"/>
          <a:ext cx="1614725" cy="1614725"/>
        </a:xfrm>
        <a:prstGeom prst="rect">
          <a:avLst/>
        </a:prstGeom>
      </xdr:spPr>
    </xdr:pic>
    <xdr:clientData/>
  </xdr:oneCellAnchor>
  <xdr:twoCellAnchor editAs="oneCell">
    <xdr:from>
      <xdr:col>17</xdr:col>
      <xdr:colOff>722782</xdr:colOff>
      <xdr:row>25</xdr:row>
      <xdr:rowOff>89647</xdr:rowOff>
    </xdr:from>
    <xdr:to>
      <xdr:col>17</xdr:col>
      <xdr:colOff>1727141</xdr:colOff>
      <xdr:row>29</xdr:row>
      <xdr:rowOff>39220</xdr:rowOff>
    </xdr:to>
    <xdr:pic>
      <xdr:nvPicPr>
        <xdr:cNvPr id="4" name="Picture 3">
          <a:extLst>
            <a:ext uri="{FF2B5EF4-FFF2-40B4-BE49-F238E27FC236}">
              <a16:creationId xmlns:a16="http://schemas.microsoft.com/office/drawing/2014/main" id="{8DE308AB-5C6D-6D0F-67C4-469439B56E7F}"/>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9755974" y="8936692"/>
          <a:ext cx="1004359" cy="140633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ABB38-1F40-499D-BAC3-6DDB1B9CDAE6}">
  <dimension ref="A1:O138"/>
  <sheetViews>
    <sheetView zoomScaleNormal="100" workbookViewId="0">
      <selection activeCell="G32" sqref="G32:G33"/>
    </sheetView>
  </sheetViews>
  <sheetFormatPr defaultColWidth="9" defaultRowHeight="15" customHeight="1" x14ac:dyDescent="0.45"/>
  <cols>
    <col min="1" max="1" width="1.73046875" style="4" customWidth="1"/>
    <col min="2" max="2" width="38.1328125" style="2" bestFit="1" customWidth="1"/>
    <col min="3" max="3" width="14.3984375" style="2" bestFit="1" customWidth="1"/>
    <col min="4" max="4" width="33.1328125" style="2" bestFit="1" customWidth="1"/>
    <col min="5" max="14" width="13.73046875" style="2" customWidth="1"/>
    <col min="15" max="15" width="1.73046875" style="4" customWidth="1"/>
    <col min="16" max="16384" width="9" style="2"/>
  </cols>
  <sheetData>
    <row r="1" spans="1:15" ht="15" customHeight="1" x14ac:dyDescent="0.45">
      <c r="A1" s="8"/>
      <c r="B1" s="8"/>
      <c r="C1" s="8"/>
      <c r="D1" s="8"/>
      <c r="E1" s="8"/>
      <c r="F1" s="8"/>
      <c r="G1" s="8"/>
      <c r="H1" s="8"/>
      <c r="I1" s="8"/>
      <c r="J1" s="8"/>
      <c r="K1" s="61"/>
      <c r="L1" s="61"/>
      <c r="M1" s="61"/>
      <c r="N1" s="61"/>
    </row>
    <row r="2" spans="1:15" ht="60" customHeight="1" x14ac:dyDescent="0.45">
      <c r="A2" s="8"/>
      <c r="B2" s="205" t="s">
        <v>110</v>
      </c>
      <c r="C2" s="206"/>
      <c r="D2" s="211" t="s">
        <v>138</v>
      </c>
      <c r="E2" s="212"/>
      <c r="F2" s="8"/>
      <c r="G2" s="214" t="s">
        <v>121</v>
      </c>
      <c r="H2" s="211"/>
      <c r="I2" s="211"/>
      <c r="J2" s="4"/>
      <c r="K2" s="217" t="s">
        <v>113</v>
      </c>
      <c r="L2" s="217"/>
      <c r="M2" s="217"/>
      <c r="N2" s="217"/>
    </row>
    <row r="3" spans="1:15" ht="15" customHeight="1" x14ac:dyDescent="0.45">
      <c r="A3" s="8"/>
      <c r="B3" s="207"/>
      <c r="C3" s="208"/>
      <c r="D3" s="210"/>
      <c r="E3" s="213"/>
      <c r="F3" s="8"/>
      <c r="G3" s="215"/>
      <c r="H3" s="216"/>
      <c r="I3" s="216"/>
      <c r="J3" s="4"/>
      <c r="K3" s="62" t="s">
        <v>53</v>
      </c>
      <c r="L3" s="62" t="s">
        <v>51</v>
      </c>
      <c r="M3" s="62" t="s">
        <v>32</v>
      </c>
      <c r="N3" s="62" t="s">
        <v>33</v>
      </c>
      <c r="O3" s="9"/>
    </row>
    <row r="4" spans="1:15" ht="15" customHeight="1" x14ac:dyDescent="0.45">
      <c r="A4" s="9"/>
      <c r="B4" s="207"/>
      <c r="C4" s="208"/>
      <c r="D4" s="32" t="s">
        <v>2</v>
      </c>
      <c r="E4" s="33">
        <v>100000</v>
      </c>
      <c r="F4" s="9"/>
      <c r="G4" s="74" t="s">
        <v>34</v>
      </c>
      <c r="H4" s="73" t="s">
        <v>39</v>
      </c>
      <c r="I4" s="41">
        <f>I43</f>
        <v>0.17740035620000011</v>
      </c>
      <c r="J4" s="9"/>
      <c r="K4" s="66">
        <f>C127</f>
        <v>20000</v>
      </c>
      <c r="L4" s="67" t="s">
        <v>40</v>
      </c>
      <c r="M4" s="42">
        <f>I128</f>
        <v>347.61937630677249</v>
      </c>
      <c r="N4" s="63">
        <f t="shared" ref="N4:N9" si="0">M4*$I$15</f>
        <v>124180249.33999999</v>
      </c>
      <c r="O4" s="9"/>
    </row>
    <row r="5" spans="1:15" ht="15" customHeight="1" x14ac:dyDescent="0.45">
      <c r="A5" s="37"/>
      <c r="B5" s="207"/>
      <c r="C5" s="208"/>
      <c r="D5" s="18" t="s">
        <v>123</v>
      </c>
      <c r="E5" s="35">
        <v>0.28999999999999998</v>
      </c>
      <c r="F5" s="37"/>
      <c r="G5" s="45" t="s">
        <v>37</v>
      </c>
      <c r="H5" s="64" t="s">
        <v>39</v>
      </c>
      <c r="I5" s="79">
        <f>I67</f>
        <v>0.21602061241920864</v>
      </c>
      <c r="J5" s="37"/>
      <c r="K5" s="66">
        <f>C127</f>
        <v>20000</v>
      </c>
      <c r="L5" s="65" t="s">
        <v>41</v>
      </c>
      <c r="M5" s="42">
        <f>I129</f>
        <v>1738.0968815338638</v>
      </c>
      <c r="N5" s="63">
        <f t="shared" si="0"/>
        <v>620901246.70000041</v>
      </c>
      <c r="O5" s="37"/>
    </row>
    <row r="6" spans="1:15" ht="15" customHeight="1" x14ac:dyDescent="0.45">
      <c r="A6" s="37"/>
      <c r="B6" s="207"/>
      <c r="C6" s="208"/>
      <c r="D6" s="18" t="s">
        <v>136</v>
      </c>
      <c r="E6" s="34">
        <v>0.02</v>
      </c>
      <c r="F6" s="37"/>
      <c r="G6" s="45" t="s">
        <v>120</v>
      </c>
      <c r="H6" s="64" t="s">
        <v>39</v>
      </c>
      <c r="I6" s="79">
        <f>I80</f>
        <v>3.9931982180193497E-2</v>
      </c>
      <c r="J6" s="37"/>
      <c r="K6" s="66">
        <f>C130</f>
        <v>400000</v>
      </c>
      <c r="L6" s="67" t="s">
        <v>40</v>
      </c>
      <c r="M6" s="42">
        <f>I131</f>
        <v>6952.3875261354497</v>
      </c>
      <c r="N6" s="63">
        <f t="shared" si="0"/>
        <v>2483604986.7999997</v>
      </c>
      <c r="O6" s="37"/>
    </row>
    <row r="7" spans="1:15" ht="15" customHeight="1" x14ac:dyDescent="0.45">
      <c r="A7" s="37"/>
      <c r="B7" s="207"/>
      <c r="C7" s="208"/>
      <c r="D7" s="18" t="s">
        <v>122</v>
      </c>
      <c r="E7" s="34">
        <v>0.01</v>
      </c>
      <c r="F7" s="37"/>
      <c r="G7" s="45" t="s">
        <v>57</v>
      </c>
      <c r="H7" s="64" t="s">
        <v>39</v>
      </c>
      <c r="I7" s="79">
        <f>I95</f>
        <v>1.9965991090096748E-2</v>
      </c>
      <c r="J7" s="37"/>
      <c r="K7" s="66">
        <f>C130</f>
        <v>400000</v>
      </c>
      <c r="L7" s="65" t="s">
        <v>41</v>
      </c>
      <c r="M7" s="42">
        <f>I132</f>
        <v>34761.937630677276</v>
      </c>
      <c r="N7" s="63">
        <f t="shared" si="0"/>
        <v>12418024934.000008</v>
      </c>
      <c r="O7" s="37"/>
    </row>
    <row r="8" spans="1:15" ht="15" customHeight="1" x14ac:dyDescent="0.45">
      <c r="A8" s="9"/>
      <c r="B8" s="207"/>
      <c r="C8" s="208"/>
      <c r="D8" s="32" t="s">
        <v>130</v>
      </c>
      <c r="E8" s="36">
        <v>0.1</v>
      </c>
      <c r="F8" s="9"/>
      <c r="G8" s="45" t="s">
        <v>118</v>
      </c>
      <c r="H8" s="64" t="s">
        <v>39</v>
      </c>
      <c r="I8" s="79">
        <f>-I35</f>
        <v>-4.9659910900967504E-2</v>
      </c>
      <c r="J8" s="9"/>
      <c r="K8" s="75">
        <f>C133</f>
        <v>1000000</v>
      </c>
      <c r="L8" s="76" t="s">
        <v>40</v>
      </c>
      <c r="M8" s="42">
        <f>I134</f>
        <v>17380.968815338627</v>
      </c>
      <c r="N8" s="63">
        <f t="shared" si="0"/>
        <v>6209012467</v>
      </c>
      <c r="O8" s="9"/>
    </row>
    <row r="9" spans="1:15" ht="15" customHeight="1" x14ac:dyDescent="0.45">
      <c r="A9" s="9"/>
      <c r="B9" s="207"/>
      <c r="C9" s="208"/>
      <c r="D9" s="32" t="s">
        <v>131</v>
      </c>
      <c r="E9" s="36">
        <v>0.05</v>
      </c>
      <c r="F9" s="9"/>
      <c r="G9" s="45" t="s">
        <v>117</v>
      </c>
      <c r="H9" s="64" t="s">
        <v>39</v>
      </c>
      <c r="I9" s="79">
        <f>-I51</f>
        <v>-4.345242203834656E-2</v>
      </c>
      <c r="J9" s="9"/>
      <c r="K9" s="75">
        <f>C133</f>
        <v>1000000</v>
      </c>
      <c r="L9" s="77" t="s">
        <v>41</v>
      </c>
      <c r="M9" s="42">
        <f>I135</f>
        <v>86904.844076693189</v>
      </c>
      <c r="N9" s="63">
        <f t="shared" si="0"/>
        <v>31045062335.000019</v>
      </c>
      <c r="O9" s="9"/>
    </row>
    <row r="10" spans="1:15" ht="15" customHeight="1" x14ac:dyDescent="0.45">
      <c r="A10" s="9"/>
      <c r="B10" s="207"/>
      <c r="C10" s="208"/>
      <c r="D10" s="32" t="s">
        <v>132</v>
      </c>
      <c r="E10" s="36">
        <v>7.4999999999999997E-2</v>
      </c>
      <c r="F10" s="9"/>
      <c r="G10" s="72" t="s">
        <v>38</v>
      </c>
      <c r="H10" s="73" t="s">
        <v>39</v>
      </c>
      <c r="I10" s="41">
        <f>I110</f>
        <v>0.18280625275018478</v>
      </c>
      <c r="J10" s="8"/>
      <c r="K10" s="10"/>
      <c r="L10" s="10"/>
      <c r="M10" s="3"/>
      <c r="N10" s="8"/>
      <c r="O10" s="9"/>
    </row>
    <row r="11" spans="1:15" ht="15" customHeight="1" x14ac:dyDescent="0.45">
      <c r="A11" s="9"/>
      <c r="B11" s="207"/>
      <c r="C11" s="208"/>
      <c r="D11" s="32" t="s">
        <v>133</v>
      </c>
      <c r="E11" s="36">
        <v>0.5</v>
      </c>
      <c r="F11" s="3"/>
      <c r="G11" s="10"/>
      <c r="H11" s="10"/>
      <c r="I11" s="3"/>
      <c r="J11" s="8"/>
      <c r="K11" s="8"/>
      <c r="L11" s="8"/>
      <c r="M11" s="8"/>
      <c r="N11" s="8"/>
      <c r="O11" s="9"/>
    </row>
    <row r="12" spans="1:15" ht="15" customHeight="1" x14ac:dyDescent="0.45">
      <c r="A12" s="8"/>
      <c r="B12" s="10"/>
      <c r="C12" s="8"/>
      <c r="D12" s="10"/>
      <c r="E12" s="3"/>
      <c r="F12" s="3"/>
      <c r="G12" s="10"/>
      <c r="H12" s="10"/>
      <c r="I12" s="3"/>
      <c r="J12" s="8"/>
      <c r="K12" s="8"/>
      <c r="L12" s="8"/>
      <c r="M12" s="8"/>
      <c r="N12" s="8"/>
      <c r="O12" s="8"/>
    </row>
    <row r="13" spans="1:15" ht="15" customHeight="1" x14ac:dyDescent="0.45">
      <c r="B13" s="209" t="s">
        <v>52</v>
      </c>
      <c r="C13" s="209" t="s">
        <v>50</v>
      </c>
      <c r="D13" s="209" t="s">
        <v>51</v>
      </c>
      <c r="E13" s="174" t="s">
        <v>3</v>
      </c>
      <c r="F13" s="174" t="s">
        <v>4</v>
      </c>
      <c r="G13" s="174" t="s">
        <v>5</v>
      </c>
      <c r="H13" s="174" t="s">
        <v>6</v>
      </c>
      <c r="I13" s="174" t="s">
        <v>7</v>
      </c>
      <c r="J13" s="174" t="s">
        <v>8</v>
      </c>
      <c r="K13" s="174" t="s">
        <v>9</v>
      </c>
      <c r="L13" s="174" t="s">
        <v>10</v>
      </c>
      <c r="M13" s="174" t="s">
        <v>11</v>
      </c>
      <c r="N13" s="174" t="s">
        <v>12</v>
      </c>
    </row>
    <row r="14" spans="1:15" ht="15" customHeight="1" x14ac:dyDescent="0.45">
      <c r="B14" s="210"/>
      <c r="C14" s="210"/>
      <c r="D14" s="210"/>
      <c r="E14" s="175"/>
      <c r="F14" s="175"/>
      <c r="G14" s="175"/>
      <c r="H14" s="175"/>
      <c r="I14" s="175"/>
      <c r="J14" s="175"/>
      <c r="K14" s="175"/>
      <c r="L14" s="175"/>
      <c r="M14" s="175"/>
      <c r="N14" s="175"/>
    </row>
    <row r="15" spans="1:15" ht="15" customHeight="1" x14ac:dyDescent="0.45">
      <c r="B15" s="184" t="s">
        <v>20</v>
      </c>
      <c r="C15" s="184" t="s">
        <v>33</v>
      </c>
      <c r="D15" s="19" t="s">
        <v>48</v>
      </c>
      <c r="E15" s="21">
        <f>($E$4 * $E$5) + $E$4</f>
        <v>129000</v>
      </c>
      <c r="F15" s="21">
        <f t="shared" ref="F15:N15" si="1">(E15 * $E$5) + E15</f>
        <v>166410</v>
      </c>
      <c r="G15" s="21">
        <f t="shared" si="1"/>
        <v>214668.9</v>
      </c>
      <c r="H15" s="21">
        <f t="shared" si="1"/>
        <v>276922.88099999999</v>
      </c>
      <c r="I15" s="21">
        <f t="shared" si="1"/>
        <v>357230.51648999995</v>
      </c>
      <c r="J15" s="21">
        <f t="shared" si="1"/>
        <v>460827.3662720999</v>
      </c>
      <c r="K15" s="21">
        <f t="shared" si="1"/>
        <v>594467.30249100889</v>
      </c>
      <c r="L15" s="21">
        <f t="shared" si="1"/>
        <v>766862.82021340146</v>
      </c>
      <c r="M15" s="21">
        <f t="shared" si="1"/>
        <v>989253.03807528783</v>
      </c>
      <c r="N15" s="21">
        <f t="shared" si="1"/>
        <v>1276136.4191171213</v>
      </c>
    </row>
    <row r="16" spans="1:15" ht="15" customHeight="1" x14ac:dyDescent="0.45">
      <c r="B16" s="186"/>
      <c r="C16" s="186"/>
      <c r="D16" s="19" t="s">
        <v>49</v>
      </c>
      <c r="E16" s="25">
        <f>E15*21000000</f>
        <v>2709000000000</v>
      </c>
      <c r="F16" s="25">
        <f t="shared" ref="F16:N16" si="2">F15*21000000</f>
        <v>3494610000000</v>
      </c>
      <c r="G16" s="25">
        <f t="shared" si="2"/>
        <v>4508046900000</v>
      </c>
      <c r="H16" s="25">
        <f t="shared" si="2"/>
        <v>5815380501000</v>
      </c>
      <c r="I16" s="25">
        <f t="shared" si="2"/>
        <v>7501840846289.999</v>
      </c>
      <c r="J16" s="25">
        <f t="shared" si="2"/>
        <v>9677374691714.0977</v>
      </c>
      <c r="K16" s="25">
        <f t="shared" si="2"/>
        <v>12483813352311.188</v>
      </c>
      <c r="L16" s="25">
        <f t="shared" si="2"/>
        <v>16104119224481.43</v>
      </c>
      <c r="M16" s="25">
        <f t="shared" si="2"/>
        <v>20774313799581.043</v>
      </c>
      <c r="N16" s="25">
        <f t="shared" si="2"/>
        <v>26798864801459.547</v>
      </c>
    </row>
    <row r="17" spans="1:15" ht="15" customHeight="1" x14ac:dyDescent="0.45">
      <c r="B17" s="184" t="s">
        <v>16</v>
      </c>
      <c r="C17" s="202" t="s">
        <v>32</v>
      </c>
      <c r="D17" s="19" t="s">
        <v>124</v>
      </c>
      <c r="E17" s="26">
        <f>(E15-$E4)/E15</f>
        <v>0.22480620155038761</v>
      </c>
      <c r="F17" s="26">
        <f t="shared" ref="F17:N17" si="3">(F15-$E4)/F15</f>
        <v>0.39907457484526171</v>
      </c>
      <c r="G17" s="26">
        <f t="shared" si="3"/>
        <v>0.53416633708935013</v>
      </c>
      <c r="H17" s="26">
        <f t="shared" si="3"/>
        <v>0.63888863340259705</v>
      </c>
      <c r="I17" s="26">
        <f t="shared" si="3"/>
        <v>0.72006870806402867</v>
      </c>
      <c r="J17" s="26">
        <f t="shared" si="3"/>
        <v>0.78299899849924703</v>
      </c>
      <c r="K17" s="26">
        <f t="shared" si="3"/>
        <v>0.8317821693792613</v>
      </c>
      <c r="L17" s="26">
        <f t="shared" si="3"/>
        <v>0.86959858091415598</v>
      </c>
      <c r="M17" s="26">
        <f t="shared" si="3"/>
        <v>0.89891362861562485</v>
      </c>
      <c r="N17" s="26">
        <f t="shared" si="3"/>
        <v>0.92163847179505798</v>
      </c>
    </row>
    <row r="18" spans="1:15" ht="15" customHeight="1" x14ac:dyDescent="0.45">
      <c r="B18" s="185"/>
      <c r="C18" s="203"/>
      <c r="D18" s="19" t="s">
        <v>125</v>
      </c>
      <c r="E18" s="26">
        <f>1-E17</f>
        <v>0.77519379844961245</v>
      </c>
      <c r="F18" s="26">
        <f t="shared" ref="F18:N18" si="4">1-F17</f>
        <v>0.60092542515473824</v>
      </c>
      <c r="G18" s="26">
        <f t="shared" si="4"/>
        <v>0.46583366291064987</v>
      </c>
      <c r="H18" s="26">
        <f t="shared" si="4"/>
        <v>0.36111136659740295</v>
      </c>
      <c r="I18" s="26">
        <f t="shared" si="4"/>
        <v>0.27993129193597133</v>
      </c>
      <c r="J18" s="26">
        <f t="shared" si="4"/>
        <v>0.21700100150075297</v>
      </c>
      <c r="K18" s="26">
        <f t="shared" si="4"/>
        <v>0.1682178306207387</v>
      </c>
      <c r="L18" s="26">
        <f t="shared" si="4"/>
        <v>0.13040141908584402</v>
      </c>
      <c r="M18" s="26">
        <f t="shared" si="4"/>
        <v>0.10108637138437515</v>
      </c>
      <c r="N18" s="26">
        <f t="shared" si="4"/>
        <v>7.8361528204942021E-2</v>
      </c>
    </row>
    <row r="19" spans="1:15" ht="15" customHeight="1" x14ac:dyDescent="0.45">
      <c r="B19" s="185"/>
      <c r="C19" s="203"/>
      <c r="D19" s="19" t="s">
        <v>126</v>
      </c>
      <c r="E19" s="78">
        <f>E17</f>
        <v>0.22480620155038761</v>
      </c>
      <c r="F19" s="78">
        <f t="shared" ref="F19:N19" si="5">F17-E17</f>
        <v>0.1742683732948741</v>
      </c>
      <c r="G19" s="78">
        <f>G17-F17</f>
        <v>0.13509176224408842</v>
      </c>
      <c r="H19" s="78">
        <f t="shared" si="5"/>
        <v>0.10472229631324692</v>
      </c>
      <c r="I19" s="78">
        <f t="shared" si="5"/>
        <v>8.1180074661431623E-2</v>
      </c>
      <c r="J19" s="78">
        <f>J17-I17</f>
        <v>6.2930290435218361E-2</v>
      </c>
      <c r="K19" s="78">
        <f t="shared" si="5"/>
        <v>4.878317088001427E-2</v>
      </c>
      <c r="L19" s="78">
        <f t="shared" si="5"/>
        <v>3.7816411534894678E-2</v>
      </c>
      <c r="M19" s="78">
        <f t="shared" si="5"/>
        <v>2.9315047701468866E-2</v>
      </c>
      <c r="N19" s="78">
        <f t="shared" si="5"/>
        <v>2.272484317943313E-2</v>
      </c>
    </row>
    <row r="20" spans="1:15" ht="15" customHeight="1" x14ac:dyDescent="0.45">
      <c r="B20" s="185"/>
      <c r="C20" s="203"/>
      <c r="D20" s="19" t="s">
        <v>127</v>
      </c>
      <c r="E20" s="78"/>
      <c r="F20" s="78"/>
      <c r="G20" s="78"/>
      <c r="H20" s="78"/>
      <c r="I20" s="78">
        <f>AVERAGE(E19:I19)</f>
        <v>0.14401374161280572</v>
      </c>
      <c r="J20" s="26"/>
      <c r="K20" s="26"/>
      <c r="L20" s="26"/>
      <c r="M20" s="26"/>
      <c r="N20" s="78">
        <f>AVERAGE(E19:N19)</f>
        <v>9.2163847179505792E-2</v>
      </c>
    </row>
    <row r="21" spans="1:15" ht="15" customHeight="1" x14ac:dyDescent="0.45">
      <c r="B21" s="185"/>
      <c r="C21" s="203"/>
      <c r="D21" s="19" t="s">
        <v>128</v>
      </c>
      <c r="E21" s="78">
        <f>$E$11*E19</f>
        <v>0.1124031007751938</v>
      </c>
      <c r="F21" s="78">
        <f t="shared" ref="F21:N21" si="6">$E$11*F19</f>
        <v>8.7134186647437051E-2</v>
      </c>
      <c r="G21" s="78">
        <f t="shared" si="6"/>
        <v>6.754588112204421E-2</v>
      </c>
      <c r="H21" s="78">
        <f t="shared" si="6"/>
        <v>5.236114815662346E-2</v>
      </c>
      <c r="I21" s="78">
        <f t="shared" si="6"/>
        <v>4.0590037330715811E-2</v>
      </c>
      <c r="J21" s="78">
        <f t="shared" si="6"/>
        <v>3.1465145217609181E-2</v>
      </c>
      <c r="K21" s="78">
        <f t="shared" si="6"/>
        <v>2.4391585440007135E-2</v>
      </c>
      <c r="L21" s="78">
        <f t="shared" si="6"/>
        <v>1.8908205767447339E-2</v>
      </c>
      <c r="M21" s="78">
        <f t="shared" si="6"/>
        <v>1.4657523850734433E-2</v>
      </c>
      <c r="N21" s="78">
        <f t="shared" si="6"/>
        <v>1.1362421589716565E-2</v>
      </c>
    </row>
    <row r="22" spans="1:15" ht="15" customHeight="1" x14ac:dyDescent="0.45">
      <c r="B22" s="185"/>
      <c r="C22" s="203"/>
      <c r="D22" s="19" t="s">
        <v>129</v>
      </c>
      <c r="E22" s="78"/>
      <c r="F22" s="78"/>
      <c r="G22" s="78"/>
      <c r="H22" s="78"/>
      <c r="I22" s="78">
        <f>AVERAGE(E21:I21)</f>
        <v>7.2006870806402862E-2</v>
      </c>
      <c r="J22" s="26"/>
      <c r="K22" s="26"/>
      <c r="L22" s="26"/>
      <c r="M22" s="26"/>
      <c r="N22" s="78">
        <f>AVERAGE(E21:N21)</f>
        <v>4.6081923589752896E-2</v>
      </c>
    </row>
    <row r="23" spans="1:15" ht="15" customHeight="1" x14ac:dyDescent="0.45">
      <c r="B23" s="185"/>
      <c r="C23" s="203"/>
      <c r="D23" s="15" t="s">
        <v>58</v>
      </c>
      <c r="E23" s="17">
        <f>E19+E21</f>
        <v>0.33720930232558144</v>
      </c>
      <c r="F23" s="17">
        <f t="shared" ref="F23:N23" si="7">F19+F21</f>
        <v>0.26140255994231115</v>
      </c>
      <c r="G23" s="17">
        <f t="shared" si="7"/>
        <v>0.20263764336613263</v>
      </c>
      <c r="H23" s="17">
        <f t="shared" si="7"/>
        <v>0.15708344446987038</v>
      </c>
      <c r="I23" s="17">
        <f t="shared" si="7"/>
        <v>0.12177011199214743</v>
      </c>
      <c r="J23" s="17">
        <f t="shared" si="7"/>
        <v>9.4395435652827542E-2</v>
      </c>
      <c r="K23" s="17">
        <f t="shared" si="7"/>
        <v>7.3174756320021406E-2</v>
      </c>
      <c r="L23" s="17">
        <f t="shared" si="7"/>
        <v>5.6724617302342017E-2</v>
      </c>
      <c r="M23" s="17">
        <f t="shared" si="7"/>
        <v>4.3972571552203299E-2</v>
      </c>
      <c r="N23" s="17">
        <f t="shared" si="7"/>
        <v>3.4087264769149694E-2</v>
      </c>
    </row>
    <row r="24" spans="1:15" ht="15" customHeight="1" x14ac:dyDescent="0.45">
      <c r="B24" s="186"/>
      <c r="C24" s="204"/>
      <c r="D24" s="15" t="s">
        <v>59</v>
      </c>
      <c r="E24" s="17"/>
      <c r="F24" s="17"/>
      <c r="G24" s="17"/>
      <c r="H24" s="17"/>
      <c r="I24" s="17">
        <f>AVERAGE(E23:I23)</f>
        <v>0.21602061241920864</v>
      </c>
      <c r="J24" s="16"/>
      <c r="K24" s="16"/>
      <c r="L24" s="16"/>
      <c r="M24" s="16"/>
      <c r="N24" s="17">
        <f>AVERAGE(E23:N23)</f>
        <v>0.1382457707692587</v>
      </c>
    </row>
    <row r="25" spans="1:15" ht="15" customHeight="1" x14ac:dyDescent="0.45">
      <c r="B25" s="184" t="s">
        <v>137</v>
      </c>
      <c r="C25" s="202" t="s">
        <v>32</v>
      </c>
      <c r="D25" s="15" t="s">
        <v>43</v>
      </c>
      <c r="E25" s="17">
        <f>((1+$E$11)*$E$6)+($E$6*E18)</f>
        <v>4.5503875968992247E-2</v>
      </c>
      <c r="F25" s="17">
        <f t="shared" ref="F25:N25" si="8">((1+$E$11)*$E$6)+($E$6*F18)</f>
        <v>4.2018508503094763E-2</v>
      </c>
      <c r="G25" s="17">
        <f t="shared" si="8"/>
        <v>3.9316673258212996E-2</v>
      </c>
      <c r="H25" s="17">
        <f t="shared" si="8"/>
        <v>3.7222227331948056E-2</v>
      </c>
      <c r="I25" s="17">
        <f>((1+$E$11)*$E$6)+($E$6*I18)</f>
        <v>3.5598625838719422E-2</v>
      </c>
      <c r="J25" s="17">
        <f t="shared" si="8"/>
        <v>3.4340020030015059E-2</v>
      </c>
      <c r="K25" s="17">
        <f t="shared" si="8"/>
        <v>3.3364356612414769E-2</v>
      </c>
      <c r="L25" s="17">
        <f t="shared" si="8"/>
        <v>3.2608028381716878E-2</v>
      </c>
      <c r="M25" s="17">
        <f t="shared" si="8"/>
        <v>3.2021727427687503E-2</v>
      </c>
      <c r="N25" s="17">
        <f t="shared" si="8"/>
        <v>3.1567230564098839E-2</v>
      </c>
    </row>
    <row r="26" spans="1:15" ht="15" customHeight="1" x14ac:dyDescent="0.45">
      <c r="B26" s="185"/>
      <c r="C26" s="203"/>
      <c r="D26" s="15" t="s">
        <v>44</v>
      </c>
      <c r="E26" s="17"/>
      <c r="F26" s="17"/>
      <c r="G26" s="17"/>
      <c r="H26" s="17"/>
      <c r="I26" s="17">
        <f>AVERAGE(E25:I25)</f>
        <v>3.9931982180193497E-2</v>
      </c>
      <c r="J26" s="16"/>
      <c r="K26" s="16"/>
      <c r="L26" s="16"/>
      <c r="M26" s="16"/>
      <c r="N26" s="17">
        <f>AVERAGE(E25:N25)</f>
        <v>3.635612739169005E-2</v>
      </c>
    </row>
    <row r="27" spans="1:15" ht="15" customHeight="1" x14ac:dyDescent="0.45">
      <c r="B27" s="185"/>
      <c r="C27" s="203"/>
      <c r="D27" s="19" t="s">
        <v>42</v>
      </c>
      <c r="E27" s="78">
        <f>E25</f>
        <v>4.5503875968992247E-2</v>
      </c>
      <c r="F27" s="78">
        <f>E27+F25</f>
        <v>8.7522384472087017E-2</v>
      </c>
      <c r="G27" s="78">
        <f>F27+G25</f>
        <v>0.12683905773030002</v>
      </c>
      <c r="H27" s="78">
        <f t="shared" ref="H27" si="9">G27+H25</f>
        <v>0.16406128506224807</v>
      </c>
      <c r="I27" s="78">
        <f t="shared" ref="I27" si="10">H27+I25</f>
        <v>0.19965991090096749</v>
      </c>
      <c r="J27" s="78">
        <f>I27+J25</f>
        <v>0.23399993093098254</v>
      </c>
      <c r="K27" s="78">
        <f t="shared" ref="K27" si="11">J27+K25</f>
        <v>0.26736428754339731</v>
      </c>
      <c r="L27" s="78">
        <f t="shared" ref="L27" si="12">K27+L25</f>
        <v>0.2999723159251142</v>
      </c>
      <c r="M27" s="78">
        <f t="shared" ref="M27" si="13">L27+M25</f>
        <v>0.33199404335280169</v>
      </c>
      <c r="N27" s="78">
        <f t="shared" ref="N27" si="14">M27+N25</f>
        <v>0.36356127391690052</v>
      </c>
    </row>
    <row r="28" spans="1:15" ht="15" customHeight="1" x14ac:dyDescent="0.45">
      <c r="B28" s="184" t="s">
        <v>17</v>
      </c>
      <c r="C28" s="202" t="s">
        <v>32</v>
      </c>
      <c r="D28" s="15" t="s">
        <v>43</v>
      </c>
      <c r="E28" s="17">
        <f t="shared" ref="E28:N28" si="15">((1+$E$11)*$E$7)+($E$7*E18)</f>
        <v>2.2751937984496123E-2</v>
      </c>
      <c r="F28" s="17">
        <f t="shared" si="15"/>
        <v>2.1009254251547382E-2</v>
      </c>
      <c r="G28" s="17">
        <f t="shared" si="15"/>
        <v>1.9658336629106498E-2</v>
      </c>
      <c r="H28" s="17">
        <f t="shared" si="15"/>
        <v>1.8611113665974028E-2</v>
      </c>
      <c r="I28" s="17">
        <f t="shared" si="15"/>
        <v>1.7799312919359711E-2</v>
      </c>
      <c r="J28" s="17">
        <f t="shared" si="15"/>
        <v>1.7170010015007529E-2</v>
      </c>
      <c r="K28" s="17">
        <f t="shared" si="15"/>
        <v>1.6682178306207385E-2</v>
      </c>
      <c r="L28" s="17">
        <f t="shared" si="15"/>
        <v>1.6304014190858439E-2</v>
      </c>
      <c r="M28" s="17">
        <f t="shared" si="15"/>
        <v>1.6010863713843752E-2</v>
      </c>
      <c r="N28" s="17">
        <f t="shared" si="15"/>
        <v>1.5783615282049419E-2</v>
      </c>
    </row>
    <row r="29" spans="1:15" ht="15" customHeight="1" x14ac:dyDescent="0.45">
      <c r="B29" s="185"/>
      <c r="C29" s="203"/>
      <c r="D29" s="15" t="s">
        <v>44</v>
      </c>
      <c r="E29" s="17"/>
      <c r="F29" s="17"/>
      <c r="G29" s="17"/>
      <c r="H29" s="17"/>
      <c r="I29" s="17">
        <f>AVERAGE(E28:I28)</f>
        <v>1.9965991090096748E-2</v>
      </c>
      <c r="J29" s="16"/>
      <c r="K29" s="16"/>
      <c r="L29" s="16"/>
      <c r="M29" s="16"/>
      <c r="N29" s="17">
        <f>AVERAGE(E28:N28)</f>
        <v>1.8178063695845025E-2</v>
      </c>
    </row>
    <row r="30" spans="1:15" ht="15" customHeight="1" x14ac:dyDescent="0.45">
      <c r="B30" s="185"/>
      <c r="C30" s="203"/>
      <c r="D30" s="19" t="s">
        <v>42</v>
      </c>
      <c r="E30" s="78">
        <f>E28</f>
        <v>2.2751937984496123E-2</v>
      </c>
      <c r="F30" s="78">
        <f t="shared" ref="F30:N30" si="16">E30+F28</f>
        <v>4.3761192236043508E-2</v>
      </c>
      <c r="G30" s="78">
        <f>F30+G28</f>
        <v>6.341952886515001E-2</v>
      </c>
      <c r="H30" s="78">
        <f t="shared" si="16"/>
        <v>8.2030642531124034E-2</v>
      </c>
      <c r="I30" s="78">
        <f t="shared" si="16"/>
        <v>9.9829955450483746E-2</v>
      </c>
      <c r="J30" s="78">
        <f>I30+J28</f>
        <v>0.11699996546549127</v>
      </c>
      <c r="K30" s="78">
        <f t="shared" si="16"/>
        <v>0.13368214377169865</v>
      </c>
      <c r="L30" s="78">
        <f t="shared" si="16"/>
        <v>0.1499861579625571</v>
      </c>
      <c r="M30" s="78">
        <f t="shared" si="16"/>
        <v>0.16599702167640085</v>
      </c>
      <c r="N30" s="78">
        <f t="shared" si="16"/>
        <v>0.18178063695845026</v>
      </c>
    </row>
    <row r="31" spans="1:15" ht="15" customHeight="1" x14ac:dyDescent="0.45">
      <c r="B31" s="3"/>
      <c r="C31" s="1"/>
      <c r="D31" s="43"/>
      <c r="E31" s="31"/>
      <c r="F31" s="31"/>
      <c r="G31" s="31"/>
      <c r="H31" s="31"/>
      <c r="I31" s="31"/>
      <c r="J31" s="31"/>
      <c r="K31" s="31"/>
      <c r="L31" s="31"/>
      <c r="M31" s="31"/>
      <c r="N31" s="31"/>
    </row>
    <row r="32" spans="1:15" ht="15" customHeight="1" x14ac:dyDescent="0.45">
      <c r="A32" s="8"/>
      <c r="B32" s="194" t="s">
        <v>114</v>
      </c>
      <c r="C32" s="196" t="s">
        <v>21</v>
      </c>
      <c r="D32" s="198" t="str">
        <f>"10 BTC / "&amp;TEXT($E$4*10, "$###0.00,,")&amp;"M USD"</f>
        <v>10 BTC / $1.00M USD</v>
      </c>
      <c r="E32" s="174" t="s">
        <v>3</v>
      </c>
      <c r="F32" s="174" t="s">
        <v>4</v>
      </c>
      <c r="G32" s="174" t="s">
        <v>5</v>
      </c>
      <c r="H32" s="174" t="s">
        <v>6</v>
      </c>
      <c r="I32" s="174" t="s">
        <v>7</v>
      </c>
      <c r="J32" s="174" t="s">
        <v>8</v>
      </c>
      <c r="K32" s="174" t="s">
        <v>9</v>
      </c>
      <c r="L32" s="174" t="s">
        <v>10</v>
      </c>
      <c r="M32" s="174" t="s">
        <v>11</v>
      </c>
      <c r="N32" s="174" t="s">
        <v>12</v>
      </c>
      <c r="O32" s="8"/>
    </row>
    <row r="33" spans="2:14" ht="15" customHeight="1" x14ac:dyDescent="0.45">
      <c r="B33" s="195"/>
      <c r="C33" s="197"/>
      <c r="D33" s="199"/>
      <c r="E33" s="175"/>
      <c r="F33" s="175"/>
      <c r="G33" s="175"/>
      <c r="H33" s="175"/>
      <c r="I33" s="175"/>
      <c r="J33" s="175"/>
      <c r="K33" s="175"/>
      <c r="L33" s="175"/>
      <c r="M33" s="175"/>
      <c r="N33" s="175"/>
    </row>
    <row r="34" spans="2:14" ht="15" customHeight="1" x14ac:dyDescent="0.45">
      <c r="B34" s="184" t="s">
        <v>137</v>
      </c>
      <c r="C34" s="192" t="s">
        <v>32</v>
      </c>
      <c r="D34" s="15" t="s">
        <v>58</v>
      </c>
      <c r="E34" s="16">
        <f>E39*$E$4/E$15</f>
        <v>7.7519379844961239E-2</v>
      </c>
      <c r="F34" s="16">
        <f t="shared" ref="F34:N34" si="17">F39*$E$4/F$15</f>
        <v>6.0092542515473829E-2</v>
      </c>
      <c r="G34" s="16">
        <f t="shared" si="17"/>
        <v>4.6583366291064986E-2</v>
      </c>
      <c r="H34" s="16">
        <f t="shared" si="17"/>
        <v>3.6111136659740299E-2</v>
      </c>
      <c r="I34" s="16">
        <f t="shared" si="17"/>
        <v>2.7993129193597133E-2</v>
      </c>
      <c r="J34" s="16">
        <f t="shared" si="17"/>
        <v>2.1700100150075299E-2</v>
      </c>
      <c r="K34" s="16">
        <f t="shared" si="17"/>
        <v>1.6821783062073874E-2</v>
      </c>
      <c r="L34" s="16">
        <f t="shared" si="17"/>
        <v>1.3040141908584399E-2</v>
      </c>
      <c r="M34" s="16">
        <f t="shared" si="17"/>
        <v>1.010863713843752E-2</v>
      </c>
      <c r="N34" s="16">
        <f t="shared" si="17"/>
        <v>7.8361528204942011E-3</v>
      </c>
    </row>
    <row r="35" spans="2:14" ht="15" customHeight="1" x14ac:dyDescent="0.45">
      <c r="B35" s="185"/>
      <c r="C35" s="192"/>
      <c r="D35" s="15" t="s">
        <v>59</v>
      </c>
      <c r="E35" s="16"/>
      <c r="F35" s="16"/>
      <c r="G35" s="16"/>
      <c r="H35" s="16"/>
      <c r="I35" s="80">
        <f>AVERAGE(E34:I34)</f>
        <v>4.9659910900967504E-2</v>
      </c>
      <c r="J35" s="16"/>
      <c r="K35" s="16"/>
      <c r="L35" s="16"/>
      <c r="M35" s="16"/>
      <c r="N35" s="17">
        <f>AVERAGE(E34:N34)</f>
        <v>3.1780636958450278E-2</v>
      </c>
    </row>
    <row r="36" spans="2:14" ht="15" customHeight="1" x14ac:dyDescent="0.45">
      <c r="B36" s="185"/>
      <c r="C36" s="192"/>
      <c r="D36" s="15" t="s">
        <v>42</v>
      </c>
      <c r="E36" s="16">
        <f t="shared" ref="E36:N36" si="18">E$17*(E34/E$19)</f>
        <v>7.7519379844961239E-2</v>
      </c>
      <c r="F36" s="16">
        <f t="shared" si="18"/>
        <v>0.13761192236043507</v>
      </c>
      <c r="G36" s="16">
        <f>G$17*(G34/G$19)</f>
        <v>0.18419528865150009</v>
      </c>
      <c r="H36" s="16">
        <f>H$17*(H34/H$19)</f>
        <v>0.22030642531124023</v>
      </c>
      <c r="I36" s="16">
        <f>I$17*(I34/I$19)</f>
        <v>0.24829955450483765</v>
      </c>
      <c r="J36" s="16">
        <f t="shared" si="18"/>
        <v>0.26999965465491277</v>
      </c>
      <c r="K36" s="16">
        <f t="shared" si="18"/>
        <v>0.28682143771698643</v>
      </c>
      <c r="L36" s="16">
        <f t="shared" si="18"/>
        <v>0.29986157962557164</v>
      </c>
      <c r="M36" s="16">
        <f t="shared" si="18"/>
        <v>0.30997021676400793</v>
      </c>
      <c r="N36" s="16">
        <f t="shared" si="18"/>
        <v>0.31780636958450348</v>
      </c>
    </row>
    <row r="37" spans="2:14" ht="15" customHeight="1" x14ac:dyDescent="0.45">
      <c r="B37" s="185"/>
      <c r="C37" s="193"/>
      <c r="D37" s="19" t="s">
        <v>45</v>
      </c>
      <c r="E37" s="20">
        <f t="shared" ref="E37:N37" si="19">10*E34</f>
        <v>0.77519379844961245</v>
      </c>
      <c r="F37" s="20">
        <f t="shared" si="19"/>
        <v>0.60092542515473824</v>
      </c>
      <c r="G37" s="20">
        <f t="shared" si="19"/>
        <v>0.46583366291064987</v>
      </c>
      <c r="H37" s="20">
        <f t="shared" si="19"/>
        <v>0.36111136659740301</v>
      </c>
      <c r="I37" s="20">
        <f t="shared" si="19"/>
        <v>0.27993129193597133</v>
      </c>
      <c r="J37" s="20">
        <f t="shared" si="19"/>
        <v>0.21700100150075299</v>
      </c>
      <c r="K37" s="20">
        <f t="shared" si="19"/>
        <v>0.16821783062073875</v>
      </c>
      <c r="L37" s="20">
        <f t="shared" si="19"/>
        <v>0.13040141908584399</v>
      </c>
      <c r="M37" s="20">
        <f t="shared" si="19"/>
        <v>0.10108637138437521</v>
      </c>
      <c r="N37" s="20">
        <f t="shared" si="19"/>
        <v>7.8361528204942008E-2</v>
      </c>
    </row>
    <row r="38" spans="2:14" ht="15" customHeight="1" x14ac:dyDescent="0.45">
      <c r="B38" s="185"/>
      <c r="C38" s="193"/>
      <c r="D38" s="19" t="s">
        <v>46</v>
      </c>
      <c r="E38" s="20">
        <f>10*E36</f>
        <v>0.77519379844961245</v>
      </c>
      <c r="F38" s="20">
        <f>10*F36</f>
        <v>1.3761192236043507</v>
      </c>
      <c r="G38" s="20">
        <f>10*G36</f>
        <v>1.841952886515001</v>
      </c>
      <c r="H38" s="20">
        <f t="shared" ref="H38:N38" si="20">10*H36</f>
        <v>2.2030642531124025</v>
      </c>
      <c r="I38" s="20">
        <f t="shared" si="20"/>
        <v>2.4829955450483765</v>
      </c>
      <c r="J38" s="20">
        <f t="shared" si="20"/>
        <v>2.6999965465491278</v>
      </c>
      <c r="K38" s="20">
        <f t="shared" si="20"/>
        <v>2.8682143771698643</v>
      </c>
      <c r="L38" s="20">
        <f t="shared" si="20"/>
        <v>2.9986157962557165</v>
      </c>
      <c r="M38" s="20">
        <f t="shared" si="20"/>
        <v>3.0997021676400793</v>
      </c>
      <c r="N38" s="20">
        <f t="shared" si="20"/>
        <v>3.1780636958450348</v>
      </c>
    </row>
    <row r="39" spans="2:14" ht="15" customHeight="1" x14ac:dyDescent="0.45">
      <c r="B39" s="185"/>
      <c r="C39" s="191" t="s">
        <v>36</v>
      </c>
      <c r="D39" s="15" t="s">
        <v>43</v>
      </c>
      <c r="E39" s="16">
        <f>E8</f>
        <v>0.1</v>
      </c>
      <c r="F39" s="16">
        <f>E39</f>
        <v>0.1</v>
      </c>
      <c r="G39" s="16">
        <f t="shared" ref="G39:N39" si="21">F39</f>
        <v>0.1</v>
      </c>
      <c r="H39" s="16">
        <f t="shared" si="21"/>
        <v>0.1</v>
      </c>
      <c r="I39" s="16">
        <f t="shared" si="21"/>
        <v>0.1</v>
      </c>
      <c r="J39" s="16">
        <f t="shared" si="21"/>
        <v>0.1</v>
      </c>
      <c r="K39" s="16">
        <f t="shared" si="21"/>
        <v>0.1</v>
      </c>
      <c r="L39" s="16">
        <f t="shared" si="21"/>
        <v>0.1</v>
      </c>
      <c r="M39" s="16">
        <f t="shared" si="21"/>
        <v>0.1</v>
      </c>
      <c r="N39" s="16">
        <f t="shared" si="21"/>
        <v>0.1</v>
      </c>
    </row>
    <row r="40" spans="2:14" ht="15" customHeight="1" x14ac:dyDescent="0.45">
      <c r="B40" s="185"/>
      <c r="C40" s="193"/>
      <c r="D40" s="19" t="s">
        <v>45</v>
      </c>
      <c r="E40" s="21">
        <f>E37*E$15</f>
        <v>100000</v>
      </c>
      <c r="F40" s="21">
        <f t="shared" ref="F40:N40" si="22">F37*F$15</f>
        <v>99999.999999999985</v>
      </c>
      <c r="G40" s="21">
        <f>G37*G$15</f>
        <v>100000</v>
      </c>
      <c r="H40" s="21">
        <f>H37*H$15</f>
        <v>100000</v>
      </c>
      <c r="I40" s="21">
        <f>I37*I$15</f>
        <v>100000</v>
      </c>
      <c r="J40" s="21">
        <f t="shared" si="22"/>
        <v>100000</v>
      </c>
      <c r="K40" s="21">
        <f t="shared" si="22"/>
        <v>100000</v>
      </c>
      <c r="L40" s="21">
        <f t="shared" si="22"/>
        <v>100000</v>
      </c>
      <c r="M40" s="21">
        <f t="shared" si="22"/>
        <v>100000.00000000001</v>
      </c>
      <c r="N40" s="21">
        <f t="shared" si="22"/>
        <v>99999.999999999985</v>
      </c>
    </row>
    <row r="41" spans="2:14" ht="15" customHeight="1" x14ac:dyDescent="0.45">
      <c r="B41" s="185"/>
      <c r="C41" s="193"/>
      <c r="D41" s="19" t="s">
        <v>46</v>
      </c>
      <c r="E41" s="21">
        <f>E40</f>
        <v>100000</v>
      </c>
      <c r="F41" s="21">
        <f>E41+F40</f>
        <v>200000</v>
      </c>
      <c r="G41" s="21">
        <f>F41+G40</f>
        <v>300000</v>
      </c>
      <c r="H41" s="21">
        <f t="shared" ref="H41:N41" si="23">G41+H40</f>
        <v>400000</v>
      </c>
      <c r="I41" s="21">
        <f t="shared" si="23"/>
        <v>500000</v>
      </c>
      <c r="J41" s="21">
        <f>I41+J40</f>
        <v>600000</v>
      </c>
      <c r="K41" s="21">
        <f t="shared" si="23"/>
        <v>700000</v>
      </c>
      <c r="L41" s="21">
        <f t="shared" si="23"/>
        <v>800000</v>
      </c>
      <c r="M41" s="21">
        <f t="shared" si="23"/>
        <v>900000</v>
      </c>
      <c r="N41" s="21">
        <f t="shared" si="23"/>
        <v>1000000</v>
      </c>
    </row>
    <row r="42" spans="2:14" ht="15" customHeight="1" x14ac:dyDescent="0.45">
      <c r="B42" s="185"/>
      <c r="C42" s="191" t="s">
        <v>35</v>
      </c>
      <c r="D42" s="15" t="s">
        <v>43</v>
      </c>
      <c r="E42" s="16">
        <f>E36*E$15/$E$4</f>
        <v>0.1</v>
      </c>
      <c r="F42" s="16">
        <f>F36*F$15/$E$4-E42</f>
        <v>0.129</v>
      </c>
      <c r="G42" s="16">
        <f>G36*G$15/$E$4-F42-E42</f>
        <v>0.16641000000000009</v>
      </c>
      <c r="H42" s="16">
        <f>H36*H$15/$E$4-G42-F42-E42</f>
        <v>0.21466889999999958</v>
      </c>
      <c r="I42" s="16">
        <f>I36*I$15/$E$4-H42-G42-F42-E42</f>
        <v>0.27692288100000084</v>
      </c>
      <c r="J42" s="16">
        <f>J36*J$15/$E$4-I42-H42-G42-F42-E42</f>
        <v>0.35723051648999904</v>
      </c>
      <c r="K42" s="16">
        <f>K36*K$15/$E$4-J42-I42-H42-G42-F42-E42</f>
        <v>0.46082736627209886</v>
      </c>
      <c r="L42" s="16">
        <f>L36*L$15/$E$4-K42-J42-I42-H42-G42-F42-E42</f>
        <v>0.59446730249101465</v>
      </c>
      <c r="M42" s="16">
        <f>M36*M$15/$E$4-L42-K42-J42-I42-H42-G42-F42-E42</f>
        <v>0.76686282021339069</v>
      </c>
      <c r="N42" s="16">
        <f>N36*N$15/$E$4-M42-L42-K42-J42-I42-H42-G42-F42-E42</f>
        <v>0.98925303807530207</v>
      </c>
    </row>
    <row r="43" spans="2:14" ht="15" customHeight="1" x14ac:dyDescent="0.45">
      <c r="B43" s="185"/>
      <c r="C43" s="192"/>
      <c r="D43" s="15" t="s">
        <v>44</v>
      </c>
      <c r="E43" s="17"/>
      <c r="F43" s="17"/>
      <c r="G43" s="17"/>
      <c r="H43" s="17"/>
      <c r="I43" s="38">
        <f>AVERAGE(E42:I42)</f>
        <v>0.17740035620000011</v>
      </c>
      <c r="J43" s="17"/>
      <c r="K43" s="17"/>
      <c r="L43" s="17"/>
      <c r="M43" s="17"/>
      <c r="N43" s="17">
        <f>AVERAGE(E42:N42)</f>
        <v>0.40556428245418064</v>
      </c>
    </row>
    <row r="44" spans="2:14" ht="15" customHeight="1" x14ac:dyDescent="0.45">
      <c r="B44" s="185"/>
      <c r="C44" s="193"/>
      <c r="D44" s="19" t="s">
        <v>45</v>
      </c>
      <c r="E44" s="22">
        <f>E46</f>
        <v>100000</v>
      </c>
      <c r="F44" s="22">
        <f>F46-E46</f>
        <v>129000</v>
      </c>
      <c r="G44" s="22">
        <f>G46-F46</f>
        <v>166410.00000000006</v>
      </c>
      <c r="H44" s="22">
        <f t="shared" ref="H44:N44" si="24">H46-G46</f>
        <v>214668.89999999962</v>
      </c>
      <c r="I44" s="22">
        <f t="shared" si="24"/>
        <v>276922.88100000075</v>
      </c>
      <c r="J44" s="22">
        <f>J46-I46</f>
        <v>357230.51648999937</v>
      </c>
      <c r="K44" s="22">
        <f t="shared" si="24"/>
        <v>460827.36627209862</v>
      </c>
      <c r="L44" s="22">
        <f t="shared" si="24"/>
        <v>594467.30249101459</v>
      </c>
      <c r="M44" s="22">
        <f t="shared" si="24"/>
        <v>766862.82021339051</v>
      </c>
      <c r="N44" s="22">
        <f t="shared" si="24"/>
        <v>989253.03807530319</v>
      </c>
    </row>
    <row r="45" spans="2:14" ht="15" customHeight="1" x14ac:dyDescent="0.45">
      <c r="B45" s="185"/>
      <c r="C45" s="193"/>
      <c r="D45" s="19" t="s">
        <v>47</v>
      </c>
      <c r="E45" s="22"/>
      <c r="F45" s="22"/>
      <c r="G45" s="22"/>
      <c r="H45" s="22"/>
      <c r="I45" s="22">
        <f>AVERAGE(E44:I44)</f>
        <v>177400.3562000001</v>
      </c>
      <c r="J45" s="22"/>
      <c r="K45" s="22"/>
      <c r="L45" s="22"/>
      <c r="M45" s="22"/>
      <c r="N45" s="22">
        <f>AVERAGE(E44:N44)</f>
        <v>405564.28245418065</v>
      </c>
    </row>
    <row r="46" spans="2:14" ht="15" customHeight="1" x14ac:dyDescent="0.45">
      <c r="B46" s="186"/>
      <c r="C46" s="193"/>
      <c r="D46" s="19" t="s">
        <v>46</v>
      </c>
      <c r="E46" s="21">
        <f t="shared" ref="E46:N46" si="25">E38*E$15</f>
        <v>100000</v>
      </c>
      <c r="F46" s="21">
        <f t="shared" si="25"/>
        <v>229000</v>
      </c>
      <c r="G46" s="21">
        <f>G38*G$15</f>
        <v>395410.00000000006</v>
      </c>
      <c r="H46" s="21">
        <f>H38*H$15</f>
        <v>610078.89999999967</v>
      </c>
      <c r="I46" s="21">
        <f>I38*I$15</f>
        <v>887001.78100000042</v>
      </c>
      <c r="J46" s="21">
        <f t="shared" si="25"/>
        <v>1244232.2974899998</v>
      </c>
      <c r="K46" s="21">
        <f t="shared" si="25"/>
        <v>1705059.6637620984</v>
      </c>
      <c r="L46" s="21">
        <f t="shared" si="25"/>
        <v>2299526.966253113</v>
      </c>
      <c r="M46" s="21">
        <f t="shared" si="25"/>
        <v>3066389.7864665035</v>
      </c>
      <c r="N46" s="21">
        <f t="shared" si="25"/>
        <v>4055642.8245418067</v>
      </c>
    </row>
    <row r="47" spans="2:14" s="4" customFormat="1" ht="15" customHeight="1" x14ac:dyDescent="0.45">
      <c r="B47" s="3"/>
      <c r="C47" s="1"/>
      <c r="D47" s="43"/>
      <c r="E47" s="31"/>
      <c r="F47" s="31"/>
      <c r="G47" s="31"/>
      <c r="H47" s="31"/>
      <c r="I47" s="31"/>
      <c r="J47" s="31"/>
      <c r="K47" s="31"/>
      <c r="L47" s="31"/>
      <c r="M47" s="31"/>
      <c r="N47" s="31"/>
    </row>
    <row r="48" spans="2:14" s="4" customFormat="1" ht="15" customHeight="1" x14ac:dyDescent="0.45">
      <c r="B48" s="176" t="s">
        <v>116</v>
      </c>
      <c r="C48" s="200" t="s">
        <v>21</v>
      </c>
      <c r="D48" s="178" t="str">
        <f>"10 BTC / "&amp;TEXT($E$4*10, "$###0.00,,")&amp;"M USD"</f>
        <v>10 BTC / $1.00M USD</v>
      </c>
      <c r="E48" s="174" t="s">
        <v>3</v>
      </c>
      <c r="F48" s="174" t="s">
        <v>4</v>
      </c>
      <c r="G48" s="174" t="s">
        <v>5</v>
      </c>
      <c r="H48" s="174" t="s">
        <v>6</v>
      </c>
      <c r="I48" s="174" t="s">
        <v>7</v>
      </c>
      <c r="J48" s="174" t="s">
        <v>8</v>
      </c>
      <c r="K48" s="174" t="s">
        <v>9</v>
      </c>
      <c r="L48" s="174" t="s">
        <v>10</v>
      </c>
      <c r="M48" s="174" t="s">
        <v>11</v>
      </c>
      <c r="N48" s="174" t="s">
        <v>12</v>
      </c>
    </row>
    <row r="49" spans="1:15" s="4" customFormat="1" ht="15" customHeight="1" x14ac:dyDescent="0.45">
      <c r="B49" s="177"/>
      <c r="C49" s="201"/>
      <c r="D49" s="179"/>
      <c r="E49" s="175"/>
      <c r="F49" s="175"/>
      <c r="G49" s="175"/>
      <c r="H49" s="175"/>
      <c r="I49" s="175"/>
      <c r="J49" s="175"/>
      <c r="K49" s="175"/>
      <c r="L49" s="175"/>
      <c r="M49" s="175"/>
      <c r="N49" s="175"/>
    </row>
    <row r="50" spans="1:15" ht="15" customHeight="1" x14ac:dyDescent="0.45">
      <c r="B50" s="184" t="s">
        <v>137</v>
      </c>
      <c r="C50" s="192" t="s">
        <v>32</v>
      </c>
      <c r="D50" s="15" t="s">
        <v>43</v>
      </c>
      <c r="E50" s="16">
        <f>E55*$E$4/E$15</f>
        <v>6.7829457364341081E-2</v>
      </c>
      <c r="F50" s="16">
        <f t="shared" ref="F50:N50" si="26">F55*$E$4/F$15</f>
        <v>5.2580974701039604E-2</v>
      </c>
      <c r="G50" s="16">
        <f t="shared" si="26"/>
        <v>4.0760445504681865E-2</v>
      </c>
      <c r="H50" s="16">
        <f t="shared" si="26"/>
        <v>3.1597244577272761E-2</v>
      </c>
      <c r="I50" s="16">
        <f t="shared" si="26"/>
        <v>2.4493988044397494E-2</v>
      </c>
      <c r="J50" s="16">
        <f t="shared" si="26"/>
        <v>1.8987587631315889E-2</v>
      </c>
      <c r="K50" s="16">
        <f t="shared" si="26"/>
        <v>1.471906017931464E-2</v>
      </c>
      <c r="L50" s="16">
        <f t="shared" si="26"/>
        <v>1.1410124170011349E-2</v>
      </c>
      <c r="M50" s="16">
        <f t="shared" si="26"/>
        <v>8.8450574961328292E-3</v>
      </c>
      <c r="N50" s="16">
        <f t="shared" si="26"/>
        <v>6.8566337179324262E-3</v>
      </c>
    </row>
    <row r="51" spans="1:15" ht="15" customHeight="1" x14ac:dyDescent="0.45">
      <c r="B51" s="185"/>
      <c r="C51" s="192"/>
      <c r="D51" s="15" t="s">
        <v>44</v>
      </c>
      <c r="E51" s="16"/>
      <c r="F51" s="16"/>
      <c r="G51" s="16"/>
      <c r="H51" s="16"/>
      <c r="I51" s="125">
        <f>AVERAGE(E50:I50)</f>
        <v>4.345242203834656E-2</v>
      </c>
      <c r="J51" s="16"/>
      <c r="K51" s="16"/>
      <c r="L51" s="16"/>
      <c r="M51" s="16"/>
      <c r="N51" s="17">
        <f>AVERAGE(E50:N50)</f>
        <v>2.7808057338643999E-2</v>
      </c>
    </row>
    <row r="52" spans="1:15" ht="15" customHeight="1" x14ac:dyDescent="0.45">
      <c r="B52" s="185"/>
      <c r="C52" s="192"/>
      <c r="D52" s="15" t="s">
        <v>42</v>
      </c>
      <c r="E52" s="16">
        <f>E$17*(E50/E$19)</f>
        <v>6.7829457364341081E-2</v>
      </c>
      <c r="F52" s="16">
        <f t="shared" ref="F52:N52" si="27">F$17*(F50/F$19)</f>
        <v>0.12041043206538071</v>
      </c>
      <c r="G52" s="16">
        <f t="shared" si="27"/>
        <v>0.1611708775700626</v>
      </c>
      <c r="H52" s="16">
        <f t="shared" si="27"/>
        <v>0.19276812214733521</v>
      </c>
      <c r="I52" s="16">
        <f t="shared" si="27"/>
        <v>0.21726211019173297</v>
      </c>
      <c r="J52" s="16">
        <f t="shared" si="27"/>
        <v>0.23624969782304872</v>
      </c>
      <c r="K52" s="16">
        <f t="shared" si="27"/>
        <v>0.25096875800236312</v>
      </c>
      <c r="L52" s="16">
        <f t="shared" si="27"/>
        <v>0.26237888217237521</v>
      </c>
      <c r="M52" s="16">
        <f t="shared" si="27"/>
        <v>0.27122393966850694</v>
      </c>
      <c r="N52" s="16">
        <f t="shared" si="27"/>
        <v>0.27808057338644054</v>
      </c>
    </row>
    <row r="53" spans="1:15" ht="15" customHeight="1" x14ac:dyDescent="0.45">
      <c r="B53" s="185"/>
      <c r="C53" s="193"/>
      <c r="D53" s="19" t="s">
        <v>45</v>
      </c>
      <c r="E53" s="20">
        <f>10*E50</f>
        <v>0.67829457364341084</v>
      </c>
      <c r="F53" s="20">
        <f t="shared" ref="F53:N53" si="28">10*F50</f>
        <v>0.52580974701039607</v>
      </c>
      <c r="G53" s="20">
        <f t="shared" si="28"/>
        <v>0.40760445504681864</v>
      </c>
      <c r="H53" s="20">
        <f t="shared" si="28"/>
        <v>0.31597244577272759</v>
      </c>
      <c r="I53" s="20">
        <f t="shared" si="28"/>
        <v>0.24493988044397494</v>
      </c>
      <c r="J53" s="20">
        <f t="shared" si="28"/>
        <v>0.18987587631315889</v>
      </c>
      <c r="K53" s="20">
        <f t="shared" si="28"/>
        <v>0.14719060179314641</v>
      </c>
      <c r="L53" s="20">
        <f t="shared" si="28"/>
        <v>0.11410124170011349</v>
      </c>
      <c r="M53" s="20">
        <f t="shared" si="28"/>
        <v>8.8450574961328299E-2</v>
      </c>
      <c r="N53" s="20">
        <f t="shared" si="28"/>
        <v>6.8566337179324255E-2</v>
      </c>
    </row>
    <row r="54" spans="1:15" ht="15" customHeight="1" x14ac:dyDescent="0.45">
      <c r="B54" s="185"/>
      <c r="C54" s="193"/>
      <c r="D54" s="19" t="s">
        <v>46</v>
      </c>
      <c r="E54" s="20">
        <f>10*E52</f>
        <v>0.67829457364341084</v>
      </c>
      <c r="F54" s="20">
        <f>10*F52</f>
        <v>1.2041043206538071</v>
      </c>
      <c r="G54" s="20">
        <f>10*G52</f>
        <v>1.6117087757006261</v>
      </c>
      <c r="H54" s="20">
        <f t="shared" ref="H54:N54" si="29">10*H52</f>
        <v>1.9276812214733521</v>
      </c>
      <c r="I54" s="20">
        <f t="shared" si="29"/>
        <v>2.1726211019173296</v>
      </c>
      <c r="J54" s="20">
        <f t="shared" si="29"/>
        <v>2.362496978230487</v>
      </c>
      <c r="K54" s="20">
        <f t="shared" si="29"/>
        <v>2.5096875800236313</v>
      </c>
      <c r="L54" s="20">
        <f t="shared" si="29"/>
        <v>2.6237888217237519</v>
      </c>
      <c r="M54" s="20">
        <f t="shared" si="29"/>
        <v>2.7122393966850695</v>
      </c>
      <c r="N54" s="20">
        <f t="shared" si="29"/>
        <v>2.7808057338644057</v>
      </c>
    </row>
    <row r="55" spans="1:15" ht="15" customHeight="1" x14ac:dyDescent="0.45">
      <c r="B55" s="185"/>
      <c r="C55" s="191" t="s">
        <v>36</v>
      </c>
      <c r="D55" s="15" t="s">
        <v>43</v>
      </c>
      <c r="E55" s="16">
        <f>$E9+($E$10*$E$11)</f>
        <v>8.7499999999999994E-2</v>
      </c>
      <c r="F55" s="16">
        <f t="shared" ref="F55:N55" si="30">$E9+($E$10*$E$11)</f>
        <v>8.7499999999999994E-2</v>
      </c>
      <c r="G55" s="16">
        <f t="shared" si="30"/>
        <v>8.7499999999999994E-2</v>
      </c>
      <c r="H55" s="16">
        <f t="shared" si="30"/>
        <v>8.7499999999999994E-2</v>
      </c>
      <c r="I55" s="16">
        <f t="shared" si="30"/>
        <v>8.7499999999999994E-2</v>
      </c>
      <c r="J55" s="16">
        <f t="shared" si="30"/>
        <v>8.7499999999999994E-2</v>
      </c>
      <c r="K55" s="16">
        <f t="shared" si="30"/>
        <v>8.7499999999999994E-2</v>
      </c>
      <c r="L55" s="16">
        <f t="shared" si="30"/>
        <v>8.7499999999999994E-2</v>
      </c>
      <c r="M55" s="16">
        <f t="shared" si="30"/>
        <v>8.7499999999999994E-2</v>
      </c>
      <c r="N55" s="16">
        <f t="shared" si="30"/>
        <v>8.7499999999999994E-2</v>
      </c>
    </row>
    <row r="56" spans="1:15" ht="15" customHeight="1" x14ac:dyDescent="0.45">
      <c r="B56" s="185"/>
      <c r="C56" s="193"/>
      <c r="D56" s="19" t="s">
        <v>45</v>
      </c>
      <c r="E56" s="21">
        <f t="shared" ref="E56:N56" si="31">E53*E$15</f>
        <v>87500</v>
      </c>
      <c r="F56" s="21">
        <f t="shared" si="31"/>
        <v>87500.000000000015</v>
      </c>
      <c r="G56" s="21">
        <f t="shared" si="31"/>
        <v>87500</v>
      </c>
      <c r="H56" s="21">
        <f t="shared" si="31"/>
        <v>87500</v>
      </c>
      <c r="I56" s="21">
        <f t="shared" si="31"/>
        <v>87500</v>
      </c>
      <c r="J56" s="21">
        <f t="shared" si="31"/>
        <v>87500.000000000015</v>
      </c>
      <c r="K56" s="21">
        <f t="shared" si="31"/>
        <v>87500</v>
      </c>
      <c r="L56" s="21">
        <f t="shared" si="31"/>
        <v>87500</v>
      </c>
      <c r="M56" s="21">
        <f t="shared" si="31"/>
        <v>87500</v>
      </c>
      <c r="N56" s="21">
        <f t="shared" si="31"/>
        <v>87499.999999999985</v>
      </c>
    </row>
    <row r="57" spans="1:15" ht="15" customHeight="1" x14ac:dyDescent="0.45">
      <c r="B57" s="185"/>
      <c r="C57" s="193"/>
      <c r="D57" s="19" t="s">
        <v>46</v>
      </c>
      <c r="E57" s="21">
        <f>E56</f>
        <v>87500</v>
      </c>
      <c r="F57" s="21">
        <f>E57+F56</f>
        <v>175000</v>
      </c>
      <c r="G57" s="21">
        <f>F57+G56</f>
        <v>262500</v>
      </c>
      <c r="H57" s="21">
        <f t="shared" ref="H57:N57" si="32">G57+H56</f>
        <v>350000</v>
      </c>
      <c r="I57" s="21">
        <f t="shared" si="32"/>
        <v>437500</v>
      </c>
      <c r="J57" s="21">
        <f>I57+J56</f>
        <v>525000</v>
      </c>
      <c r="K57" s="21">
        <f t="shared" si="32"/>
        <v>612500</v>
      </c>
      <c r="L57" s="21">
        <f t="shared" si="32"/>
        <v>700000</v>
      </c>
      <c r="M57" s="21">
        <f t="shared" si="32"/>
        <v>787500</v>
      </c>
      <c r="N57" s="21">
        <f t="shared" si="32"/>
        <v>875000</v>
      </c>
    </row>
    <row r="58" spans="1:15" ht="15" customHeight="1" x14ac:dyDescent="0.45">
      <c r="B58" s="185"/>
      <c r="C58" s="191" t="s">
        <v>35</v>
      </c>
      <c r="D58" s="15" t="s">
        <v>43</v>
      </c>
      <c r="E58" s="16">
        <f>E52*E$15/$E$4</f>
        <v>8.7499999999999994E-2</v>
      </c>
      <c r="F58" s="16">
        <f>F52*F$15/$E$4-E58</f>
        <v>0.11287500000000003</v>
      </c>
      <c r="G58" s="16">
        <f>G52*G$15/$E$4-F58-E58</f>
        <v>0.14560875000000006</v>
      </c>
      <c r="H58" s="16">
        <f>H52*H$15/$E$4-G58-F58-E58</f>
        <v>0.18783528749999959</v>
      </c>
      <c r="I58" s="16">
        <f>I52*I$15/$E$4-H58-G58-F58-E58</f>
        <v>0.24230752087500076</v>
      </c>
      <c r="J58" s="16">
        <f>J52*J$15/$E$4-I58-H58-G58-F58-E58</f>
        <v>0.31257670192874965</v>
      </c>
      <c r="K58" s="16">
        <f>K52*K$15/$E$4-J58-I58-H58-G58-F58-E58</f>
        <v>0.40322394548808582</v>
      </c>
      <c r="L58" s="16">
        <f>L52*L$15/$E$4-K58-J58-I58-H58-G58-F58-E58</f>
        <v>0.52015888967963841</v>
      </c>
      <c r="M58" s="16">
        <f>M52*M$15/$E$4-L58-K58-J58-I58-H58-G58-F58-E58</f>
        <v>0.67100496768671658</v>
      </c>
      <c r="N58" s="16">
        <f>N52*N$15/$E$4-M58-L58-K58-J58-I58-H58-G58-F58-E58</f>
        <v>0.86559640831589013</v>
      </c>
    </row>
    <row r="59" spans="1:15" ht="15" customHeight="1" x14ac:dyDescent="0.45">
      <c r="B59" s="185"/>
      <c r="C59" s="192"/>
      <c r="D59" s="15" t="s">
        <v>44</v>
      </c>
      <c r="E59" s="17"/>
      <c r="F59" s="17"/>
      <c r="G59" s="17"/>
      <c r="H59" s="17"/>
      <c r="I59" s="17">
        <f>AVERAGE(E58:I58)</f>
        <v>0.15522531167500009</v>
      </c>
      <c r="J59" s="17"/>
      <c r="K59" s="17"/>
      <c r="L59" s="17"/>
      <c r="M59" s="17"/>
      <c r="N59" s="17">
        <f>AVERAGE(E58:N58)</f>
        <v>0.35486874714740807</v>
      </c>
    </row>
    <row r="60" spans="1:15" ht="15" customHeight="1" x14ac:dyDescent="0.45">
      <c r="B60" s="185"/>
      <c r="C60" s="193"/>
      <c r="D60" s="19" t="s">
        <v>45</v>
      </c>
      <c r="E60" s="22">
        <f>E62</f>
        <v>87500</v>
      </c>
      <c r="F60" s="22">
        <f>F62-E62</f>
        <v>112875.00000000006</v>
      </c>
      <c r="G60" s="22">
        <f>G62-F62</f>
        <v>145608.75000000006</v>
      </c>
      <c r="H60" s="22">
        <f t="shared" ref="H60:N60" si="33">H62-G62</f>
        <v>187835.28749999963</v>
      </c>
      <c r="I60" s="22">
        <f t="shared" si="33"/>
        <v>242307.52087500074</v>
      </c>
      <c r="J60" s="22">
        <f>J62-I62</f>
        <v>312576.70192874945</v>
      </c>
      <c r="K60" s="22">
        <f t="shared" si="33"/>
        <v>403223.9454880862</v>
      </c>
      <c r="L60" s="22">
        <f t="shared" si="33"/>
        <v>520158.88967963797</v>
      </c>
      <c r="M60" s="22">
        <f t="shared" si="33"/>
        <v>671004.9676867167</v>
      </c>
      <c r="N60" s="22">
        <f t="shared" si="33"/>
        <v>865596.40831589047</v>
      </c>
    </row>
    <row r="61" spans="1:15" ht="15" customHeight="1" x14ac:dyDescent="0.45">
      <c r="B61" s="185"/>
      <c r="C61" s="193"/>
      <c r="D61" s="19" t="s">
        <v>47</v>
      </c>
      <c r="E61" s="22"/>
      <c r="F61" s="22"/>
      <c r="G61" s="22"/>
      <c r="H61" s="22"/>
      <c r="I61" s="22">
        <f>AVERAGE(E60:I60)</f>
        <v>155225.31167500009</v>
      </c>
      <c r="J61" s="22"/>
      <c r="K61" s="22"/>
      <c r="L61" s="22"/>
      <c r="M61" s="22"/>
      <c r="N61" s="22">
        <f>AVERAGE(E60:N60)</f>
        <v>354868.74714740814</v>
      </c>
    </row>
    <row r="62" spans="1:15" ht="15" customHeight="1" x14ac:dyDescent="0.45">
      <c r="B62" s="186"/>
      <c r="C62" s="193"/>
      <c r="D62" s="19" t="s">
        <v>46</v>
      </c>
      <c r="E62" s="21">
        <f t="shared" ref="E62:N62" si="34">E54*E$15</f>
        <v>87500</v>
      </c>
      <c r="F62" s="21">
        <f t="shared" si="34"/>
        <v>200375.00000000006</v>
      </c>
      <c r="G62" s="21">
        <f t="shared" si="34"/>
        <v>345983.75000000012</v>
      </c>
      <c r="H62" s="21">
        <f t="shared" si="34"/>
        <v>533819.03749999974</v>
      </c>
      <c r="I62" s="21">
        <f t="shared" si="34"/>
        <v>776126.55837500049</v>
      </c>
      <c r="J62" s="21">
        <f t="shared" si="34"/>
        <v>1088703.2603037499</v>
      </c>
      <c r="K62" s="21">
        <f t="shared" si="34"/>
        <v>1491927.2057918361</v>
      </c>
      <c r="L62" s="21">
        <f t="shared" si="34"/>
        <v>2012086.0954714741</v>
      </c>
      <c r="M62" s="21">
        <f t="shared" si="34"/>
        <v>2683091.0631581908</v>
      </c>
      <c r="N62" s="21">
        <f t="shared" si="34"/>
        <v>3548687.4714740813</v>
      </c>
    </row>
    <row r="63" spans="1:15" ht="15" customHeight="1" x14ac:dyDescent="0.45">
      <c r="A63" s="8"/>
      <c r="B63" s="3"/>
      <c r="C63" s="1"/>
      <c r="D63" s="43"/>
      <c r="E63" s="31"/>
      <c r="F63" s="31"/>
      <c r="G63" s="31"/>
      <c r="H63" s="31"/>
      <c r="I63" s="31"/>
      <c r="J63" s="31"/>
      <c r="K63" s="31"/>
      <c r="L63" s="31"/>
      <c r="M63" s="31"/>
      <c r="N63" s="31"/>
      <c r="O63" s="8"/>
    </row>
    <row r="64" spans="1:15" ht="15" customHeight="1" x14ac:dyDescent="0.45">
      <c r="B64" s="189" t="s">
        <v>115</v>
      </c>
      <c r="C64" s="187" t="s">
        <v>21</v>
      </c>
      <c r="D64" s="180" t="str">
        <f>"10 BTC / "&amp;TEXT($E$4*10, "$###0.00,,")&amp;"M USD"</f>
        <v>10 BTC / $1.00M USD</v>
      </c>
      <c r="E64" s="174" t="s">
        <v>3</v>
      </c>
      <c r="F64" s="174" t="s">
        <v>4</v>
      </c>
      <c r="G64" s="174" t="s">
        <v>5</v>
      </c>
      <c r="H64" s="174" t="s">
        <v>6</v>
      </c>
      <c r="I64" s="174" t="s">
        <v>7</v>
      </c>
      <c r="J64" s="174" t="s">
        <v>8</v>
      </c>
      <c r="K64" s="174" t="s">
        <v>9</v>
      </c>
      <c r="L64" s="174" t="s">
        <v>10</v>
      </c>
      <c r="M64" s="174" t="s">
        <v>11</v>
      </c>
      <c r="N64" s="174" t="s">
        <v>12</v>
      </c>
    </row>
    <row r="65" spans="2:14" ht="15" customHeight="1" x14ac:dyDescent="0.45">
      <c r="B65" s="190"/>
      <c r="C65" s="188"/>
      <c r="D65" s="181"/>
      <c r="E65" s="175"/>
      <c r="F65" s="175"/>
      <c r="G65" s="175"/>
      <c r="H65" s="175"/>
      <c r="I65" s="175"/>
      <c r="J65" s="175"/>
      <c r="K65" s="175"/>
      <c r="L65" s="175"/>
      <c r="M65" s="175"/>
      <c r="N65" s="175"/>
    </row>
    <row r="66" spans="2:14" ht="15" customHeight="1" x14ac:dyDescent="0.45">
      <c r="B66" s="193" t="s">
        <v>16</v>
      </c>
      <c r="C66" s="192" t="s">
        <v>32</v>
      </c>
      <c r="D66" s="15" t="s">
        <v>58</v>
      </c>
      <c r="E66" s="16">
        <f>E$23</f>
        <v>0.33720930232558144</v>
      </c>
      <c r="F66" s="16">
        <f t="shared" ref="F66:N66" si="35">F$23</f>
        <v>0.26140255994231115</v>
      </c>
      <c r="G66" s="16">
        <f t="shared" si="35"/>
        <v>0.20263764336613263</v>
      </c>
      <c r="H66" s="16">
        <f t="shared" si="35"/>
        <v>0.15708344446987038</v>
      </c>
      <c r="I66" s="16">
        <f t="shared" si="35"/>
        <v>0.12177011199214743</v>
      </c>
      <c r="J66" s="16">
        <f t="shared" si="35"/>
        <v>9.4395435652827542E-2</v>
      </c>
      <c r="K66" s="16">
        <f t="shared" si="35"/>
        <v>7.3174756320021406E-2</v>
      </c>
      <c r="L66" s="16">
        <f t="shared" si="35"/>
        <v>5.6724617302342017E-2</v>
      </c>
      <c r="M66" s="16">
        <f t="shared" si="35"/>
        <v>4.3972571552203299E-2</v>
      </c>
      <c r="N66" s="16">
        <f t="shared" si="35"/>
        <v>3.4087264769149694E-2</v>
      </c>
    </row>
    <row r="67" spans="2:14" ht="15" customHeight="1" x14ac:dyDescent="0.45">
      <c r="B67" s="193"/>
      <c r="C67" s="192"/>
      <c r="D67" s="15" t="s">
        <v>59</v>
      </c>
      <c r="E67" s="16"/>
      <c r="F67" s="16"/>
      <c r="G67" s="16"/>
      <c r="H67" s="16"/>
      <c r="I67" s="80">
        <f>AVERAGE(E66:I66)</f>
        <v>0.21602061241920864</v>
      </c>
      <c r="J67" s="16"/>
      <c r="K67" s="16"/>
      <c r="L67" s="16"/>
      <c r="M67" s="16"/>
      <c r="N67" s="17">
        <f>AVERAGE(E66:N66)</f>
        <v>0.1382457707692587</v>
      </c>
    </row>
    <row r="68" spans="2:14" ht="15" customHeight="1" x14ac:dyDescent="0.45">
      <c r="B68" s="193"/>
      <c r="C68" s="192"/>
      <c r="D68" s="15" t="s">
        <v>42</v>
      </c>
      <c r="E68" s="16">
        <f>E$17*(E66/E$19)</f>
        <v>0.33720930232558144</v>
      </c>
      <c r="F68" s="16">
        <f t="shared" ref="F68:N68" si="36">F$17*(F66/F$19)</f>
        <v>0.59861186226789254</v>
      </c>
      <c r="G68" s="16">
        <f>G$17*(G66/G$19)</f>
        <v>0.80124950563402519</v>
      </c>
      <c r="H68" s="16">
        <f>H$17*(H66/H$19)</f>
        <v>0.95833295010389552</v>
      </c>
      <c r="I68" s="16">
        <f>I$17*(I66/I$19)</f>
        <v>1.080103062096043</v>
      </c>
      <c r="J68" s="16">
        <f t="shared" si="36"/>
        <v>1.1744984977488706</v>
      </c>
      <c r="K68" s="16">
        <f t="shared" si="36"/>
        <v>1.247673254068892</v>
      </c>
      <c r="L68" s="16">
        <f t="shared" si="36"/>
        <v>1.3043978713712341</v>
      </c>
      <c r="M68" s="16">
        <f t="shared" si="36"/>
        <v>1.3483704429234373</v>
      </c>
      <c r="N68" s="16">
        <f t="shared" si="36"/>
        <v>1.382457707692587</v>
      </c>
    </row>
    <row r="69" spans="2:14" ht="15" customHeight="1" x14ac:dyDescent="0.45">
      <c r="B69" s="193"/>
      <c r="C69" s="193"/>
      <c r="D69" s="19" t="s">
        <v>45</v>
      </c>
      <c r="E69" s="20">
        <f>10*E66</f>
        <v>3.3720930232558146</v>
      </c>
      <c r="F69" s="20">
        <f t="shared" ref="F69:N69" si="37">10*F66</f>
        <v>2.6140255994231114</v>
      </c>
      <c r="G69" s="20">
        <f t="shared" si="37"/>
        <v>2.0263764336613264</v>
      </c>
      <c r="H69" s="20">
        <f t="shared" si="37"/>
        <v>1.5708344446987037</v>
      </c>
      <c r="I69" s="20">
        <f t="shared" si="37"/>
        <v>1.2177011199214745</v>
      </c>
      <c r="J69" s="20">
        <f t="shared" si="37"/>
        <v>0.94395435652827542</v>
      </c>
      <c r="K69" s="20">
        <f t="shared" si="37"/>
        <v>0.73174756320021406</v>
      </c>
      <c r="L69" s="20">
        <f t="shared" si="37"/>
        <v>0.56724617302342017</v>
      </c>
      <c r="M69" s="20">
        <f t="shared" si="37"/>
        <v>0.43972571552203299</v>
      </c>
      <c r="N69" s="20">
        <f t="shared" si="37"/>
        <v>0.34087264769149694</v>
      </c>
    </row>
    <row r="70" spans="2:14" ht="15" customHeight="1" x14ac:dyDescent="0.45">
      <c r="B70" s="193"/>
      <c r="C70" s="193"/>
      <c r="D70" s="19" t="s">
        <v>46</v>
      </c>
      <c r="E70" s="20">
        <f>10*E68</f>
        <v>3.3720930232558146</v>
      </c>
      <c r="F70" s="20">
        <f>10*F68</f>
        <v>5.9861186226789256</v>
      </c>
      <c r="G70" s="20">
        <f>10*G68</f>
        <v>8.0124950563402528</v>
      </c>
      <c r="H70" s="20">
        <f t="shared" ref="H70:N70" si="38">10*H68</f>
        <v>9.5833295010389552</v>
      </c>
      <c r="I70" s="20">
        <f t="shared" si="38"/>
        <v>10.801030620960431</v>
      </c>
      <c r="J70" s="20">
        <f t="shared" si="38"/>
        <v>11.744984977488706</v>
      </c>
      <c r="K70" s="20">
        <f t="shared" si="38"/>
        <v>12.47673254068892</v>
      </c>
      <c r="L70" s="20">
        <f t="shared" si="38"/>
        <v>13.043978713712342</v>
      </c>
      <c r="M70" s="20">
        <f t="shared" si="38"/>
        <v>13.483704429234374</v>
      </c>
      <c r="N70" s="20">
        <f t="shared" si="38"/>
        <v>13.82457707692587</v>
      </c>
    </row>
    <row r="71" spans="2:14" ht="15" customHeight="1" x14ac:dyDescent="0.45">
      <c r="B71" s="193"/>
      <c r="C71" s="191" t="s">
        <v>36</v>
      </c>
      <c r="D71" s="15" t="s">
        <v>43</v>
      </c>
      <c r="E71" s="16">
        <f t="shared" ref="E71:N71" si="39">E66*E$15/$E$4</f>
        <v>0.43500000000000005</v>
      </c>
      <c r="F71" s="16">
        <f t="shared" si="39"/>
        <v>0.435</v>
      </c>
      <c r="G71" s="16">
        <f t="shared" si="39"/>
        <v>0.43499999999999983</v>
      </c>
      <c r="H71" s="16">
        <f t="shared" si="39"/>
        <v>0.43500000000000022</v>
      </c>
      <c r="I71" s="16">
        <f t="shared" si="39"/>
        <v>0.43499999999999961</v>
      </c>
      <c r="J71" s="16">
        <f t="shared" si="39"/>
        <v>0.43499999999999994</v>
      </c>
      <c r="K71" s="16">
        <f t="shared" si="39"/>
        <v>0.43500000000000028</v>
      </c>
      <c r="L71" s="16">
        <f t="shared" si="39"/>
        <v>0.43499999999999905</v>
      </c>
      <c r="M71" s="16">
        <f t="shared" si="39"/>
        <v>0.43500000000000089</v>
      </c>
      <c r="N71" s="16">
        <f t="shared" si="39"/>
        <v>0.434999999999999</v>
      </c>
    </row>
    <row r="72" spans="2:14" ht="15" customHeight="1" x14ac:dyDescent="0.45">
      <c r="B72" s="193"/>
      <c r="C72" s="193"/>
      <c r="D72" s="19" t="s">
        <v>45</v>
      </c>
      <c r="E72" s="21">
        <f t="shared" ref="E72:N72" si="40">E69*E$15</f>
        <v>435000.00000000006</v>
      </c>
      <c r="F72" s="21">
        <f t="shared" si="40"/>
        <v>434999.99999999994</v>
      </c>
      <c r="G72" s="21">
        <f>G69*G$15</f>
        <v>434999.99999999988</v>
      </c>
      <c r="H72" s="21">
        <f>H69*H$15</f>
        <v>435000.00000000017</v>
      </c>
      <c r="I72" s="21">
        <f>I69*I$15</f>
        <v>434999.99999999971</v>
      </c>
      <c r="J72" s="21">
        <f t="shared" si="40"/>
        <v>434999.99999999994</v>
      </c>
      <c r="K72" s="21">
        <f t="shared" si="40"/>
        <v>435000.00000000029</v>
      </c>
      <c r="L72" s="21">
        <f t="shared" si="40"/>
        <v>434999.99999999907</v>
      </c>
      <c r="M72" s="21">
        <f t="shared" si="40"/>
        <v>435000.00000000087</v>
      </c>
      <c r="N72" s="21">
        <f t="shared" si="40"/>
        <v>434999.99999999895</v>
      </c>
    </row>
    <row r="73" spans="2:14" ht="15" customHeight="1" x14ac:dyDescent="0.45">
      <c r="B73" s="193"/>
      <c r="C73" s="193"/>
      <c r="D73" s="19" t="s">
        <v>46</v>
      </c>
      <c r="E73" s="21">
        <f>E72</f>
        <v>435000.00000000006</v>
      </c>
      <c r="F73" s="21">
        <f>E73+F72</f>
        <v>870000</v>
      </c>
      <c r="G73" s="21">
        <f>F73+G72</f>
        <v>1305000</v>
      </c>
      <c r="H73" s="21">
        <f t="shared" ref="H73:N73" si="41">G73+H72</f>
        <v>1740000.0000000002</v>
      </c>
      <c r="I73" s="21">
        <f t="shared" si="41"/>
        <v>2175000</v>
      </c>
      <c r="J73" s="21">
        <f>I73+J72</f>
        <v>2610000</v>
      </c>
      <c r="K73" s="21">
        <f t="shared" si="41"/>
        <v>3045000.0000000005</v>
      </c>
      <c r="L73" s="21">
        <f t="shared" si="41"/>
        <v>3479999.9999999995</v>
      </c>
      <c r="M73" s="21">
        <f t="shared" si="41"/>
        <v>3915000.0000000005</v>
      </c>
      <c r="N73" s="21">
        <f t="shared" si="41"/>
        <v>4349999.9999999991</v>
      </c>
    </row>
    <row r="74" spans="2:14" ht="15" customHeight="1" x14ac:dyDescent="0.45">
      <c r="B74" s="193"/>
      <c r="C74" s="191" t="s">
        <v>35</v>
      </c>
      <c r="D74" s="15" t="s">
        <v>43</v>
      </c>
      <c r="E74" s="16">
        <f>E68*E$15/$E$4</f>
        <v>0.43500000000000005</v>
      </c>
      <c r="F74" s="16">
        <f>F68*F$15/$E$4-E74</f>
        <v>0.56114999999999993</v>
      </c>
      <c r="G74" s="16">
        <f>G68*G$15/$E$4-F74-E74</f>
        <v>0.7238834999999999</v>
      </c>
      <c r="H74" s="16">
        <f>H68*H$15/$E$4-G74-F74-E74</f>
        <v>0.93380971499999976</v>
      </c>
      <c r="I74" s="16">
        <f>I68*I$15/$E$4-H74-G74-F74-E74</f>
        <v>1.2046145323499995</v>
      </c>
      <c r="J74" s="16">
        <f>J68*J$15/$E$4-I74-H74-G74-F74-E74</f>
        <v>1.5539527467314991</v>
      </c>
      <c r="K74" s="16">
        <f>K68*K$15/$E$4-J74-I74-H74-G74-F74-E74</f>
        <v>2.0045990432836356</v>
      </c>
      <c r="L74" s="16">
        <f>L68*L$15/$E$4-K74-J74-I74-H74-G74-F74-E74</f>
        <v>2.585932765835889</v>
      </c>
      <c r="M74" s="16">
        <f>M68*M$15/$E$4-L74-K74-J74-I74-H74-G74-F74-E74</f>
        <v>3.3358532679282966</v>
      </c>
      <c r="N74" s="16">
        <f>N68*N$15/$E$4-M74-L74-K74-J74-I74-H74-G74-F74-E74</f>
        <v>4.3032507156275006</v>
      </c>
    </row>
    <row r="75" spans="2:14" ht="15" customHeight="1" x14ac:dyDescent="0.45">
      <c r="B75" s="193"/>
      <c r="C75" s="192"/>
      <c r="D75" s="15" t="s">
        <v>44</v>
      </c>
      <c r="E75" s="17"/>
      <c r="F75" s="17"/>
      <c r="G75" s="17"/>
      <c r="H75" s="17"/>
      <c r="I75" s="17">
        <f>AVERAGE(E74:I74)</f>
        <v>0.77169154946999985</v>
      </c>
      <c r="J75" s="17"/>
      <c r="K75" s="17"/>
      <c r="L75" s="17"/>
      <c r="M75" s="17"/>
      <c r="N75" s="17">
        <f>AVERAGE(E74:N74)</f>
        <v>1.7642046286756821</v>
      </c>
    </row>
    <row r="76" spans="2:14" ht="15" customHeight="1" x14ac:dyDescent="0.45">
      <c r="B76" s="193"/>
      <c r="C76" s="193"/>
      <c r="D76" s="19" t="s">
        <v>45</v>
      </c>
      <c r="E76" s="22">
        <f>E78</f>
        <v>435000.00000000006</v>
      </c>
      <c r="F76" s="22">
        <f>F78-E78</f>
        <v>561150</v>
      </c>
      <c r="G76" s="22">
        <f>G78-F78</f>
        <v>723883.5</v>
      </c>
      <c r="H76" s="22">
        <f t="shared" ref="H76:N76" si="42">H78-G78</f>
        <v>933809.71499999985</v>
      </c>
      <c r="I76" s="22">
        <f t="shared" si="42"/>
        <v>1204614.5323499995</v>
      </c>
      <c r="J76" s="22">
        <f>J78-I78</f>
        <v>1553952.7467314997</v>
      </c>
      <c r="K76" s="22">
        <f t="shared" si="42"/>
        <v>2004599.0432836348</v>
      </c>
      <c r="L76" s="22">
        <f t="shared" si="42"/>
        <v>2585932.7658358896</v>
      </c>
      <c r="M76" s="22">
        <f t="shared" si="42"/>
        <v>3335853.2679282948</v>
      </c>
      <c r="N76" s="22">
        <f t="shared" si="42"/>
        <v>4303250.7156274989</v>
      </c>
    </row>
    <row r="77" spans="2:14" ht="15" customHeight="1" x14ac:dyDescent="0.45">
      <c r="B77" s="193"/>
      <c r="C77" s="193"/>
      <c r="D77" s="19" t="s">
        <v>47</v>
      </c>
      <c r="E77" s="22"/>
      <c r="F77" s="22"/>
      <c r="G77" s="22"/>
      <c r="H77" s="22"/>
      <c r="I77" s="22">
        <f>AVERAGE(E76:I76)</f>
        <v>771691.54946999985</v>
      </c>
      <c r="J77" s="22"/>
      <c r="K77" s="22"/>
      <c r="L77" s="22"/>
      <c r="M77" s="22"/>
      <c r="N77" s="22">
        <f>AVERAGE(E76:N76)</f>
        <v>1764204.6286756818</v>
      </c>
    </row>
    <row r="78" spans="2:14" ht="15" customHeight="1" x14ac:dyDescent="0.45">
      <c r="B78" s="193"/>
      <c r="C78" s="193"/>
      <c r="D78" s="19" t="s">
        <v>46</v>
      </c>
      <c r="E78" s="21">
        <f t="shared" ref="E78:N78" si="43">E70*E$15</f>
        <v>435000.00000000006</v>
      </c>
      <c r="F78" s="21">
        <f t="shared" si="43"/>
        <v>996150</v>
      </c>
      <c r="G78" s="21">
        <f>G70*G$15</f>
        <v>1720033.5</v>
      </c>
      <c r="H78" s="21">
        <f>H70*H$15</f>
        <v>2653843.2149999999</v>
      </c>
      <c r="I78" s="21">
        <f>I70*I$15</f>
        <v>3858457.7473499994</v>
      </c>
      <c r="J78" s="21">
        <f t="shared" si="43"/>
        <v>5412410.4940814991</v>
      </c>
      <c r="K78" s="21">
        <f t="shared" si="43"/>
        <v>7417009.5373651339</v>
      </c>
      <c r="L78" s="21">
        <f t="shared" si="43"/>
        <v>10002942.303201023</v>
      </c>
      <c r="M78" s="21">
        <f t="shared" si="43"/>
        <v>13338795.571129318</v>
      </c>
      <c r="N78" s="21">
        <f t="shared" si="43"/>
        <v>17642046.286756817</v>
      </c>
    </row>
    <row r="79" spans="2:14" ht="15" customHeight="1" x14ac:dyDescent="0.45">
      <c r="B79" s="193" t="s">
        <v>137</v>
      </c>
      <c r="C79" s="192" t="s">
        <v>32</v>
      </c>
      <c r="D79" s="15" t="s">
        <v>43</v>
      </c>
      <c r="E79" s="16">
        <f>E$25</f>
        <v>4.5503875968992247E-2</v>
      </c>
      <c r="F79" s="16">
        <f t="shared" ref="F79:N79" si="44">F$25</f>
        <v>4.2018508503094763E-2</v>
      </c>
      <c r="G79" s="16">
        <f t="shared" si="44"/>
        <v>3.9316673258212996E-2</v>
      </c>
      <c r="H79" s="16">
        <f t="shared" si="44"/>
        <v>3.7222227331948056E-2</v>
      </c>
      <c r="I79" s="16">
        <f t="shared" si="44"/>
        <v>3.5598625838719422E-2</v>
      </c>
      <c r="J79" s="16">
        <f t="shared" si="44"/>
        <v>3.4340020030015059E-2</v>
      </c>
      <c r="K79" s="16">
        <f t="shared" si="44"/>
        <v>3.3364356612414769E-2</v>
      </c>
      <c r="L79" s="16">
        <f t="shared" si="44"/>
        <v>3.2608028381716878E-2</v>
      </c>
      <c r="M79" s="16">
        <f t="shared" si="44"/>
        <v>3.2021727427687503E-2</v>
      </c>
      <c r="N79" s="16">
        <f t="shared" si="44"/>
        <v>3.1567230564098839E-2</v>
      </c>
    </row>
    <row r="80" spans="2:14" ht="15" customHeight="1" x14ac:dyDescent="0.45">
      <c r="B80" s="193"/>
      <c r="C80" s="192"/>
      <c r="D80" s="15" t="s">
        <v>44</v>
      </c>
      <c r="E80" s="16"/>
      <c r="F80" s="16"/>
      <c r="G80" s="16"/>
      <c r="H80" s="16"/>
      <c r="I80" s="80">
        <f>AVERAGE(E79:I79)</f>
        <v>3.9931982180193497E-2</v>
      </c>
      <c r="J80" s="17"/>
      <c r="K80" s="17"/>
      <c r="L80" s="17"/>
      <c r="M80" s="17"/>
      <c r="N80" s="17">
        <f>AVERAGE(E79:N79)</f>
        <v>3.635612739169005E-2</v>
      </c>
    </row>
    <row r="81" spans="2:14" ht="15" customHeight="1" x14ac:dyDescent="0.45">
      <c r="B81" s="193"/>
      <c r="C81" s="192"/>
      <c r="D81" s="15" t="s">
        <v>42</v>
      </c>
      <c r="E81" s="16">
        <f>E$27</f>
        <v>4.5503875968992247E-2</v>
      </c>
      <c r="F81" s="16">
        <f t="shared" ref="F81:N81" si="45">F$27</f>
        <v>8.7522384472087017E-2</v>
      </c>
      <c r="G81" s="16">
        <f t="shared" si="45"/>
        <v>0.12683905773030002</v>
      </c>
      <c r="H81" s="16">
        <f t="shared" si="45"/>
        <v>0.16406128506224807</v>
      </c>
      <c r="I81" s="16">
        <f t="shared" si="45"/>
        <v>0.19965991090096749</v>
      </c>
      <c r="J81" s="16">
        <f t="shared" si="45"/>
        <v>0.23399993093098254</v>
      </c>
      <c r="K81" s="16">
        <f t="shared" si="45"/>
        <v>0.26736428754339731</v>
      </c>
      <c r="L81" s="16">
        <f t="shared" si="45"/>
        <v>0.2999723159251142</v>
      </c>
      <c r="M81" s="16">
        <f t="shared" si="45"/>
        <v>0.33199404335280169</v>
      </c>
      <c r="N81" s="16">
        <f t="shared" si="45"/>
        <v>0.36356127391690052</v>
      </c>
    </row>
    <row r="82" spans="2:14" ht="15" customHeight="1" x14ac:dyDescent="0.45">
      <c r="B82" s="193"/>
      <c r="C82" s="193"/>
      <c r="D82" s="19" t="s">
        <v>45</v>
      </c>
      <c r="E82" s="20">
        <f t="shared" ref="E82:N82" si="46">10*E79</f>
        <v>0.45503875968992247</v>
      </c>
      <c r="F82" s="20">
        <f t="shared" si="46"/>
        <v>0.42018508503094765</v>
      </c>
      <c r="G82" s="20">
        <f t="shared" si="46"/>
        <v>0.39316673258212997</v>
      </c>
      <c r="H82" s="20">
        <f t="shared" si="46"/>
        <v>0.37222227331948055</v>
      </c>
      <c r="I82" s="20">
        <f t="shared" si="46"/>
        <v>0.35598625838719422</v>
      </c>
      <c r="J82" s="20">
        <f t="shared" si="46"/>
        <v>0.34340020030015062</v>
      </c>
      <c r="K82" s="20">
        <f t="shared" si="46"/>
        <v>0.33364356612414769</v>
      </c>
      <c r="L82" s="20">
        <f t="shared" si="46"/>
        <v>0.3260802838171688</v>
      </c>
      <c r="M82" s="20">
        <f t="shared" si="46"/>
        <v>0.32021727427687502</v>
      </c>
      <c r="N82" s="20">
        <f t="shared" si="46"/>
        <v>0.31567230564098836</v>
      </c>
    </row>
    <row r="83" spans="2:14" ht="15" customHeight="1" x14ac:dyDescent="0.45">
      <c r="B83" s="193"/>
      <c r="C83" s="193"/>
      <c r="D83" s="19" t="s">
        <v>46</v>
      </c>
      <c r="E83" s="20">
        <f>10*E81</f>
        <v>0.45503875968992247</v>
      </c>
      <c r="F83" s="20">
        <f t="shared" ref="F83:N83" si="47">10*F81</f>
        <v>0.87522384472087023</v>
      </c>
      <c r="G83" s="20">
        <f t="shared" si="47"/>
        <v>1.2683905773030002</v>
      </c>
      <c r="H83" s="20">
        <f t="shared" si="47"/>
        <v>1.6406128506224806</v>
      </c>
      <c r="I83" s="20">
        <f t="shared" si="47"/>
        <v>1.9965991090096749</v>
      </c>
      <c r="J83" s="20">
        <f t="shared" si="47"/>
        <v>2.3399993093098255</v>
      </c>
      <c r="K83" s="20">
        <f t="shared" si="47"/>
        <v>2.6736428754339729</v>
      </c>
      <c r="L83" s="20">
        <f t="shared" si="47"/>
        <v>2.999723159251142</v>
      </c>
      <c r="M83" s="20">
        <f t="shared" si="47"/>
        <v>3.3199404335280169</v>
      </c>
      <c r="N83" s="20">
        <f t="shared" si="47"/>
        <v>3.6356127391690052</v>
      </c>
    </row>
    <row r="84" spans="2:14" ht="15" customHeight="1" x14ac:dyDescent="0.45">
      <c r="B84" s="193"/>
      <c r="C84" s="191" t="s">
        <v>36</v>
      </c>
      <c r="D84" s="15" t="s">
        <v>43</v>
      </c>
      <c r="E84" s="16">
        <f>E79*E$15/$E$4</f>
        <v>5.8700000000000002E-2</v>
      </c>
      <c r="F84" s="16">
        <f t="shared" ref="F84:N84" si="48">F79*F$15/$E$4</f>
        <v>6.9922999999999999E-2</v>
      </c>
      <c r="G84" s="16">
        <f t="shared" si="48"/>
        <v>8.4400669999999997E-2</v>
      </c>
      <c r="H84" s="16">
        <f t="shared" si="48"/>
        <v>0.10307686429999997</v>
      </c>
      <c r="I84" s="16">
        <f t="shared" si="48"/>
        <v>0.12716915494699996</v>
      </c>
      <c r="J84" s="16">
        <f t="shared" si="48"/>
        <v>0.15824820988162996</v>
      </c>
      <c r="K84" s="16">
        <f t="shared" si="48"/>
        <v>0.19834019074730264</v>
      </c>
      <c r="L84" s="16">
        <f t="shared" si="48"/>
        <v>0.25005884606402046</v>
      </c>
      <c r="M84" s="16">
        <f t="shared" si="48"/>
        <v>0.31677591142258638</v>
      </c>
      <c r="N84" s="16">
        <f t="shared" si="48"/>
        <v>0.40284092573513636</v>
      </c>
    </row>
    <row r="85" spans="2:14" ht="15" customHeight="1" x14ac:dyDescent="0.45">
      <c r="B85" s="193"/>
      <c r="C85" s="192"/>
      <c r="D85" s="15" t="s">
        <v>44</v>
      </c>
      <c r="E85" s="16"/>
      <c r="F85" s="16"/>
      <c r="G85" s="16"/>
      <c r="H85" s="16"/>
      <c r="I85" s="17">
        <f>AVERAGE(E84:I84)</f>
        <v>8.8653937849399983E-2</v>
      </c>
      <c r="J85" s="17"/>
      <c r="K85" s="17"/>
      <c r="L85" s="17"/>
      <c r="M85" s="17"/>
      <c r="N85" s="17">
        <f>AVERAGE(E84:N84)</f>
        <v>0.17695337730976757</v>
      </c>
    </row>
    <row r="86" spans="2:14" ht="15" customHeight="1" x14ac:dyDescent="0.45">
      <c r="B86" s="193"/>
      <c r="C86" s="193"/>
      <c r="D86" s="19" t="s">
        <v>45</v>
      </c>
      <c r="E86" s="23">
        <f t="shared" ref="E86:F86" si="49">E82*E$15</f>
        <v>58700</v>
      </c>
      <c r="F86" s="23">
        <f t="shared" si="49"/>
        <v>69923</v>
      </c>
      <c r="G86" s="23">
        <f>G82*G$15</f>
        <v>84400.67</v>
      </c>
      <c r="H86" s="23">
        <f>H82*H$15</f>
        <v>103076.86429999999</v>
      </c>
      <c r="I86" s="23">
        <f>I82*I$15</f>
        <v>127169.15494699997</v>
      </c>
      <c r="J86" s="23">
        <f t="shared" ref="J86:N86" si="50">J82*J$15</f>
        <v>158248.20988162997</v>
      </c>
      <c r="K86" s="23">
        <f t="shared" si="50"/>
        <v>198340.19074730264</v>
      </c>
      <c r="L86" s="23">
        <f t="shared" si="50"/>
        <v>250058.84606402044</v>
      </c>
      <c r="M86" s="23">
        <f t="shared" si="50"/>
        <v>316775.9114225863</v>
      </c>
      <c r="N86" s="23">
        <f t="shared" si="50"/>
        <v>402840.92573513632</v>
      </c>
    </row>
    <row r="87" spans="2:14" ht="15" customHeight="1" x14ac:dyDescent="0.45">
      <c r="B87" s="193"/>
      <c r="C87" s="193"/>
      <c r="D87" s="19" t="s">
        <v>47</v>
      </c>
      <c r="E87" s="24"/>
      <c r="F87" s="24"/>
      <c r="G87" s="24"/>
      <c r="H87" s="24"/>
      <c r="I87" s="23">
        <f>AVERAGE(E86:I86)</f>
        <v>88653.937849399983</v>
      </c>
      <c r="J87" s="23"/>
      <c r="K87" s="23"/>
      <c r="L87" s="23"/>
      <c r="M87" s="23"/>
      <c r="N87" s="23">
        <f>AVERAGE(E86:N86)</f>
        <v>176953.37730976756</v>
      </c>
    </row>
    <row r="88" spans="2:14" ht="15" customHeight="1" x14ac:dyDescent="0.45">
      <c r="B88" s="193"/>
      <c r="C88" s="193"/>
      <c r="D88" s="19" t="s">
        <v>46</v>
      </c>
      <c r="E88" s="24">
        <f>E86</f>
        <v>58700</v>
      </c>
      <c r="F88" s="24">
        <f t="shared" ref="F88" si="51">E88+F86</f>
        <v>128623</v>
      </c>
      <c r="G88" s="24">
        <f>F88+G86</f>
        <v>213023.66999999998</v>
      </c>
      <c r="H88" s="24">
        <f t="shared" ref="H88" si="52">G88+H86</f>
        <v>316100.53429999994</v>
      </c>
      <c r="I88" s="24">
        <f t="shared" ref="I88" si="53">H88+I86</f>
        <v>443269.68924699991</v>
      </c>
      <c r="J88" s="24">
        <f>I88+J86</f>
        <v>601517.89912862983</v>
      </c>
      <c r="K88" s="24">
        <f t="shared" ref="K88" si="54">J88+K86</f>
        <v>799858.08987593243</v>
      </c>
      <c r="L88" s="24">
        <f t="shared" ref="L88" si="55">K88+L86</f>
        <v>1049916.935939953</v>
      </c>
      <c r="M88" s="24">
        <f t="shared" ref="M88" si="56">L88+M86</f>
        <v>1366692.8473625393</v>
      </c>
      <c r="N88" s="24">
        <f t="shared" ref="N88" si="57">M88+N86</f>
        <v>1769533.7730976755</v>
      </c>
    </row>
    <row r="89" spans="2:14" ht="15" customHeight="1" x14ac:dyDescent="0.45">
      <c r="B89" s="193"/>
      <c r="C89" s="191" t="s">
        <v>35</v>
      </c>
      <c r="D89" s="15" t="s">
        <v>43</v>
      </c>
      <c r="E89" s="16">
        <f>E81*E$15/$E$4</f>
        <v>5.8700000000000002E-2</v>
      </c>
      <c r="F89" s="16">
        <f>F81*F$15/$E$4-E89</f>
        <v>8.6945999999999996E-2</v>
      </c>
      <c r="G89" s="16">
        <f>G81*G$15/$E$4-F89-E89</f>
        <v>0.12663801000000002</v>
      </c>
      <c r="H89" s="16">
        <f>H81*H$15/$E$4-G89-F89-E89</f>
        <v>0.18203922719999999</v>
      </c>
      <c r="I89" s="16">
        <f>I81*I$15/$E$4-H89-G89-F89-E89</f>
        <v>0.25892289373499977</v>
      </c>
      <c r="J89" s="16">
        <f>J81*J$15/$E$4-I89-H89-G89-F89-E89</f>
        <v>0.36508958785277978</v>
      </c>
      <c r="K89" s="16">
        <f>K81*K$15/$E$4-J89-I89-H89-G89-F89-E89</f>
        <v>0.51105754919575874</v>
      </c>
      <c r="L89" s="16">
        <f>L81*L$15/$E$4-K89-J89-I89-H89-G89-F89-E89</f>
        <v>0.71098289377924684</v>
      </c>
      <c r="M89" s="16">
        <f>M81*M$15/$E$4-L89-K89-J89-I89-H89-G89-F89-E89</f>
        <v>0.98388499833379384</v>
      </c>
      <c r="N89" s="16">
        <f>N81*N$15/$E$4-M89-L89-K89-J89-I89-H89-G89-F89-E89</f>
        <v>1.3552766621631436</v>
      </c>
    </row>
    <row r="90" spans="2:14" ht="15" customHeight="1" x14ac:dyDescent="0.45">
      <c r="B90" s="193"/>
      <c r="C90" s="192"/>
      <c r="D90" s="15" t="s">
        <v>44</v>
      </c>
      <c r="E90" s="17"/>
      <c r="F90" s="17"/>
      <c r="G90" s="17"/>
      <c r="H90" s="17"/>
      <c r="I90" s="17">
        <f>AVERAGE(E89:I89)</f>
        <v>0.14264922618699996</v>
      </c>
      <c r="J90" s="17"/>
      <c r="K90" s="17"/>
      <c r="L90" s="17"/>
      <c r="M90" s="17"/>
      <c r="N90" s="17">
        <f>AVERAGE(E89:N89)</f>
        <v>0.46395378222597233</v>
      </c>
    </row>
    <row r="91" spans="2:14" ht="15" customHeight="1" x14ac:dyDescent="0.45">
      <c r="B91" s="193"/>
      <c r="C91" s="193"/>
      <c r="D91" s="19" t="s">
        <v>45</v>
      </c>
      <c r="E91" s="23">
        <f>E93</f>
        <v>58700</v>
      </c>
      <c r="F91" s="23">
        <f>F93-E93</f>
        <v>86946</v>
      </c>
      <c r="G91" s="23">
        <f>G93-F93</f>
        <v>126638.01000000001</v>
      </c>
      <c r="H91" s="23">
        <f>H93-G93</f>
        <v>182039.22719999996</v>
      </c>
      <c r="I91" s="23">
        <f>I93-H93</f>
        <v>258922.89373499993</v>
      </c>
      <c r="J91" s="23">
        <f>J93-I93</f>
        <v>365089.58785277989</v>
      </c>
      <c r="K91" s="23">
        <f t="shared" ref="K91" si="58">K93-J93</f>
        <v>511057.54919575853</v>
      </c>
      <c r="L91" s="23">
        <f t="shared" ref="L91" si="59">L93-K93</f>
        <v>710982.89377924684</v>
      </c>
      <c r="M91" s="23">
        <f t="shared" ref="M91" si="60">M93-L93</f>
        <v>983884.9983337936</v>
      </c>
      <c r="N91" s="23">
        <f t="shared" ref="N91" si="61">N93-M93</f>
        <v>1355276.6621631444</v>
      </c>
    </row>
    <row r="92" spans="2:14" ht="15" customHeight="1" x14ac:dyDescent="0.45">
      <c r="B92" s="193"/>
      <c r="C92" s="193"/>
      <c r="D92" s="19" t="s">
        <v>47</v>
      </c>
      <c r="E92" s="23"/>
      <c r="F92" s="23"/>
      <c r="G92" s="23"/>
      <c r="H92" s="23"/>
      <c r="I92" s="23">
        <f>AVERAGE(E91:I91)</f>
        <v>142649.22618699999</v>
      </c>
      <c r="J92" s="23"/>
      <c r="K92" s="23"/>
      <c r="L92" s="23"/>
      <c r="M92" s="23"/>
      <c r="N92" s="23">
        <f>AVERAGE(E91:N91)</f>
        <v>463953.78222597233</v>
      </c>
    </row>
    <row r="93" spans="2:14" ht="15" customHeight="1" x14ac:dyDescent="0.45">
      <c r="B93" s="193"/>
      <c r="C93" s="193"/>
      <c r="D93" s="19" t="s">
        <v>46</v>
      </c>
      <c r="E93" s="24">
        <f t="shared" ref="E93:F93" si="62">E83*E$15</f>
        <v>58700</v>
      </c>
      <c r="F93" s="24">
        <f t="shared" si="62"/>
        <v>145646</v>
      </c>
      <c r="G93" s="24">
        <f>G83*G$15</f>
        <v>272284.01</v>
      </c>
      <c r="H93" s="24">
        <f>H83*H$15</f>
        <v>454323.23719999997</v>
      </c>
      <c r="I93" s="24">
        <f>I83*I$15</f>
        <v>713246.13093499991</v>
      </c>
      <c r="J93" s="24">
        <f t="shared" ref="J93:N93" si="63">J83*J$15</f>
        <v>1078335.7187877798</v>
      </c>
      <c r="K93" s="24">
        <f t="shared" si="63"/>
        <v>1589393.2679835383</v>
      </c>
      <c r="L93" s="24">
        <f t="shared" si="63"/>
        <v>2300376.1617627852</v>
      </c>
      <c r="M93" s="24">
        <f t="shared" si="63"/>
        <v>3284261.1600965788</v>
      </c>
      <c r="N93" s="24">
        <f t="shared" si="63"/>
        <v>4639537.8222597232</v>
      </c>
    </row>
    <row r="94" spans="2:14" ht="15" customHeight="1" x14ac:dyDescent="0.45">
      <c r="B94" s="193" t="s">
        <v>17</v>
      </c>
      <c r="C94" s="192" t="s">
        <v>32</v>
      </c>
      <c r="D94" s="15" t="s">
        <v>43</v>
      </c>
      <c r="E94" s="16">
        <f>E$28</f>
        <v>2.2751937984496123E-2</v>
      </c>
      <c r="F94" s="16">
        <f t="shared" ref="F94:N94" si="64">F$28</f>
        <v>2.1009254251547382E-2</v>
      </c>
      <c r="G94" s="16">
        <f t="shared" si="64"/>
        <v>1.9658336629106498E-2</v>
      </c>
      <c r="H94" s="16">
        <f t="shared" si="64"/>
        <v>1.8611113665974028E-2</v>
      </c>
      <c r="I94" s="16">
        <f t="shared" si="64"/>
        <v>1.7799312919359711E-2</v>
      </c>
      <c r="J94" s="16">
        <f t="shared" si="64"/>
        <v>1.7170010015007529E-2</v>
      </c>
      <c r="K94" s="16">
        <f t="shared" si="64"/>
        <v>1.6682178306207385E-2</v>
      </c>
      <c r="L94" s="16">
        <f t="shared" si="64"/>
        <v>1.6304014190858439E-2</v>
      </c>
      <c r="M94" s="16">
        <f t="shared" si="64"/>
        <v>1.6010863713843752E-2</v>
      </c>
      <c r="N94" s="16">
        <f t="shared" si="64"/>
        <v>1.5783615282049419E-2</v>
      </c>
    </row>
    <row r="95" spans="2:14" ht="15" customHeight="1" x14ac:dyDescent="0.45">
      <c r="B95" s="193"/>
      <c r="C95" s="192"/>
      <c r="D95" s="15" t="s">
        <v>44</v>
      </c>
      <c r="E95" s="16"/>
      <c r="F95" s="16"/>
      <c r="G95" s="16"/>
      <c r="H95" s="16"/>
      <c r="I95" s="80">
        <f>AVERAGE(E94:I94)</f>
        <v>1.9965991090096748E-2</v>
      </c>
      <c r="J95" s="17"/>
      <c r="K95" s="17"/>
      <c r="L95" s="17"/>
      <c r="M95" s="17"/>
      <c r="N95" s="17">
        <f>AVERAGE(E94:N94)</f>
        <v>1.8178063695845025E-2</v>
      </c>
    </row>
    <row r="96" spans="2:14" ht="15" customHeight="1" x14ac:dyDescent="0.45">
      <c r="B96" s="193"/>
      <c r="C96" s="192"/>
      <c r="D96" s="15" t="s">
        <v>42</v>
      </c>
      <c r="E96" s="16">
        <f t="shared" ref="E96:N96" si="65">E$30</f>
        <v>2.2751937984496123E-2</v>
      </c>
      <c r="F96" s="16">
        <f t="shared" si="65"/>
        <v>4.3761192236043508E-2</v>
      </c>
      <c r="G96" s="16">
        <f t="shared" si="65"/>
        <v>6.341952886515001E-2</v>
      </c>
      <c r="H96" s="16">
        <f t="shared" si="65"/>
        <v>8.2030642531124034E-2</v>
      </c>
      <c r="I96" s="16">
        <f t="shared" si="65"/>
        <v>9.9829955450483746E-2</v>
      </c>
      <c r="J96" s="16">
        <f t="shared" si="65"/>
        <v>0.11699996546549127</v>
      </c>
      <c r="K96" s="16">
        <f t="shared" si="65"/>
        <v>0.13368214377169865</v>
      </c>
      <c r="L96" s="16">
        <f t="shared" si="65"/>
        <v>0.1499861579625571</v>
      </c>
      <c r="M96" s="16">
        <f t="shared" si="65"/>
        <v>0.16599702167640085</v>
      </c>
      <c r="N96" s="16">
        <f t="shared" si="65"/>
        <v>0.18178063695845026</v>
      </c>
    </row>
    <row r="97" spans="2:14" ht="15" customHeight="1" x14ac:dyDescent="0.45">
      <c r="B97" s="193"/>
      <c r="C97" s="193"/>
      <c r="D97" s="19" t="s">
        <v>45</v>
      </c>
      <c r="E97" s="20">
        <f t="shared" ref="E97:N97" si="66">10*E94</f>
        <v>0.22751937984496123</v>
      </c>
      <c r="F97" s="20">
        <f t="shared" si="66"/>
        <v>0.21009254251547382</v>
      </c>
      <c r="G97" s="20">
        <f t="shared" si="66"/>
        <v>0.19658336629106499</v>
      </c>
      <c r="H97" s="20">
        <f t="shared" si="66"/>
        <v>0.18611113665974027</v>
      </c>
      <c r="I97" s="20">
        <f t="shared" si="66"/>
        <v>0.17799312919359711</v>
      </c>
      <c r="J97" s="20">
        <f t="shared" si="66"/>
        <v>0.17170010015007531</v>
      </c>
      <c r="K97" s="20">
        <f t="shared" si="66"/>
        <v>0.16682178306207385</v>
      </c>
      <c r="L97" s="20">
        <f t="shared" si="66"/>
        <v>0.1630401419085844</v>
      </c>
      <c r="M97" s="20">
        <f t="shared" si="66"/>
        <v>0.16010863713843751</v>
      </c>
      <c r="N97" s="20">
        <f t="shared" si="66"/>
        <v>0.15783615282049418</v>
      </c>
    </row>
    <row r="98" spans="2:14" ht="15" customHeight="1" x14ac:dyDescent="0.45">
      <c r="B98" s="193"/>
      <c r="C98" s="193"/>
      <c r="D98" s="19" t="s">
        <v>46</v>
      </c>
      <c r="E98" s="20">
        <f>10*E96</f>
        <v>0.22751937984496123</v>
      </c>
      <c r="F98" s="20">
        <f t="shared" ref="F98:N98" si="67">10*F96</f>
        <v>0.43761192236043511</v>
      </c>
      <c r="G98" s="20">
        <f t="shared" si="67"/>
        <v>0.6341952886515001</v>
      </c>
      <c r="H98" s="20">
        <f t="shared" si="67"/>
        <v>0.82030642531124032</v>
      </c>
      <c r="I98" s="20">
        <f t="shared" si="67"/>
        <v>0.99829955450483743</v>
      </c>
      <c r="J98" s="20">
        <f t="shared" si="67"/>
        <v>1.1699996546549127</v>
      </c>
      <c r="K98" s="20">
        <f t="shared" si="67"/>
        <v>1.3368214377169865</v>
      </c>
      <c r="L98" s="20">
        <f t="shared" si="67"/>
        <v>1.499861579625571</v>
      </c>
      <c r="M98" s="20">
        <f t="shared" si="67"/>
        <v>1.6599702167640085</v>
      </c>
      <c r="N98" s="20">
        <f t="shared" si="67"/>
        <v>1.8178063695845026</v>
      </c>
    </row>
    <row r="99" spans="2:14" ht="15" customHeight="1" x14ac:dyDescent="0.45">
      <c r="B99" s="193"/>
      <c r="C99" s="191" t="s">
        <v>36</v>
      </c>
      <c r="D99" s="15" t="s">
        <v>43</v>
      </c>
      <c r="E99" s="16">
        <f t="shared" ref="E99:N99" si="68">E94*E$15/$E$4</f>
        <v>2.9350000000000001E-2</v>
      </c>
      <c r="F99" s="16">
        <f t="shared" si="68"/>
        <v>3.49615E-2</v>
      </c>
      <c r="G99" s="16">
        <f t="shared" si="68"/>
        <v>4.2200334999999999E-2</v>
      </c>
      <c r="H99" s="16">
        <f t="shared" si="68"/>
        <v>5.1538432149999987E-2</v>
      </c>
      <c r="I99" s="16">
        <f t="shared" si="68"/>
        <v>6.3584577473499979E-2</v>
      </c>
      <c r="J99" s="16">
        <f t="shared" si="68"/>
        <v>7.9124104940814982E-2</v>
      </c>
      <c r="K99" s="16">
        <f t="shared" si="68"/>
        <v>9.9170095373651318E-2</v>
      </c>
      <c r="L99" s="16">
        <f t="shared" si="68"/>
        <v>0.12502942303201023</v>
      </c>
      <c r="M99" s="16">
        <f t="shared" si="68"/>
        <v>0.15838795571129319</v>
      </c>
      <c r="N99" s="16">
        <f t="shared" si="68"/>
        <v>0.20142046286756818</v>
      </c>
    </row>
    <row r="100" spans="2:14" ht="15" customHeight="1" x14ac:dyDescent="0.45">
      <c r="B100" s="193"/>
      <c r="C100" s="192"/>
      <c r="D100" s="15" t="s">
        <v>44</v>
      </c>
      <c r="E100" s="16"/>
      <c r="F100" s="16"/>
      <c r="G100" s="16"/>
      <c r="H100" s="16"/>
      <c r="I100" s="17">
        <f>AVERAGE(E99:I99)</f>
        <v>4.4326968924699992E-2</v>
      </c>
      <c r="J100" s="17"/>
      <c r="K100" s="17"/>
      <c r="L100" s="17"/>
      <c r="M100" s="17"/>
      <c r="N100" s="17">
        <f>AVERAGE(E99:N99)</f>
        <v>8.8476688654883784E-2</v>
      </c>
    </row>
    <row r="101" spans="2:14" ht="15" customHeight="1" x14ac:dyDescent="0.45">
      <c r="B101" s="193"/>
      <c r="C101" s="193"/>
      <c r="D101" s="19" t="s">
        <v>45</v>
      </c>
      <c r="E101" s="23">
        <f t="shared" ref="E101:N101" si="69">E97*E$15</f>
        <v>29350</v>
      </c>
      <c r="F101" s="23">
        <f t="shared" si="69"/>
        <v>34961.5</v>
      </c>
      <c r="G101" s="23">
        <f>G97*G$15</f>
        <v>42200.334999999999</v>
      </c>
      <c r="H101" s="23">
        <f>H97*H$15</f>
        <v>51538.432149999993</v>
      </c>
      <c r="I101" s="23">
        <f>I97*I$15</f>
        <v>63584.577473499987</v>
      </c>
      <c r="J101" s="23">
        <f t="shared" si="69"/>
        <v>79124.104940814985</v>
      </c>
      <c r="K101" s="23">
        <f t="shared" si="69"/>
        <v>99170.095373651318</v>
      </c>
      <c r="L101" s="23">
        <f t="shared" si="69"/>
        <v>125029.42303201022</v>
      </c>
      <c r="M101" s="23">
        <f t="shared" si="69"/>
        <v>158387.95571129315</v>
      </c>
      <c r="N101" s="23">
        <f t="shared" si="69"/>
        <v>201420.46286756816</v>
      </c>
    </row>
    <row r="102" spans="2:14" ht="15" customHeight="1" x14ac:dyDescent="0.45">
      <c r="B102" s="193"/>
      <c r="C102" s="193"/>
      <c r="D102" s="19" t="s">
        <v>47</v>
      </c>
      <c r="E102" s="24"/>
      <c r="F102" s="24"/>
      <c r="G102" s="24"/>
      <c r="H102" s="24"/>
      <c r="I102" s="23">
        <f>AVERAGE(E101:I101)</f>
        <v>44326.968924699991</v>
      </c>
      <c r="J102" s="23"/>
      <c r="K102" s="23"/>
      <c r="L102" s="23"/>
      <c r="M102" s="23"/>
      <c r="N102" s="23">
        <f>AVERAGE(E101:N101)</f>
        <v>88476.688654883779</v>
      </c>
    </row>
    <row r="103" spans="2:14" ht="15" customHeight="1" x14ac:dyDescent="0.45">
      <c r="B103" s="193"/>
      <c r="C103" s="193"/>
      <c r="D103" s="19" t="s">
        <v>46</v>
      </c>
      <c r="E103" s="24">
        <f>E101</f>
        <v>29350</v>
      </c>
      <c r="F103" s="24">
        <f t="shared" ref="F103:N103" si="70">E103+F101</f>
        <v>64311.5</v>
      </c>
      <c r="G103" s="24">
        <f>F103+G101</f>
        <v>106511.83499999999</v>
      </c>
      <c r="H103" s="24">
        <f t="shared" si="70"/>
        <v>158050.26714999997</v>
      </c>
      <c r="I103" s="24">
        <f t="shared" si="70"/>
        <v>221634.84462349996</v>
      </c>
      <c r="J103" s="24">
        <f>I103+J101</f>
        <v>300758.94956431491</v>
      </c>
      <c r="K103" s="24">
        <f t="shared" si="70"/>
        <v>399929.04493796622</v>
      </c>
      <c r="L103" s="24">
        <f t="shared" si="70"/>
        <v>524958.46796997648</v>
      </c>
      <c r="M103" s="24">
        <f t="shared" si="70"/>
        <v>683346.42368126963</v>
      </c>
      <c r="N103" s="24">
        <f t="shared" si="70"/>
        <v>884766.88654883776</v>
      </c>
    </row>
    <row r="104" spans="2:14" ht="15" customHeight="1" x14ac:dyDescent="0.45">
      <c r="B104" s="193"/>
      <c r="C104" s="191" t="s">
        <v>35</v>
      </c>
      <c r="D104" s="15" t="s">
        <v>43</v>
      </c>
      <c r="E104" s="16">
        <f>E96*E$15/$E$4</f>
        <v>2.9350000000000001E-2</v>
      </c>
      <c r="F104" s="16">
        <f>F96*F$15/$E$4-E104</f>
        <v>4.3472999999999998E-2</v>
      </c>
      <c r="G104" s="16">
        <f>G96*G$15/$E$4-F104-E104</f>
        <v>6.3319005000000012E-2</v>
      </c>
      <c r="H104" s="16">
        <f>H96*H$15/$E$4-G104-F104-E104</f>
        <v>9.1019613599999993E-2</v>
      </c>
      <c r="I104" s="16">
        <f>I96*I$15/$E$4-H104-G104-F104-E104</f>
        <v>0.12946144686749989</v>
      </c>
      <c r="J104" s="16">
        <f>J96*J$15/$E$4-I104-H104-G104-F104-E104</f>
        <v>0.18254479392638989</v>
      </c>
      <c r="K104" s="16">
        <f>K96*K$15/$E$4-J104-I104-H104-G104-F104-E104</f>
        <v>0.25552877459787937</v>
      </c>
      <c r="L104" s="16">
        <f>L96*L$15/$E$4-K104-J104-I104-H104-G104-F104-E104</f>
        <v>0.35549144688962342</v>
      </c>
      <c r="M104" s="16">
        <f>M96*M$15/$E$4-L104-K104-J104-I104-H104-G104-F104-E104</f>
        <v>0.49194249916689692</v>
      </c>
      <c r="N104" s="16">
        <f>N96*N$15/$E$4-M104-L104-K104-J104-I104-H104-G104-F104-E104</f>
        <v>0.67763833108157179</v>
      </c>
    </row>
    <row r="105" spans="2:14" ht="15" customHeight="1" x14ac:dyDescent="0.45">
      <c r="B105" s="193"/>
      <c r="C105" s="192"/>
      <c r="D105" s="15" t="s">
        <v>44</v>
      </c>
      <c r="E105" s="17"/>
      <c r="F105" s="17"/>
      <c r="G105" s="17"/>
      <c r="H105" s="17"/>
      <c r="I105" s="17">
        <f>AVERAGE(E104:I104)</f>
        <v>7.1324613093499981E-2</v>
      </c>
      <c r="J105" s="17"/>
      <c r="K105" s="17"/>
      <c r="L105" s="17"/>
      <c r="M105" s="17"/>
      <c r="N105" s="17">
        <f>AVERAGE(E104:N104)</f>
        <v>0.23197689111298617</v>
      </c>
    </row>
    <row r="106" spans="2:14" ht="15" customHeight="1" x14ac:dyDescent="0.45">
      <c r="B106" s="193"/>
      <c r="C106" s="193"/>
      <c r="D106" s="19" t="s">
        <v>45</v>
      </c>
      <c r="E106" s="23">
        <f>E108</f>
        <v>29350</v>
      </c>
      <c r="F106" s="23">
        <f>F108-E108</f>
        <v>43473</v>
      </c>
      <c r="G106" s="23">
        <f>G108-F108</f>
        <v>63319.005000000005</v>
      </c>
      <c r="H106" s="23">
        <f>H108-G108</f>
        <v>91019.613599999982</v>
      </c>
      <c r="I106" s="23">
        <f>I108-H108</f>
        <v>129461.44686749997</v>
      </c>
      <c r="J106" s="23">
        <f>J108-I108</f>
        <v>182544.79392638995</v>
      </c>
      <c r="K106" s="23">
        <f t="shared" ref="K106:N106" si="71">K108-J108</f>
        <v>255528.77459787927</v>
      </c>
      <c r="L106" s="23">
        <f t="shared" si="71"/>
        <v>355491.44688962342</v>
      </c>
      <c r="M106" s="23">
        <f t="shared" si="71"/>
        <v>491942.4991668968</v>
      </c>
      <c r="N106" s="23">
        <f t="shared" si="71"/>
        <v>677638.33108157222</v>
      </c>
    </row>
    <row r="107" spans="2:14" ht="15" customHeight="1" x14ac:dyDescent="0.45">
      <c r="B107" s="193"/>
      <c r="C107" s="193"/>
      <c r="D107" s="19" t="s">
        <v>47</v>
      </c>
      <c r="E107" s="23"/>
      <c r="F107" s="23"/>
      <c r="G107" s="23"/>
      <c r="H107" s="23"/>
      <c r="I107" s="23">
        <f>AVERAGE(E106:I106)</f>
        <v>71324.613093499996</v>
      </c>
      <c r="J107" s="23"/>
      <c r="K107" s="23"/>
      <c r="L107" s="23"/>
      <c r="M107" s="23"/>
      <c r="N107" s="23">
        <f>AVERAGE(E106:N106)</f>
        <v>231976.89111298617</v>
      </c>
    </row>
    <row r="108" spans="2:14" ht="15" customHeight="1" x14ac:dyDescent="0.45">
      <c r="B108" s="193"/>
      <c r="C108" s="193"/>
      <c r="D108" s="19" t="s">
        <v>46</v>
      </c>
      <c r="E108" s="24">
        <f t="shared" ref="E108:N108" si="72">E98*E$15</f>
        <v>29350</v>
      </c>
      <c r="F108" s="24">
        <f t="shared" si="72"/>
        <v>72823</v>
      </c>
      <c r="G108" s="24">
        <f>G98*G$15</f>
        <v>136142.005</v>
      </c>
      <c r="H108" s="24">
        <f>H98*H$15</f>
        <v>227161.61859999999</v>
      </c>
      <c r="I108" s="24">
        <f>I98*I$15</f>
        <v>356623.06546749995</v>
      </c>
      <c r="J108" s="24">
        <f t="shared" si="72"/>
        <v>539167.8593938899</v>
      </c>
      <c r="K108" s="24">
        <f t="shared" si="72"/>
        <v>794696.63399176917</v>
      </c>
      <c r="L108" s="24">
        <f t="shared" si="72"/>
        <v>1150188.0808813926</v>
      </c>
      <c r="M108" s="24">
        <f t="shared" si="72"/>
        <v>1642130.5800482894</v>
      </c>
      <c r="N108" s="24">
        <f t="shared" si="72"/>
        <v>2319768.9111298616</v>
      </c>
    </row>
    <row r="109" spans="2:14" ht="15" customHeight="1" x14ac:dyDescent="0.45">
      <c r="B109" s="193" t="s">
        <v>18</v>
      </c>
      <c r="C109" s="192" t="s">
        <v>32</v>
      </c>
      <c r="D109" s="15" t="s">
        <v>43</v>
      </c>
      <c r="E109" s="16">
        <f>E66+E79+E94-E34-E50</f>
        <v>0.26011627906976742</v>
      </c>
      <c r="F109" s="16">
        <f t="shared" ref="F109:N109" si="73">F66+F79+F94-F34-F50</f>
        <v>0.21175680548043985</v>
      </c>
      <c r="G109" s="16">
        <f t="shared" si="73"/>
        <v>0.17426884145770527</v>
      </c>
      <c r="H109" s="16">
        <f t="shared" si="73"/>
        <v>0.14520840423077941</v>
      </c>
      <c r="I109" s="16">
        <f t="shared" si="73"/>
        <v>0.12268093351223193</v>
      </c>
      <c r="J109" s="16">
        <f t="shared" si="73"/>
        <v>0.10521777791645896</v>
      </c>
      <c r="K109" s="16">
        <f t="shared" si="73"/>
        <v>9.1680447997255041E-2</v>
      </c>
      <c r="L109" s="16">
        <f t="shared" si="73"/>
        <v>8.1186393796321588E-2</v>
      </c>
      <c r="M109" s="16">
        <f t="shared" si="73"/>
        <v>7.3051468059164196E-2</v>
      </c>
      <c r="N109" s="16">
        <f t="shared" si="73"/>
        <v>6.6745324076871337E-2</v>
      </c>
    </row>
    <row r="110" spans="2:14" ht="15" customHeight="1" x14ac:dyDescent="0.45">
      <c r="B110" s="193"/>
      <c r="C110" s="192"/>
      <c r="D110" s="15" t="s">
        <v>44</v>
      </c>
      <c r="E110" s="16"/>
      <c r="F110" s="16"/>
      <c r="G110" s="16"/>
      <c r="H110" s="16"/>
      <c r="I110" s="38">
        <f>AVERAGE(E109:I109)</f>
        <v>0.18280625275018478</v>
      </c>
      <c r="J110" s="16"/>
      <c r="K110" s="16"/>
      <c r="L110" s="16"/>
      <c r="M110" s="16"/>
      <c r="N110" s="17">
        <f>AVERAGE(E109:N109)</f>
        <v>0.13319126755969951</v>
      </c>
    </row>
    <row r="111" spans="2:14" ht="15" customHeight="1" x14ac:dyDescent="0.45">
      <c r="B111" s="193"/>
      <c r="C111" s="192"/>
      <c r="D111" s="15" t="s">
        <v>42</v>
      </c>
      <c r="E111" s="16">
        <f>E68+E81+E96-E36-E52</f>
        <v>0.26011627906976742</v>
      </c>
      <c r="F111" s="16">
        <f t="shared" ref="F111:N111" si="74">F68+F81+F96-F36-F52</f>
        <v>0.47187308455020727</v>
      </c>
      <c r="G111" s="16">
        <f t="shared" si="74"/>
        <v>0.64614192600791243</v>
      </c>
      <c r="H111" s="16">
        <f t="shared" si="74"/>
        <v>0.79135033023869228</v>
      </c>
      <c r="I111" s="16">
        <f t="shared" si="74"/>
        <v>0.91403126375092381</v>
      </c>
      <c r="J111" s="16">
        <f t="shared" si="74"/>
        <v>1.0192490416673827</v>
      </c>
      <c r="K111" s="16">
        <f t="shared" si="74"/>
        <v>1.1109294896646382</v>
      </c>
      <c r="L111" s="16">
        <f t="shared" si="74"/>
        <v>1.1921158834609586</v>
      </c>
      <c r="M111" s="16">
        <f t="shared" si="74"/>
        <v>1.2651673515201249</v>
      </c>
      <c r="N111" s="16">
        <f t="shared" si="74"/>
        <v>1.3319126755969939</v>
      </c>
    </row>
    <row r="112" spans="2:14" ht="15" customHeight="1" x14ac:dyDescent="0.45">
      <c r="B112" s="193"/>
      <c r="C112" s="193"/>
      <c r="D112" s="19" t="s">
        <v>45</v>
      </c>
      <c r="E112" s="20">
        <f>10*E109</f>
        <v>2.601162790697674</v>
      </c>
      <c r="F112" s="20">
        <f t="shared" ref="F112:N112" si="75">10*F109</f>
        <v>2.1175680548043987</v>
      </c>
      <c r="G112" s="20">
        <f t="shared" si="75"/>
        <v>1.7426884145770527</v>
      </c>
      <c r="H112" s="20">
        <f t="shared" si="75"/>
        <v>1.4520840423077941</v>
      </c>
      <c r="I112" s="20">
        <f t="shared" si="75"/>
        <v>1.2268093351223193</v>
      </c>
      <c r="J112" s="20">
        <f t="shared" si="75"/>
        <v>1.0521777791645897</v>
      </c>
      <c r="K112" s="20">
        <f t="shared" si="75"/>
        <v>0.91680447997255043</v>
      </c>
      <c r="L112" s="20">
        <f t="shared" si="75"/>
        <v>0.81186393796321588</v>
      </c>
      <c r="M112" s="20">
        <f t="shared" si="75"/>
        <v>0.73051468059164193</v>
      </c>
      <c r="N112" s="20">
        <f t="shared" si="75"/>
        <v>0.66745324076871337</v>
      </c>
    </row>
    <row r="113" spans="1:15" ht="15" customHeight="1" x14ac:dyDescent="0.45">
      <c r="B113" s="193"/>
      <c r="C113" s="193"/>
      <c r="D113" s="19" t="s">
        <v>46</v>
      </c>
      <c r="E113" s="20">
        <f>10*E111</f>
        <v>2.601162790697674</v>
      </c>
      <c r="F113" s="20">
        <f>10*F111</f>
        <v>4.7187308455020727</v>
      </c>
      <c r="G113" s="20">
        <f>10*G111</f>
        <v>6.4614192600791238</v>
      </c>
      <c r="H113" s="20">
        <f t="shared" ref="H113:N113" si="76">10*H111</f>
        <v>7.913503302386923</v>
      </c>
      <c r="I113" s="20">
        <f t="shared" si="76"/>
        <v>9.1403126375092381</v>
      </c>
      <c r="J113" s="20">
        <f t="shared" si="76"/>
        <v>10.192490416673827</v>
      </c>
      <c r="K113" s="20">
        <f t="shared" si="76"/>
        <v>11.109294896646382</v>
      </c>
      <c r="L113" s="20">
        <f t="shared" si="76"/>
        <v>11.921158834609587</v>
      </c>
      <c r="M113" s="20">
        <f t="shared" si="76"/>
        <v>12.651673515201249</v>
      </c>
      <c r="N113" s="20">
        <f t="shared" si="76"/>
        <v>13.31912675596994</v>
      </c>
    </row>
    <row r="114" spans="1:15" ht="15" customHeight="1" x14ac:dyDescent="0.45">
      <c r="B114" s="193"/>
      <c r="C114" s="191" t="s">
        <v>36</v>
      </c>
      <c r="D114" s="15" t="s">
        <v>43</v>
      </c>
      <c r="E114" s="16">
        <f>E71+E84+E99-E39-E55</f>
        <v>0.33555000000000001</v>
      </c>
      <c r="F114" s="16">
        <f t="shared" ref="F114:N114" si="77">F71+F84+F99-F39-F55</f>
        <v>0.35238449999999999</v>
      </c>
      <c r="G114" s="16">
        <f t="shared" si="77"/>
        <v>0.37410100499999976</v>
      </c>
      <c r="H114" s="16">
        <f t="shared" si="77"/>
        <v>0.40211529645000021</v>
      </c>
      <c r="I114" s="16">
        <f t="shared" si="77"/>
        <v>0.43825373242049959</v>
      </c>
      <c r="J114" s="16">
        <f t="shared" si="77"/>
        <v>0.48487231482244486</v>
      </c>
      <c r="K114" s="16">
        <f t="shared" si="77"/>
        <v>0.54501028612095415</v>
      </c>
      <c r="L114" s="16">
        <f t="shared" si="77"/>
        <v>0.62258826909602971</v>
      </c>
      <c r="M114" s="16">
        <f t="shared" si="77"/>
        <v>0.72266386713388042</v>
      </c>
      <c r="N114" s="16">
        <f t="shared" si="77"/>
        <v>0.85176138860270356</v>
      </c>
    </row>
    <row r="115" spans="1:15" ht="15" customHeight="1" x14ac:dyDescent="0.45">
      <c r="B115" s="193"/>
      <c r="C115" s="192"/>
      <c r="D115" s="15" t="s">
        <v>44</v>
      </c>
      <c r="E115" s="16"/>
      <c r="F115" s="16"/>
      <c r="G115" s="16"/>
      <c r="H115" s="16"/>
      <c r="I115" s="17">
        <f>AVERAGE(E114:I114)</f>
        <v>0.38048090677409996</v>
      </c>
      <c r="J115" s="17"/>
      <c r="K115" s="17"/>
      <c r="L115" s="17"/>
      <c r="M115" s="17"/>
      <c r="N115" s="17">
        <f>AVERAGE(E114:N114)</f>
        <v>0.51293006596465118</v>
      </c>
    </row>
    <row r="116" spans="1:15" ht="15" customHeight="1" x14ac:dyDescent="0.45">
      <c r="B116" s="193"/>
      <c r="C116" s="193"/>
      <c r="D116" s="19" t="s">
        <v>45</v>
      </c>
      <c r="E116" s="22">
        <f t="shared" ref="E116:N116" si="78">E112*E$15</f>
        <v>335549.99999999994</v>
      </c>
      <c r="F116" s="22">
        <f t="shared" si="78"/>
        <v>352384.5</v>
      </c>
      <c r="G116" s="22">
        <f>G112*G$15</f>
        <v>374101.00499999983</v>
      </c>
      <c r="H116" s="22">
        <f>H112*H$15</f>
        <v>402115.2964500002</v>
      </c>
      <c r="I116" s="22">
        <f>I112*I$15</f>
        <v>438253.73242049955</v>
      </c>
      <c r="J116" s="22">
        <f t="shared" si="78"/>
        <v>484872.31482244498</v>
      </c>
      <c r="K116" s="22">
        <f t="shared" si="78"/>
        <v>545010.2861209542</v>
      </c>
      <c r="L116" s="22">
        <f t="shared" si="78"/>
        <v>622588.26909602969</v>
      </c>
      <c r="M116" s="22">
        <f t="shared" si="78"/>
        <v>722663.86713388027</v>
      </c>
      <c r="N116" s="22">
        <f t="shared" si="78"/>
        <v>851761.38860270369</v>
      </c>
    </row>
    <row r="117" spans="1:15" ht="15" customHeight="1" x14ac:dyDescent="0.45">
      <c r="B117" s="193"/>
      <c r="C117" s="193"/>
      <c r="D117" s="19" t="s">
        <v>47</v>
      </c>
      <c r="E117" s="21"/>
      <c r="F117" s="21"/>
      <c r="G117" s="21"/>
      <c r="H117" s="21"/>
      <c r="I117" s="22">
        <f>AVERAGE(E116:I116)</f>
        <v>380480.90677409992</v>
      </c>
      <c r="J117" s="22"/>
      <c r="K117" s="22"/>
      <c r="L117" s="22"/>
      <c r="M117" s="22"/>
      <c r="N117" s="22">
        <f>AVERAGE(E116:N116)</f>
        <v>512930.06596465129</v>
      </c>
    </row>
    <row r="118" spans="1:15" ht="15" customHeight="1" x14ac:dyDescent="0.45">
      <c r="B118" s="193"/>
      <c r="C118" s="193"/>
      <c r="D118" s="19" t="s">
        <v>46</v>
      </c>
      <c r="E118" s="21">
        <f>E116</f>
        <v>335549.99999999994</v>
      </c>
      <c r="F118" s="21">
        <f t="shared" ref="F118:N118" si="79">E118+F116</f>
        <v>687934.5</v>
      </c>
      <c r="G118" s="21">
        <f>F118+G116</f>
        <v>1062035.5049999999</v>
      </c>
      <c r="H118" s="21">
        <f t="shared" si="79"/>
        <v>1464150.8014500001</v>
      </c>
      <c r="I118" s="21">
        <f t="shared" si="79"/>
        <v>1902404.5338704996</v>
      </c>
      <c r="J118" s="21">
        <f>I118+J116</f>
        <v>2387276.8486929447</v>
      </c>
      <c r="K118" s="21">
        <f t="shared" si="79"/>
        <v>2932287.1348138992</v>
      </c>
      <c r="L118" s="21">
        <f t="shared" si="79"/>
        <v>3554875.4039099291</v>
      </c>
      <c r="M118" s="21">
        <f t="shared" si="79"/>
        <v>4277539.2710438091</v>
      </c>
      <c r="N118" s="21">
        <f t="shared" si="79"/>
        <v>5129300.6596465129</v>
      </c>
    </row>
    <row r="119" spans="1:15" ht="15" customHeight="1" x14ac:dyDescent="0.45">
      <c r="B119" s="193"/>
      <c r="C119" s="191" t="s">
        <v>35</v>
      </c>
      <c r="D119" s="15" t="s">
        <v>43</v>
      </c>
      <c r="E119" s="16">
        <f>E74+E89+E104-E42-E58</f>
        <v>0.33555000000000001</v>
      </c>
      <c r="F119" s="16">
        <f t="shared" ref="F119:N119" si="80">F74+F89+F104-F42-F58</f>
        <v>0.44969399999999982</v>
      </c>
      <c r="G119" s="16">
        <f t="shared" si="80"/>
        <v>0.60182176499999973</v>
      </c>
      <c r="H119" s="16">
        <f t="shared" si="80"/>
        <v>0.80436436830000069</v>
      </c>
      <c r="I119" s="16">
        <f t="shared" si="80"/>
        <v>1.0737684710774977</v>
      </c>
      <c r="J119" s="16">
        <f t="shared" si="80"/>
        <v>1.4317799100919197</v>
      </c>
      <c r="K119" s="16">
        <f t="shared" si="80"/>
        <v>1.9071340553170888</v>
      </c>
      <c r="L119" s="16">
        <f t="shared" si="80"/>
        <v>2.5377809143341064</v>
      </c>
      <c r="M119" s="16">
        <f t="shared" si="80"/>
        <v>3.3738129775288801</v>
      </c>
      <c r="N119" s="16">
        <f t="shared" si="80"/>
        <v>4.4813162624810241</v>
      </c>
    </row>
    <row r="120" spans="1:15" ht="15" customHeight="1" x14ac:dyDescent="0.45">
      <c r="B120" s="193"/>
      <c r="C120" s="192"/>
      <c r="D120" s="15" t="s">
        <v>44</v>
      </c>
      <c r="E120" s="17"/>
      <c r="F120" s="17"/>
      <c r="G120" s="17"/>
      <c r="H120" s="17"/>
      <c r="I120" s="17">
        <f>AVERAGE(E119:I119)</f>
        <v>0.65303972087549966</v>
      </c>
      <c r="J120" s="17"/>
      <c r="K120" s="17"/>
      <c r="L120" s="17"/>
      <c r="M120" s="17"/>
      <c r="N120" s="17">
        <f>AVERAGE(E119:N119)</f>
        <v>1.6997022724130517</v>
      </c>
    </row>
    <row r="121" spans="1:15" ht="15" customHeight="1" x14ac:dyDescent="0.45">
      <c r="B121" s="193"/>
      <c r="C121" s="193"/>
      <c r="D121" s="19" t="s">
        <v>45</v>
      </c>
      <c r="E121" s="22">
        <f>E123</f>
        <v>335549.99999999994</v>
      </c>
      <c r="F121" s="22">
        <f>F123-E123</f>
        <v>449693.99999999994</v>
      </c>
      <c r="G121" s="22">
        <f>G123-F123</f>
        <v>601821.76499999955</v>
      </c>
      <c r="H121" s="22">
        <f t="shared" ref="H121:N121" si="81">H123-G123</f>
        <v>804364.36830000137</v>
      </c>
      <c r="I121" s="22">
        <f t="shared" si="81"/>
        <v>1073768.471077498</v>
      </c>
      <c r="J121" s="22">
        <f>J123-I123</f>
        <v>1431779.9100919189</v>
      </c>
      <c r="K121" s="22">
        <f t="shared" si="81"/>
        <v>1907134.055317088</v>
      </c>
      <c r="L121" s="22">
        <f t="shared" si="81"/>
        <v>2537780.9143341091</v>
      </c>
      <c r="M121" s="22">
        <f t="shared" si="81"/>
        <v>3373812.9775288776</v>
      </c>
      <c r="N121" s="22">
        <f t="shared" si="81"/>
        <v>4481316.2624810264</v>
      </c>
    </row>
    <row r="122" spans="1:15" ht="15" customHeight="1" x14ac:dyDescent="0.45">
      <c r="A122" s="8"/>
      <c r="B122" s="193"/>
      <c r="C122" s="193"/>
      <c r="D122" s="19" t="s">
        <v>47</v>
      </c>
      <c r="E122" s="22"/>
      <c r="F122" s="22"/>
      <c r="G122" s="22"/>
      <c r="H122" s="22"/>
      <c r="I122" s="22">
        <f>AVERAGE(E121:I121)</f>
        <v>653039.72087549977</v>
      </c>
      <c r="J122" s="22"/>
      <c r="K122" s="22"/>
      <c r="L122" s="22"/>
      <c r="M122" s="22"/>
      <c r="N122" s="22">
        <f>AVERAGE(E121:N121)</f>
        <v>1699702.2724130519</v>
      </c>
      <c r="O122" s="8"/>
    </row>
    <row r="123" spans="1:15" ht="15" customHeight="1" x14ac:dyDescent="0.45">
      <c r="B123" s="193"/>
      <c r="C123" s="193"/>
      <c r="D123" s="19" t="s">
        <v>46</v>
      </c>
      <c r="E123" s="21">
        <f t="shared" ref="E123:N123" si="82">E113*E$15</f>
        <v>335549.99999999994</v>
      </c>
      <c r="F123" s="21">
        <f t="shared" si="82"/>
        <v>785243.99999999988</v>
      </c>
      <c r="G123" s="21">
        <f>G113*G$15</f>
        <v>1387065.7649999994</v>
      </c>
      <c r="H123" s="21">
        <f>H113*H$15</f>
        <v>2191430.1333000008</v>
      </c>
      <c r="I123" s="21">
        <f>I113*I$15</f>
        <v>3265198.6043774989</v>
      </c>
      <c r="J123" s="21">
        <f t="shared" si="82"/>
        <v>4696978.5144694177</v>
      </c>
      <c r="K123" s="21">
        <f t="shared" si="82"/>
        <v>6604112.5697865058</v>
      </c>
      <c r="L123" s="21">
        <f t="shared" si="82"/>
        <v>9141893.4841206148</v>
      </c>
      <c r="M123" s="21">
        <f t="shared" si="82"/>
        <v>12515706.461649492</v>
      </c>
      <c r="N123" s="21">
        <f t="shared" si="82"/>
        <v>16997022.724130519</v>
      </c>
    </row>
    <row r="124" spans="1:15" ht="15" customHeight="1" x14ac:dyDescent="0.45">
      <c r="B124" s="1"/>
      <c r="C124" s="1"/>
      <c r="D124" s="40"/>
      <c r="E124" s="10"/>
      <c r="F124" s="10"/>
      <c r="G124" s="10"/>
      <c r="H124" s="10"/>
      <c r="I124" s="10"/>
      <c r="J124" s="10"/>
      <c r="K124" s="10"/>
      <c r="L124" s="10"/>
      <c r="M124" s="10"/>
      <c r="N124" s="10"/>
    </row>
    <row r="125" spans="1:15" ht="15" customHeight="1" x14ac:dyDescent="0.45">
      <c r="B125" s="176" t="s">
        <v>116</v>
      </c>
      <c r="C125" s="178" t="s">
        <v>55</v>
      </c>
      <c r="D125" s="178" t="s">
        <v>54</v>
      </c>
      <c r="E125" s="174" t="s">
        <v>3</v>
      </c>
      <c r="F125" s="174" t="s">
        <v>4</v>
      </c>
      <c r="G125" s="174" t="s">
        <v>5</v>
      </c>
      <c r="H125" s="174" t="s">
        <v>6</v>
      </c>
      <c r="I125" s="174" t="s">
        <v>7</v>
      </c>
      <c r="J125" s="174" t="s">
        <v>8</v>
      </c>
      <c r="K125" s="174" t="s">
        <v>9</v>
      </c>
      <c r="L125" s="174" t="s">
        <v>10</v>
      </c>
      <c r="M125" s="174" t="s">
        <v>11</v>
      </c>
      <c r="N125" s="174" t="s">
        <v>12</v>
      </c>
    </row>
    <row r="126" spans="1:15" ht="15" customHeight="1" x14ac:dyDescent="0.45">
      <c r="B126" s="177"/>
      <c r="C126" s="179"/>
      <c r="D126" s="179"/>
      <c r="E126" s="175"/>
      <c r="F126" s="175"/>
      <c r="G126" s="175"/>
      <c r="H126" s="175"/>
      <c r="I126" s="175"/>
      <c r="J126" s="175"/>
      <c r="K126" s="175"/>
      <c r="L126" s="175"/>
      <c r="M126" s="175"/>
      <c r="N126" s="175"/>
    </row>
    <row r="127" spans="1:15" s="4" customFormat="1" ht="15" customHeight="1" x14ac:dyDescent="0.45">
      <c r="B127" s="184" t="s">
        <v>137</v>
      </c>
      <c r="C127" s="182">
        <v>20000</v>
      </c>
      <c r="D127" s="44" t="s">
        <v>19</v>
      </c>
      <c r="E127" s="27">
        <f t="shared" ref="E127:N127" si="83">E$53/10*$C127/(2+$E$11)</f>
        <v>542.63565891472865</v>
      </c>
      <c r="F127" s="27">
        <f t="shared" si="83"/>
        <v>420.64779760831681</v>
      </c>
      <c r="G127" s="27">
        <f t="shared" si="83"/>
        <v>326.08356403745495</v>
      </c>
      <c r="H127" s="27">
        <f t="shared" si="83"/>
        <v>252.77795661818209</v>
      </c>
      <c r="I127" s="27">
        <f t="shared" si="83"/>
        <v>195.95190435517995</v>
      </c>
      <c r="J127" s="27">
        <f t="shared" si="83"/>
        <v>151.90070105052712</v>
      </c>
      <c r="K127" s="27">
        <f t="shared" si="83"/>
        <v>117.75248143451714</v>
      </c>
      <c r="L127" s="27">
        <f t="shared" si="83"/>
        <v>91.28099336009079</v>
      </c>
      <c r="M127" s="27">
        <f t="shared" si="83"/>
        <v>70.760459969062623</v>
      </c>
      <c r="N127" s="27">
        <f t="shared" si="83"/>
        <v>54.8530697434594</v>
      </c>
    </row>
    <row r="128" spans="1:15" s="4" customFormat="1" ht="15" customHeight="1" x14ac:dyDescent="0.45">
      <c r="B128" s="185"/>
      <c r="C128" s="182"/>
      <c r="D128" s="19" t="s">
        <v>22</v>
      </c>
      <c r="E128" s="27"/>
      <c r="F128" s="27"/>
      <c r="G128" s="27"/>
      <c r="H128" s="27"/>
      <c r="I128" s="28">
        <f>AVERAGE(E127:I127)</f>
        <v>347.61937630677249</v>
      </c>
      <c r="J128" s="27"/>
      <c r="K128" s="27"/>
      <c r="L128" s="27"/>
      <c r="M128" s="27"/>
      <c r="N128" s="27">
        <f>AVERAGE(E127:N127)</f>
        <v>222.46445870915196</v>
      </c>
    </row>
    <row r="129" spans="2:14" s="4" customFormat="1" ht="15" customHeight="1" x14ac:dyDescent="0.45">
      <c r="B129" s="185"/>
      <c r="C129" s="182"/>
      <c r="D129" s="19" t="s">
        <v>41</v>
      </c>
      <c r="E129" s="27">
        <f t="shared" ref="E129:N129" si="84">E$54/10*$C127/(2+$E$11)</f>
        <v>542.63565891472865</v>
      </c>
      <c r="F129" s="27">
        <f t="shared" si="84"/>
        <v>963.28345652304574</v>
      </c>
      <c r="G129" s="27">
        <f t="shared" si="84"/>
        <v>1289.3670205605008</v>
      </c>
      <c r="H129" s="27">
        <f t="shared" si="84"/>
        <v>1542.1449771786815</v>
      </c>
      <c r="I129" s="28">
        <f t="shared" si="84"/>
        <v>1738.0968815338638</v>
      </c>
      <c r="J129" s="27">
        <f t="shared" si="84"/>
        <v>1889.9975825843896</v>
      </c>
      <c r="K129" s="27">
        <f t="shared" si="84"/>
        <v>2007.7500640189051</v>
      </c>
      <c r="L129" s="27">
        <f t="shared" si="84"/>
        <v>2099.0310573790016</v>
      </c>
      <c r="M129" s="27">
        <f t="shared" si="84"/>
        <v>2169.7915173480555</v>
      </c>
      <c r="N129" s="27">
        <f t="shared" si="84"/>
        <v>2224.644587091524</v>
      </c>
    </row>
    <row r="130" spans="2:14" s="4" customFormat="1" ht="15" customHeight="1" x14ac:dyDescent="0.45">
      <c r="B130" s="185"/>
      <c r="C130" s="182">
        <v>400000</v>
      </c>
      <c r="D130" s="44" t="s">
        <v>19</v>
      </c>
      <c r="E130" s="27">
        <f t="shared" ref="E130:N130" si="85">E$53/10*$C130/(2+$E$11)</f>
        <v>10852.713178294573</v>
      </c>
      <c r="F130" s="27">
        <f t="shared" si="85"/>
        <v>8412.9559521663359</v>
      </c>
      <c r="G130" s="27">
        <f t="shared" si="85"/>
        <v>6521.6712807490985</v>
      </c>
      <c r="H130" s="27">
        <f t="shared" si="85"/>
        <v>5055.5591323636418</v>
      </c>
      <c r="I130" s="27">
        <f t="shared" si="85"/>
        <v>3919.0380871035986</v>
      </c>
      <c r="J130" s="27">
        <f t="shared" si="85"/>
        <v>3038.0140210105424</v>
      </c>
      <c r="K130" s="27">
        <f t="shared" si="85"/>
        <v>2355.0496286903426</v>
      </c>
      <c r="L130" s="27">
        <f t="shared" si="85"/>
        <v>1825.6198672018159</v>
      </c>
      <c r="M130" s="27">
        <f t="shared" si="85"/>
        <v>1415.2091993812526</v>
      </c>
      <c r="N130" s="27">
        <f t="shared" si="85"/>
        <v>1097.061394869188</v>
      </c>
    </row>
    <row r="131" spans="2:14" s="4" customFormat="1" ht="15" customHeight="1" x14ac:dyDescent="0.45">
      <c r="B131" s="185"/>
      <c r="C131" s="182"/>
      <c r="D131" s="19" t="s">
        <v>22</v>
      </c>
      <c r="E131" s="27"/>
      <c r="F131" s="27"/>
      <c r="G131" s="27"/>
      <c r="H131" s="27"/>
      <c r="I131" s="28">
        <f>AVERAGE(E130:I130)</f>
        <v>6952.3875261354497</v>
      </c>
      <c r="J131" s="27"/>
      <c r="K131" s="27"/>
      <c r="L131" s="27"/>
      <c r="M131" s="27"/>
      <c r="N131" s="27">
        <f>AVERAGE(E130:N130)</f>
        <v>4449.289174183039</v>
      </c>
    </row>
    <row r="132" spans="2:14" s="4" customFormat="1" ht="15" customHeight="1" x14ac:dyDescent="0.45">
      <c r="B132" s="185"/>
      <c r="C132" s="182"/>
      <c r="D132" s="19" t="s">
        <v>41</v>
      </c>
      <c r="E132" s="27">
        <f t="shared" ref="E132:N132" si="86">E$54/10*$C130/(2+$E$11)</f>
        <v>10852.713178294573</v>
      </c>
      <c r="F132" s="27">
        <f t="shared" si="86"/>
        <v>19265.669130460916</v>
      </c>
      <c r="G132" s="27">
        <f t="shared" si="86"/>
        <v>25787.340411210018</v>
      </c>
      <c r="H132" s="27">
        <f t="shared" si="86"/>
        <v>30842.899543573632</v>
      </c>
      <c r="I132" s="28">
        <f t="shared" si="86"/>
        <v>34761.937630677276</v>
      </c>
      <c r="J132" s="27">
        <f t="shared" si="86"/>
        <v>37799.951651687792</v>
      </c>
      <c r="K132" s="27">
        <f t="shared" si="86"/>
        <v>40155.001280378099</v>
      </c>
      <c r="L132" s="27">
        <f t="shared" si="86"/>
        <v>41980.62114758003</v>
      </c>
      <c r="M132" s="27">
        <f t="shared" si="86"/>
        <v>43395.830346961113</v>
      </c>
      <c r="N132" s="27">
        <f t="shared" si="86"/>
        <v>44492.891741830492</v>
      </c>
    </row>
    <row r="133" spans="2:14" s="4" customFormat="1" ht="15" customHeight="1" x14ac:dyDescent="0.45">
      <c r="B133" s="185"/>
      <c r="C133" s="183">
        <v>1000000</v>
      </c>
      <c r="D133" s="15" t="s">
        <v>19</v>
      </c>
      <c r="E133" s="29">
        <f t="shared" ref="E133:N133" si="87">E$53/10*$C133/(2+$E$11)</f>
        <v>27131.782945736435</v>
      </c>
      <c r="F133" s="29">
        <f t="shared" si="87"/>
        <v>21032.389880415842</v>
      </c>
      <c r="G133" s="29">
        <f t="shared" si="87"/>
        <v>16304.178201872744</v>
      </c>
      <c r="H133" s="29">
        <f t="shared" si="87"/>
        <v>12638.897830909105</v>
      </c>
      <c r="I133" s="29">
        <f t="shared" si="87"/>
        <v>9797.595217758997</v>
      </c>
      <c r="J133" s="29">
        <f t="shared" si="87"/>
        <v>7595.0350525263548</v>
      </c>
      <c r="K133" s="29">
        <f t="shared" si="87"/>
        <v>5887.624071725857</v>
      </c>
      <c r="L133" s="29">
        <f t="shared" si="87"/>
        <v>4564.0496680045399</v>
      </c>
      <c r="M133" s="29">
        <f t="shared" si="87"/>
        <v>3538.0229984531315</v>
      </c>
      <c r="N133" s="29">
        <f t="shared" si="87"/>
        <v>2742.65348717297</v>
      </c>
    </row>
    <row r="134" spans="2:14" s="4" customFormat="1" ht="15" customHeight="1" x14ac:dyDescent="0.45">
      <c r="B134" s="185"/>
      <c r="C134" s="183"/>
      <c r="D134" s="15" t="s">
        <v>22</v>
      </c>
      <c r="E134" s="29"/>
      <c r="F134" s="29"/>
      <c r="G134" s="29"/>
      <c r="H134" s="29"/>
      <c r="I134" s="30">
        <f>AVERAGE(E133:I133)</f>
        <v>17380.968815338627</v>
      </c>
      <c r="J134" s="29"/>
      <c r="K134" s="29"/>
      <c r="L134" s="29"/>
      <c r="M134" s="29"/>
      <c r="N134" s="29">
        <f>AVERAGE(E133:N133)</f>
        <v>11123.222935457599</v>
      </c>
    </row>
    <row r="135" spans="2:14" s="4" customFormat="1" ht="15" customHeight="1" x14ac:dyDescent="0.45">
      <c r="B135" s="186"/>
      <c r="C135" s="183"/>
      <c r="D135" s="15" t="s">
        <v>41</v>
      </c>
      <c r="E135" s="29">
        <f t="shared" ref="E135:N135" si="88">E$54/10*$C133/(2+$E$11)</f>
        <v>27131.782945736435</v>
      </c>
      <c r="F135" s="29">
        <f t="shared" si="88"/>
        <v>48164.17282615228</v>
      </c>
      <c r="G135" s="29">
        <f t="shared" si="88"/>
        <v>64468.351028025034</v>
      </c>
      <c r="H135" s="29">
        <f t="shared" si="88"/>
        <v>77107.248858934079</v>
      </c>
      <c r="I135" s="30">
        <f t="shared" si="88"/>
        <v>86904.844076693189</v>
      </c>
      <c r="J135" s="29">
        <f t="shared" si="88"/>
        <v>94499.87912921948</v>
      </c>
      <c r="K135" s="29">
        <f t="shared" si="88"/>
        <v>100387.50320094524</v>
      </c>
      <c r="L135" s="29">
        <f t="shared" si="88"/>
        <v>104951.55286895009</v>
      </c>
      <c r="M135" s="29">
        <f t="shared" si="88"/>
        <v>108489.57586740279</v>
      </c>
      <c r="N135" s="29">
        <f t="shared" si="88"/>
        <v>111232.22935457621</v>
      </c>
    </row>
    <row r="136" spans="2:14" s="4" customFormat="1" ht="15" customHeight="1" x14ac:dyDescent="0.45">
      <c r="B136" s="3"/>
      <c r="C136" s="1"/>
      <c r="D136" s="40"/>
      <c r="E136" s="10"/>
      <c r="F136" s="10"/>
      <c r="G136" s="10"/>
      <c r="H136" s="10"/>
      <c r="I136" s="10"/>
      <c r="J136" s="10"/>
      <c r="K136" s="10"/>
      <c r="L136" s="10"/>
      <c r="M136" s="10"/>
      <c r="N136" s="10"/>
    </row>
    <row r="137" spans="2:14" s="4" customFormat="1" ht="15" customHeight="1" x14ac:dyDescent="0.45">
      <c r="B137" s="2"/>
      <c r="C137" s="2"/>
      <c r="D137" s="14"/>
      <c r="E137" s="13"/>
      <c r="F137" s="13"/>
      <c r="G137" s="13"/>
      <c r="H137" s="13"/>
      <c r="I137" s="13"/>
      <c r="J137" s="13"/>
      <c r="K137" s="13"/>
      <c r="L137" s="13"/>
      <c r="M137" s="13"/>
      <c r="N137" s="13"/>
    </row>
    <row r="138" spans="2:14" ht="15" customHeight="1" x14ac:dyDescent="0.45">
      <c r="G138" s="12"/>
    </row>
  </sheetData>
  <mergeCells count="105">
    <mergeCell ref="B2:C11"/>
    <mergeCell ref="B13:B14"/>
    <mergeCell ref="C13:C14"/>
    <mergeCell ref="D13:D14"/>
    <mergeCell ref="E13:E14"/>
    <mergeCell ref="F13:F14"/>
    <mergeCell ref="J13:J14"/>
    <mergeCell ref="K13:K14"/>
    <mergeCell ref="L13:L14"/>
    <mergeCell ref="D2:E3"/>
    <mergeCell ref="G2:I3"/>
    <mergeCell ref="K2:N2"/>
    <mergeCell ref="M13:M14"/>
    <mergeCell ref="N13:N14"/>
    <mergeCell ref="G13:G14"/>
    <mergeCell ref="H13:H14"/>
    <mergeCell ref="I13:I14"/>
    <mergeCell ref="B28:B30"/>
    <mergeCell ref="C28:C30"/>
    <mergeCell ref="B17:B24"/>
    <mergeCell ref="C17:C24"/>
    <mergeCell ref="B15:B16"/>
    <mergeCell ref="C15:C16"/>
    <mergeCell ref="B25:B27"/>
    <mergeCell ref="C25:C27"/>
    <mergeCell ref="K32:K33"/>
    <mergeCell ref="C39:C41"/>
    <mergeCell ref="C42:C46"/>
    <mergeCell ref="B34:B46"/>
    <mergeCell ref="C34:C38"/>
    <mergeCell ref="B48:B49"/>
    <mergeCell ref="E48:E49"/>
    <mergeCell ref="F48:F49"/>
    <mergeCell ref="G48:G49"/>
    <mergeCell ref="H48:H49"/>
    <mergeCell ref="C48:C49"/>
    <mergeCell ref="D48:D49"/>
    <mergeCell ref="L32:L33"/>
    <mergeCell ref="M32:M33"/>
    <mergeCell ref="N32:N33"/>
    <mergeCell ref="B32:B33"/>
    <mergeCell ref="E32:E33"/>
    <mergeCell ref="F32:F33"/>
    <mergeCell ref="G32:G33"/>
    <mergeCell ref="H32:H33"/>
    <mergeCell ref="I32:I33"/>
    <mergeCell ref="J32:J33"/>
    <mergeCell ref="C32:C33"/>
    <mergeCell ref="D32:D33"/>
    <mergeCell ref="B50:B62"/>
    <mergeCell ref="N48:N49"/>
    <mergeCell ref="C119:C123"/>
    <mergeCell ref="C114:C118"/>
    <mergeCell ref="C104:C108"/>
    <mergeCell ref="C71:C73"/>
    <mergeCell ref="L64:L65"/>
    <mergeCell ref="M64:M65"/>
    <mergeCell ref="N64:N65"/>
    <mergeCell ref="E64:E65"/>
    <mergeCell ref="F64:F65"/>
    <mergeCell ref="G64:G65"/>
    <mergeCell ref="H64:H65"/>
    <mergeCell ref="I64:I65"/>
    <mergeCell ref="I48:I49"/>
    <mergeCell ref="J48:J49"/>
    <mergeCell ref="K48:K49"/>
    <mergeCell ref="L48:L49"/>
    <mergeCell ref="M48:M49"/>
    <mergeCell ref="C55:C57"/>
    <mergeCell ref="C58:C62"/>
    <mergeCell ref="C50:C54"/>
    <mergeCell ref="B109:B123"/>
    <mergeCell ref="C109:C113"/>
    <mergeCell ref="J64:J65"/>
    <mergeCell ref="K64:K65"/>
    <mergeCell ref="D64:D65"/>
    <mergeCell ref="C130:C132"/>
    <mergeCell ref="C133:C135"/>
    <mergeCell ref="C127:C129"/>
    <mergeCell ref="B127:B135"/>
    <mergeCell ref="J125:J126"/>
    <mergeCell ref="K125:K126"/>
    <mergeCell ref="C64:C65"/>
    <mergeCell ref="B64:B65"/>
    <mergeCell ref="C99:C103"/>
    <mergeCell ref="C74:C78"/>
    <mergeCell ref="B94:B108"/>
    <mergeCell ref="C94:C98"/>
    <mergeCell ref="B66:B78"/>
    <mergeCell ref="C66:C70"/>
    <mergeCell ref="B79:B93"/>
    <mergeCell ref="C79:C83"/>
    <mergeCell ref="C84:C88"/>
    <mergeCell ref="C89:C93"/>
    <mergeCell ref="L125:L126"/>
    <mergeCell ref="M125:M126"/>
    <mergeCell ref="N125:N126"/>
    <mergeCell ref="B125:B126"/>
    <mergeCell ref="C125:C126"/>
    <mergeCell ref="D125:D126"/>
    <mergeCell ref="E125:E126"/>
    <mergeCell ref="F125:F126"/>
    <mergeCell ref="G125:G126"/>
    <mergeCell ref="H125:H126"/>
    <mergeCell ref="I125:I126"/>
  </mergeCells>
  <pageMargins left="0.7" right="0.7" top="0.75" bottom="0.75" header="0.3" footer="0.3"/>
  <pageSetup orientation="portrait" r:id="rId1"/>
  <headerFooter>
    <oddHeader>&amp;R&amp;"Aptos"&amp;12&amp;K000000 Unclassified / Non classifié&amp;1#_x000D_</oddHeader>
  </headerFooter>
  <ignoredErrors>
    <ignoredError sqref="I60 N60 I76 N76 I110 N110 I116 N116 I121 N121 I21 N21 I23 N23 I28 N28 I44 N44 I101 N101 I106 N106 I25 N25 I86 N86 I91 N91"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8A8B3-4D3D-4488-B4BF-24906CFC65EC}">
  <dimension ref="A1:N47"/>
  <sheetViews>
    <sheetView zoomScaleNormal="100" workbookViewId="0">
      <selection activeCell="R15" sqref="R15"/>
    </sheetView>
  </sheetViews>
  <sheetFormatPr defaultColWidth="9" defaultRowHeight="15" customHeight="1" x14ac:dyDescent="0.45"/>
  <cols>
    <col min="1" max="1" width="1.73046875" style="2" customWidth="1"/>
    <col min="2" max="2" width="41" style="2" customWidth="1"/>
    <col min="3" max="3" width="24.1328125" style="2" bestFit="1" customWidth="1"/>
    <col min="4" max="13" width="13.73046875" style="2" customWidth="1"/>
    <col min="14" max="14" width="1.73046875" style="2" customWidth="1"/>
    <col min="15" max="15" width="14.3984375" style="2" customWidth="1"/>
    <col min="16" max="16" width="1.59765625" style="2" customWidth="1"/>
    <col min="17" max="16384" width="9" style="2"/>
  </cols>
  <sheetData>
    <row r="1" spans="1:14" ht="15" customHeight="1" x14ac:dyDescent="0.45">
      <c r="A1" s="1"/>
      <c r="B1" s="1"/>
      <c r="C1" s="1"/>
      <c r="D1" s="1"/>
      <c r="E1" s="6"/>
      <c r="F1" s="6"/>
      <c r="G1" s="6"/>
      <c r="H1" s="6"/>
      <c r="I1" s="6"/>
      <c r="J1" s="6"/>
      <c r="K1" s="1"/>
      <c r="L1" s="1"/>
      <c r="M1" s="1"/>
      <c r="N1" s="11"/>
    </row>
    <row r="2" spans="1:14" ht="15" customHeight="1" x14ac:dyDescent="0.45">
      <c r="A2" s="4"/>
      <c r="B2" s="166" t="s">
        <v>28</v>
      </c>
      <c r="C2" s="168"/>
      <c r="D2" s="5"/>
      <c r="E2" s="6"/>
      <c r="F2" s="6"/>
      <c r="G2" s="6"/>
      <c r="H2" s="6"/>
      <c r="I2" s="6"/>
      <c r="J2" s="6"/>
      <c r="K2" s="6"/>
      <c r="L2" s="6"/>
      <c r="M2" s="6"/>
      <c r="N2" s="4"/>
    </row>
    <row r="3" spans="1:14" ht="15" customHeight="1" x14ac:dyDescent="0.45">
      <c r="A3" s="4"/>
      <c r="B3" s="167"/>
      <c r="C3" s="169"/>
      <c r="D3" s="5"/>
      <c r="E3" s="6"/>
      <c r="F3" s="6"/>
      <c r="G3" s="6"/>
      <c r="H3" s="6"/>
      <c r="I3" s="6"/>
      <c r="J3" s="6"/>
      <c r="K3" s="6"/>
      <c r="L3" s="6"/>
      <c r="M3" s="6"/>
      <c r="N3" s="4"/>
    </row>
    <row r="4" spans="1:14" ht="15" customHeight="1" x14ac:dyDescent="0.45">
      <c r="A4" s="4"/>
      <c r="B4" s="32" t="s">
        <v>2</v>
      </c>
      <c r="C4" s="170">
        <v>60000</v>
      </c>
      <c r="D4" s="5"/>
      <c r="E4" s="6"/>
      <c r="F4" s="6"/>
      <c r="G4" s="6"/>
      <c r="H4" s="6"/>
      <c r="I4" s="6"/>
      <c r="J4" s="6"/>
      <c r="K4" s="6"/>
      <c r="L4" s="6"/>
      <c r="M4" s="6"/>
      <c r="N4" s="4"/>
    </row>
    <row r="5" spans="1:14" ht="15" customHeight="1" x14ac:dyDescent="0.45">
      <c r="A5" s="4"/>
      <c r="B5" s="6"/>
      <c r="C5" s="6"/>
      <c r="D5" s="4"/>
      <c r="E5" s="6"/>
      <c r="F5" s="6"/>
      <c r="G5" s="6"/>
      <c r="H5" s="6"/>
      <c r="I5" s="6"/>
      <c r="J5" s="6"/>
      <c r="K5" s="6"/>
      <c r="L5" s="6"/>
      <c r="M5" s="6"/>
      <c r="N5" s="4"/>
    </row>
    <row r="6" spans="1:14" ht="30" customHeight="1" x14ac:dyDescent="0.45">
      <c r="A6" s="4"/>
      <c r="B6" s="70" t="s">
        <v>56</v>
      </c>
      <c r="C6" s="71"/>
      <c r="D6" s="174" t="s">
        <v>3</v>
      </c>
      <c r="E6" s="174" t="s">
        <v>4</v>
      </c>
      <c r="F6" s="174" t="s">
        <v>5</v>
      </c>
      <c r="G6" s="174" t="s">
        <v>6</v>
      </c>
      <c r="H6" s="174" t="s">
        <v>7</v>
      </c>
      <c r="I6" s="174" t="s">
        <v>8</v>
      </c>
      <c r="J6" s="174" t="s">
        <v>9</v>
      </c>
      <c r="K6" s="174" t="s">
        <v>10</v>
      </c>
      <c r="L6" s="174" t="s">
        <v>11</v>
      </c>
      <c r="M6" s="174" t="s">
        <v>12</v>
      </c>
      <c r="N6" s="7"/>
    </row>
    <row r="7" spans="1:14" ht="30" customHeight="1" x14ac:dyDescent="0.45">
      <c r="A7" s="4"/>
      <c r="B7" s="39" t="s">
        <v>30</v>
      </c>
      <c r="C7" s="39" t="s">
        <v>51</v>
      </c>
      <c r="D7" s="175"/>
      <c r="E7" s="175"/>
      <c r="F7" s="175"/>
      <c r="G7" s="175"/>
      <c r="H7" s="175"/>
      <c r="I7" s="175"/>
      <c r="J7" s="175"/>
      <c r="K7" s="175"/>
      <c r="L7" s="175"/>
      <c r="M7" s="175"/>
      <c r="N7" s="4"/>
    </row>
    <row r="8" spans="1:14" ht="15" customHeight="1" x14ac:dyDescent="0.45">
      <c r="A8" s="4"/>
      <c r="B8" s="219">
        <v>0.2</v>
      </c>
      <c r="C8" s="56" t="s">
        <v>0</v>
      </c>
      <c r="D8" s="46">
        <f>($C$4 * $B8) + $C$4</f>
        <v>72000</v>
      </c>
      <c r="E8" s="47">
        <f>(D8 * $B8) + D8</f>
        <v>86400</v>
      </c>
      <c r="F8" s="47">
        <f t="shared" ref="F8:M8" si="0">(E8 * $B8) + E8</f>
        <v>103680</v>
      </c>
      <c r="G8" s="47">
        <f t="shared" si="0"/>
        <v>124416</v>
      </c>
      <c r="H8" s="47">
        <f t="shared" si="0"/>
        <v>149299.20000000001</v>
      </c>
      <c r="I8" s="47">
        <f t="shared" si="0"/>
        <v>179159.04000000001</v>
      </c>
      <c r="J8" s="47">
        <f t="shared" si="0"/>
        <v>214990.848</v>
      </c>
      <c r="K8" s="47">
        <f t="shared" si="0"/>
        <v>257989.01759999999</v>
      </c>
      <c r="L8" s="47">
        <f t="shared" si="0"/>
        <v>309586.82111999998</v>
      </c>
      <c r="M8" s="47">
        <f t="shared" si="0"/>
        <v>371504.185344</v>
      </c>
      <c r="N8" s="8"/>
    </row>
    <row r="9" spans="1:14" ht="15" customHeight="1" x14ac:dyDescent="0.45">
      <c r="A9" s="4"/>
      <c r="B9" s="219"/>
      <c r="C9" s="55" t="s">
        <v>1</v>
      </c>
      <c r="D9" s="48">
        <f>D8*21000000</f>
        <v>1512000000000</v>
      </c>
      <c r="E9" s="49">
        <f t="shared" ref="E9:M9" si="1">E8*21000000</f>
        <v>1814400000000</v>
      </c>
      <c r="F9" s="49">
        <f t="shared" si="1"/>
        <v>2177280000000</v>
      </c>
      <c r="G9" s="49">
        <f t="shared" si="1"/>
        <v>2612736000000</v>
      </c>
      <c r="H9" s="49">
        <f t="shared" si="1"/>
        <v>3135283200000.0005</v>
      </c>
      <c r="I9" s="49">
        <f t="shared" si="1"/>
        <v>3762339840000</v>
      </c>
      <c r="J9" s="49">
        <f t="shared" si="1"/>
        <v>4514807808000</v>
      </c>
      <c r="K9" s="49">
        <f t="shared" si="1"/>
        <v>5417769369600</v>
      </c>
      <c r="L9" s="49">
        <f t="shared" si="1"/>
        <v>6501323243520</v>
      </c>
      <c r="M9" s="49">
        <f t="shared" si="1"/>
        <v>7801587892224</v>
      </c>
      <c r="N9" s="8"/>
    </row>
    <row r="10" spans="1:14" ht="15" customHeight="1" x14ac:dyDescent="0.45">
      <c r="A10" s="4"/>
      <c r="B10" s="219"/>
      <c r="C10" s="57" t="s">
        <v>14</v>
      </c>
      <c r="D10" s="50">
        <f t="shared" ref="D10:M10" si="2">( ( D8 - $C$4 ) ) / D8</f>
        <v>0.16666666666666666</v>
      </c>
      <c r="E10" s="50">
        <f t="shared" si="2"/>
        <v>0.30555555555555558</v>
      </c>
      <c r="F10" s="50">
        <f t="shared" si="2"/>
        <v>0.42129629629629628</v>
      </c>
      <c r="G10" s="50">
        <f t="shared" si="2"/>
        <v>0.51774691358024694</v>
      </c>
      <c r="H10" s="51">
        <f t="shared" si="2"/>
        <v>0.5981224279835391</v>
      </c>
      <c r="I10" s="50">
        <f t="shared" si="2"/>
        <v>0.66510202331961588</v>
      </c>
      <c r="J10" s="50">
        <f t="shared" si="2"/>
        <v>0.72091835276634664</v>
      </c>
      <c r="K10" s="50">
        <f t="shared" si="2"/>
        <v>0.76743196063862218</v>
      </c>
      <c r="L10" s="50">
        <f t="shared" si="2"/>
        <v>0.80619330053218508</v>
      </c>
      <c r="M10" s="50">
        <f t="shared" si="2"/>
        <v>0.83849441711015427</v>
      </c>
      <c r="N10" s="9"/>
    </row>
    <row r="11" spans="1:14" ht="15" customHeight="1" x14ac:dyDescent="0.45">
      <c r="A11" s="4"/>
      <c r="B11" s="219"/>
      <c r="C11" s="57" t="s">
        <v>13</v>
      </c>
      <c r="D11" s="50">
        <f>1-D10</f>
        <v>0.83333333333333337</v>
      </c>
      <c r="E11" s="50">
        <f t="shared" ref="E11:M11" si="3">1-E10</f>
        <v>0.69444444444444442</v>
      </c>
      <c r="F11" s="50">
        <f t="shared" si="3"/>
        <v>0.57870370370370372</v>
      </c>
      <c r="G11" s="50">
        <f t="shared" si="3"/>
        <v>0.48225308641975306</v>
      </c>
      <c r="H11" s="51">
        <f t="shared" si="3"/>
        <v>0.4018775720164609</v>
      </c>
      <c r="I11" s="50">
        <f t="shared" si="3"/>
        <v>0.33489797668038412</v>
      </c>
      <c r="J11" s="50">
        <f t="shared" si="3"/>
        <v>0.27908164723365336</v>
      </c>
      <c r="K11" s="50">
        <f t="shared" si="3"/>
        <v>0.23256803936137782</v>
      </c>
      <c r="L11" s="50">
        <f t="shared" si="3"/>
        <v>0.19380669946781492</v>
      </c>
      <c r="M11" s="50">
        <f t="shared" si="3"/>
        <v>0.16150558288984573</v>
      </c>
      <c r="N11" s="9"/>
    </row>
    <row r="12" spans="1:14" ht="15" customHeight="1" x14ac:dyDescent="0.45">
      <c r="A12" s="4"/>
      <c r="B12" s="219"/>
      <c r="C12" s="55" t="s">
        <v>15</v>
      </c>
      <c r="D12" s="52">
        <f>D10</f>
        <v>0.16666666666666666</v>
      </c>
      <c r="E12" s="53">
        <f>E10-D10</f>
        <v>0.13888888888888892</v>
      </c>
      <c r="F12" s="53">
        <f>F10-E10</f>
        <v>0.1157407407407407</v>
      </c>
      <c r="G12" s="53">
        <f t="shared" ref="G12:M12" si="4">G10-F10</f>
        <v>9.6450617283950657E-2</v>
      </c>
      <c r="H12" s="53">
        <f t="shared" si="4"/>
        <v>8.0375514403292159E-2</v>
      </c>
      <c r="I12" s="53">
        <f t="shared" si="4"/>
        <v>6.697959533607678E-2</v>
      </c>
      <c r="J12" s="53">
        <f t="shared" si="4"/>
        <v>5.5816329446730761E-2</v>
      </c>
      <c r="K12" s="53">
        <f t="shared" si="4"/>
        <v>4.6513607872275542E-2</v>
      </c>
      <c r="L12" s="53">
        <f t="shared" si="4"/>
        <v>3.8761339893562896E-2</v>
      </c>
      <c r="M12" s="53">
        <f t="shared" si="4"/>
        <v>3.2301116577969191E-2</v>
      </c>
      <c r="N12" s="8"/>
    </row>
    <row r="13" spans="1:14" ht="15" customHeight="1" x14ac:dyDescent="0.45">
      <c r="A13" s="4"/>
      <c r="B13" s="222"/>
      <c r="C13" s="55" t="s">
        <v>31</v>
      </c>
      <c r="D13" s="52"/>
      <c r="E13" s="53"/>
      <c r="F13" s="53"/>
      <c r="G13" s="53"/>
      <c r="H13" s="53">
        <f>SUM(D12:H12)/5</f>
        <v>0.11962448559670782</v>
      </c>
      <c r="I13" s="54"/>
      <c r="J13" s="54"/>
      <c r="K13" s="54"/>
      <c r="L13" s="54"/>
      <c r="M13" s="53">
        <f>SUM(D12:M12)/10</f>
        <v>8.3849441711015424E-2</v>
      </c>
      <c r="N13" s="8"/>
    </row>
    <row r="14" spans="1:14" ht="15" customHeight="1" x14ac:dyDescent="0.45">
      <c r="A14" s="4"/>
      <c r="B14" s="221">
        <v>0.25</v>
      </c>
      <c r="C14" s="55" t="s">
        <v>0</v>
      </c>
      <c r="D14" s="46">
        <f>($C$4 * $B14) + $C$4</f>
        <v>75000</v>
      </c>
      <c r="E14" s="47">
        <f>(D14 * $B14) + D14</f>
        <v>93750</v>
      </c>
      <c r="F14" s="47">
        <f t="shared" ref="F14:M14" si="5">(E14 * $B14) + E14</f>
        <v>117187.5</v>
      </c>
      <c r="G14" s="47">
        <f t="shared" si="5"/>
        <v>146484.375</v>
      </c>
      <c r="H14" s="47">
        <f t="shared" si="5"/>
        <v>183105.46875</v>
      </c>
      <c r="I14" s="47">
        <f t="shared" si="5"/>
        <v>228881.8359375</v>
      </c>
      <c r="J14" s="47">
        <f t="shared" si="5"/>
        <v>286102.294921875</v>
      </c>
      <c r="K14" s="47">
        <f t="shared" si="5"/>
        <v>357627.86865234375</v>
      </c>
      <c r="L14" s="47">
        <f t="shared" si="5"/>
        <v>447034.83581542969</v>
      </c>
      <c r="M14" s="47">
        <f t="shared" si="5"/>
        <v>558793.54476928711</v>
      </c>
      <c r="N14" s="4"/>
    </row>
    <row r="15" spans="1:14" ht="15" customHeight="1" x14ac:dyDescent="0.45">
      <c r="A15" s="4"/>
      <c r="B15" s="219"/>
      <c r="C15" s="55" t="s">
        <v>1</v>
      </c>
      <c r="D15" s="48">
        <f>D14*21000000</f>
        <v>1575000000000</v>
      </c>
      <c r="E15" s="49">
        <f t="shared" ref="E15:M15" si="6">E14*21000000</f>
        <v>1968750000000</v>
      </c>
      <c r="F15" s="49">
        <f t="shared" si="6"/>
        <v>2460937500000</v>
      </c>
      <c r="G15" s="49">
        <f t="shared" si="6"/>
        <v>3076171875000</v>
      </c>
      <c r="H15" s="49">
        <f t="shared" si="6"/>
        <v>3845214843750</v>
      </c>
      <c r="I15" s="49">
        <f t="shared" si="6"/>
        <v>4806518554687.5</v>
      </c>
      <c r="J15" s="49">
        <f t="shared" si="6"/>
        <v>6008148193359.375</v>
      </c>
      <c r="K15" s="49">
        <f t="shared" si="6"/>
        <v>7510185241699.2188</v>
      </c>
      <c r="L15" s="49">
        <f t="shared" si="6"/>
        <v>9387731552124.0234</v>
      </c>
      <c r="M15" s="49">
        <f t="shared" si="6"/>
        <v>11734664440155.029</v>
      </c>
      <c r="N15" s="4"/>
    </row>
    <row r="16" spans="1:14" ht="15" customHeight="1" x14ac:dyDescent="0.45">
      <c r="A16" s="4"/>
      <c r="B16" s="219"/>
      <c r="C16" s="57" t="s">
        <v>14</v>
      </c>
      <c r="D16" s="50">
        <f t="shared" ref="D16:M16" si="7">( ( D14 - $C$4 ) ) / D14</f>
        <v>0.2</v>
      </c>
      <c r="E16" s="50">
        <f t="shared" si="7"/>
        <v>0.36</v>
      </c>
      <c r="F16" s="50">
        <f t="shared" si="7"/>
        <v>0.48799999999999999</v>
      </c>
      <c r="G16" s="50">
        <f t="shared" si="7"/>
        <v>0.59040000000000004</v>
      </c>
      <c r="H16" s="51">
        <f t="shared" si="7"/>
        <v>0.67232000000000003</v>
      </c>
      <c r="I16" s="50">
        <f t="shared" si="7"/>
        <v>0.73785599999999996</v>
      </c>
      <c r="J16" s="50">
        <f t="shared" si="7"/>
        <v>0.79028480000000001</v>
      </c>
      <c r="K16" s="50">
        <f t="shared" si="7"/>
        <v>0.83222784000000005</v>
      </c>
      <c r="L16" s="50">
        <f t="shared" si="7"/>
        <v>0.86578227200000002</v>
      </c>
      <c r="M16" s="50">
        <f t="shared" si="7"/>
        <v>0.89262581760000004</v>
      </c>
      <c r="N16" s="4"/>
    </row>
    <row r="17" spans="1:14" ht="15" customHeight="1" x14ac:dyDescent="0.45">
      <c r="A17" s="4"/>
      <c r="B17" s="219"/>
      <c r="C17" s="57" t="s">
        <v>13</v>
      </c>
      <c r="D17" s="50">
        <f>1-D16</f>
        <v>0.8</v>
      </c>
      <c r="E17" s="50">
        <f t="shared" ref="E17:M17" si="8">1-E16</f>
        <v>0.64</v>
      </c>
      <c r="F17" s="50">
        <f t="shared" si="8"/>
        <v>0.51200000000000001</v>
      </c>
      <c r="G17" s="50">
        <f t="shared" si="8"/>
        <v>0.40959999999999996</v>
      </c>
      <c r="H17" s="51">
        <f t="shared" si="8"/>
        <v>0.32767999999999997</v>
      </c>
      <c r="I17" s="50">
        <f t="shared" si="8"/>
        <v>0.26214400000000004</v>
      </c>
      <c r="J17" s="50">
        <f t="shared" si="8"/>
        <v>0.20971519999999999</v>
      </c>
      <c r="K17" s="50">
        <f t="shared" si="8"/>
        <v>0.16777215999999995</v>
      </c>
      <c r="L17" s="50">
        <f t="shared" si="8"/>
        <v>0.13421772799999998</v>
      </c>
      <c r="M17" s="50">
        <f t="shared" si="8"/>
        <v>0.10737418239999996</v>
      </c>
      <c r="N17" s="4"/>
    </row>
    <row r="18" spans="1:14" ht="15" customHeight="1" x14ac:dyDescent="0.45">
      <c r="A18" s="4"/>
      <c r="B18" s="219"/>
      <c r="C18" s="55" t="s">
        <v>15</v>
      </c>
      <c r="D18" s="52">
        <f>D16</f>
        <v>0.2</v>
      </c>
      <c r="E18" s="53">
        <f>E16-D16</f>
        <v>0.15999999999999998</v>
      </c>
      <c r="F18" s="53">
        <f>F16-E16</f>
        <v>0.128</v>
      </c>
      <c r="G18" s="53">
        <f t="shared" ref="G18" si="9">G16-F16</f>
        <v>0.10240000000000005</v>
      </c>
      <c r="H18" s="53">
        <f t="shared" ref="H18" si="10">H16-G16</f>
        <v>8.1919999999999993E-2</v>
      </c>
      <c r="I18" s="53">
        <f t="shared" ref="I18" si="11">I16-H16</f>
        <v>6.5535999999999928E-2</v>
      </c>
      <c r="J18" s="53">
        <f t="shared" ref="J18" si="12">J16-I16</f>
        <v>5.2428800000000053E-2</v>
      </c>
      <c r="K18" s="53">
        <f t="shared" ref="K18" si="13">K16-J16</f>
        <v>4.1943040000000043E-2</v>
      </c>
      <c r="L18" s="53">
        <f t="shared" ref="L18" si="14">L16-K16</f>
        <v>3.3554431999999967E-2</v>
      </c>
      <c r="M18" s="53">
        <f t="shared" ref="M18" si="15">M16-L16</f>
        <v>2.6843545600000018E-2</v>
      </c>
      <c r="N18" s="4"/>
    </row>
    <row r="19" spans="1:14" ht="15" customHeight="1" x14ac:dyDescent="0.45">
      <c r="A19" s="4"/>
      <c r="B19" s="222"/>
      <c r="C19" s="55" t="s">
        <v>31</v>
      </c>
      <c r="D19" s="52"/>
      <c r="E19" s="53"/>
      <c r="F19" s="53"/>
      <c r="G19" s="53"/>
      <c r="H19" s="53">
        <f>SUM(D18:H18)/5</f>
        <v>0.134464</v>
      </c>
      <c r="I19" s="54"/>
      <c r="J19" s="54"/>
      <c r="K19" s="54"/>
      <c r="L19" s="54"/>
      <c r="M19" s="53">
        <f>SUM(D18:M18)/10</f>
        <v>8.9262581760000001E-2</v>
      </c>
      <c r="N19" s="4"/>
    </row>
    <row r="20" spans="1:14" ht="15" customHeight="1" x14ac:dyDescent="0.45">
      <c r="A20" s="4"/>
      <c r="B20" s="221">
        <v>0.3</v>
      </c>
      <c r="C20" s="55" t="s">
        <v>0</v>
      </c>
      <c r="D20" s="46">
        <f>($C$4 * $B20) + $C$4</f>
        <v>78000</v>
      </c>
      <c r="E20" s="47">
        <f>(D20 * $B20) + D20</f>
        <v>101400</v>
      </c>
      <c r="F20" s="47">
        <f t="shared" ref="F20:M20" si="16">(E20 * $B20) + E20</f>
        <v>131820</v>
      </c>
      <c r="G20" s="47">
        <f t="shared" si="16"/>
        <v>171366</v>
      </c>
      <c r="H20" s="47">
        <f t="shared" si="16"/>
        <v>222775.8</v>
      </c>
      <c r="I20" s="47">
        <f t="shared" si="16"/>
        <v>289608.53999999998</v>
      </c>
      <c r="J20" s="47">
        <f t="shared" si="16"/>
        <v>376491.10199999996</v>
      </c>
      <c r="K20" s="47">
        <f t="shared" si="16"/>
        <v>489438.43259999994</v>
      </c>
      <c r="L20" s="47">
        <f t="shared" si="16"/>
        <v>636269.96237999992</v>
      </c>
      <c r="M20" s="47">
        <f t="shared" si="16"/>
        <v>827150.9510939999</v>
      </c>
      <c r="N20" s="4"/>
    </row>
    <row r="21" spans="1:14" ht="15" customHeight="1" x14ac:dyDescent="0.45">
      <c r="A21" s="4"/>
      <c r="B21" s="219"/>
      <c r="C21" s="55" t="s">
        <v>1</v>
      </c>
      <c r="D21" s="48">
        <f>D20*21000000</f>
        <v>1638000000000</v>
      </c>
      <c r="E21" s="49">
        <f t="shared" ref="E21:M21" si="17">E20*21000000</f>
        <v>2129400000000</v>
      </c>
      <c r="F21" s="49">
        <f t="shared" si="17"/>
        <v>2768220000000</v>
      </c>
      <c r="G21" s="49">
        <f t="shared" si="17"/>
        <v>3598686000000</v>
      </c>
      <c r="H21" s="49">
        <f t="shared" si="17"/>
        <v>4678291800000</v>
      </c>
      <c r="I21" s="49">
        <f t="shared" si="17"/>
        <v>6081779340000</v>
      </c>
      <c r="J21" s="49">
        <f t="shared" si="17"/>
        <v>7906313141999.999</v>
      </c>
      <c r="K21" s="49">
        <f t="shared" si="17"/>
        <v>10278207084599.998</v>
      </c>
      <c r="L21" s="49">
        <f t="shared" si="17"/>
        <v>13361669209979.998</v>
      </c>
      <c r="M21" s="49">
        <f t="shared" si="17"/>
        <v>17370169972973.998</v>
      </c>
      <c r="N21" s="4"/>
    </row>
    <row r="22" spans="1:14" ht="15" customHeight="1" x14ac:dyDescent="0.45">
      <c r="A22" s="4"/>
      <c r="B22" s="219"/>
      <c r="C22" s="57" t="s">
        <v>14</v>
      </c>
      <c r="D22" s="50">
        <f t="shared" ref="D22:M22" si="18">( ( D20 - $C$4 ) ) / D20</f>
        <v>0.23076923076923078</v>
      </c>
      <c r="E22" s="50">
        <f t="shared" si="18"/>
        <v>0.40828402366863903</v>
      </c>
      <c r="F22" s="50">
        <f t="shared" si="18"/>
        <v>0.54483386436049153</v>
      </c>
      <c r="G22" s="50">
        <f t="shared" si="18"/>
        <v>0.64987220335422424</v>
      </c>
      <c r="H22" s="51">
        <f t="shared" si="18"/>
        <v>0.73067092565709557</v>
      </c>
      <c r="I22" s="50">
        <f t="shared" si="18"/>
        <v>0.79282378896699657</v>
      </c>
      <c r="J22" s="50">
        <f t="shared" si="18"/>
        <v>0.84063368382076664</v>
      </c>
      <c r="K22" s="50">
        <f t="shared" si="18"/>
        <v>0.87741052601597436</v>
      </c>
      <c r="L22" s="50">
        <f t="shared" si="18"/>
        <v>0.90570040462767254</v>
      </c>
      <c r="M22" s="50">
        <f t="shared" si="18"/>
        <v>0.92746184971359424</v>
      </c>
      <c r="N22" s="4"/>
    </row>
    <row r="23" spans="1:14" ht="15" customHeight="1" x14ac:dyDescent="0.45">
      <c r="A23" s="4"/>
      <c r="B23" s="219"/>
      <c r="C23" s="57" t="s">
        <v>13</v>
      </c>
      <c r="D23" s="50">
        <f>1-D22</f>
        <v>0.76923076923076916</v>
      </c>
      <c r="E23" s="50">
        <f t="shared" ref="E23:M23" si="19">1-E22</f>
        <v>0.59171597633136097</v>
      </c>
      <c r="F23" s="50">
        <f t="shared" si="19"/>
        <v>0.45516613563950847</v>
      </c>
      <c r="G23" s="50">
        <f t="shared" si="19"/>
        <v>0.35012779664577576</v>
      </c>
      <c r="H23" s="51">
        <f t="shared" si="19"/>
        <v>0.26932907434290443</v>
      </c>
      <c r="I23" s="50">
        <f t="shared" si="19"/>
        <v>0.20717621103300343</v>
      </c>
      <c r="J23" s="50">
        <f t="shared" si="19"/>
        <v>0.15936631617923336</v>
      </c>
      <c r="K23" s="50">
        <f t="shared" si="19"/>
        <v>0.12258947398402564</v>
      </c>
      <c r="L23" s="50">
        <f t="shared" si="19"/>
        <v>9.429959537232746E-2</v>
      </c>
      <c r="M23" s="50">
        <f t="shared" si="19"/>
        <v>7.2538150286405756E-2</v>
      </c>
      <c r="N23" s="4"/>
    </row>
    <row r="24" spans="1:14" ht="15" customHeight="1" x14ac:dyDescent="0.45">
      <c r="A24" s="4"/>
      <c r="B24" s="219"/>
      <c r="C24" s="55" t="s">
        <v>15</v>
      </c>
      <c r="D24" s="52">
        <f>D22</f>
        <v>0.23076923076923078</v>
      </c>
      <c r="E24" s="53">
        <f>E22-D22</f>
        <v>0.17751479289940825</v>
      </c>
      <c r="F24" s="53">
        <f>F22-E22</f>
        <v>0.1365498406918525</v>
      </c>
      <c r="G24" s="53">
        <f t="shared" ref="G24" si="20">G22-F22</f>
        <v>0.10503833899373272</v>
      </c>
      <c r="H24" s="53">
        <f t="shared" ref="H24" si="21">H22-G22</f>
        <v>8.0798722302871329E-2</v>
      </c>
      <c r="I24" s="53">
        <f t="shared" ref="I24" si="22">I22-H22</f>
        <v>6.2152863309900996E-2</v>
      </c>
      <c r="J24" s="53">
        <f t="shared" ref="J24" si="23">J22-I22</f>
        <v>4.7809894853770074E-2</v>
      </c>
      <c r="K24" s="53">
        <f t="shared" ref="K24" si="24">K22-J22</f>
        <v>3.6776842195207715E-2</v>
      </c>
      <c r="L24" s="53">
        <f t="shared" ref="L24" si="25">L22-K22</f>
        <v>2.8289878611698183E-2</v>
      </c>
      <c r="M24" s="53">
        <f t="shared" ref="M24" si="26">M22-L22</f>
        <v>2.1761445085921705E-2</v>
      </c>
      <c r="N24" s="4"/>
    </row>
    <row r="25" spans="1:14" ht="15" customHeight="1" x14ac:dyDescent="0.45">
      <c r="A25" s="4"/>
      <c r="B25" s="222"/>
      <c r="C25" s="55" t="s">
        <v>31</v>
      </c>
      <c r="D25" s="52"/>
      <c r="E25" s="53"/>
      <c r="F25" s="53"/>
      <c r="G25" s="53"/>
      <c r="H25" s="53">
        <f>SUM(D24:H24)/5</f>
        <v>0.14613418513141913</v>
      </c>
      <c r="I25" s="54"/>
      <c r="J25" s="54"/>
      <c r="K25" s="54"/>
      <c r="L25" s="54"/>
      <c r="M25" s="53">
        <f>SUM(D24:M24)/10</f>
        <v>9.2746184971359419E-2</v>
      </c>
      <c r="N25" s="4"/>
    </row>
    <row r="26" spans="1:14" ht="15" customHeight="1" x14ac:dyDescent="0.45">
      <c r="A26" s="4"/>
      <c r="B26" s="221">
        <v>0.35</v>
      </c>
      <c r="C26" s="55" t="s">
        <v>0</v>
      </c>
      <c r="D26" s="46">
        <f>($C$4 * $B26) + $C$4</f>
        <v>81000</v>
      </c>
      <c r="E26" s="47">
        <f>(D26 * $B26) + D26</f>
        <v>109350</v>
      </c>
      <c r="F26" s="47">
        <f t="shared" ref="F26:M26" si="27">(E26 * $B26) + E26</f>
        <v>147622.5</v>
      </c>
      <c r="G26" s="47">
        <f t="shared" si="27"/>
        <v>199290.375</v>
      </c>
      <c r="H26" s="47">
        <f t="shared" si="27"/>
        <v>269042.00624999998</v>
      </c>
      <c r="I26" s="47">
        <f t="shared" si="27"/>
        <v>363206.70843749994</v>
      </c>
      <c r="J26" s="47">
        <f t="shared" si="27"/>
        <v>490329.0563906249</v>
      </c>
      <c r="K26" s="47">
        <f t="shared" si="27"/>
        <v>661944.2261273436</v>
      </c>
      <c r="L26" s="47">
        <f t="shared" si="27"/>
        <v>893624.7052719139</v>
      </c>
      <c r="M26" s="47">
        <f t="shared" si="27"/>
        <v>1206393.3521170837</v>
      </c>
      <c r="N26" s="4"/>
    </row>
    <row r="27" spans="1:14" ht="15" customHeight="1" x14ac:dyDescent="0.45">
      <c r="A27" s="4"/>
      <c r="B27" s="219"/>
      <c r="C27" s="55" t="s">
        <v>1</v>
      </c>
      <c r="D27" s="48">
        <f>D26*21000000</f>
        <v>1701000000000</v>
      </c>
      <c r="E27" s="49">
        <f t="shared" ref="E27:M27" si="28">E26*21000000</f>
        <v>2296350000000</v>
      </c>
      <c r="F27" s="49">
        <f t="shared" si="28"/>
        <v>3100072500000</v>
      </c>
      <c r="G27" s="49">
        <f t="shared" si="28"/>
        <v>4185097875000</v>
      </c>
      <c r="H27" s="49">
        <f t="shared" si="28"/>
        <v>5649882131249.999</v>
      </c>
      <c r="I27" s="49">
        <f t="shared" si="28"/>
        <v>7627340877187.499</v>
      </c>
      <c r="J27" s="49">
        <f t="shared" si="28"/>
        <v>10296910184203.123</v>
      </c>
      <c r="K27" s="49">
        <f t="shared" si="28"/>
        <v>13900828748674.215</v>
      </c>
      <c r="L27" s="49">
        <f t="shared" si="28"/>
        <v>18766118810710.191</v>
      </c>
      <c r="M27" s="49">
        <f t="shared" si="28"/>
        <v>25334260394458.758</v>
      </c>
      <c r="N27" s="4"/>
    </row>
    <row r="28" spans="1:14" ht="15" customHeight="1" x14ac:dyDescent="0.45">
      <c r="A28" s="4"/>
      <c r="B28" s="219"/>
      <c r="C28" s="57" t="s">
        <v>14</v>
      </c>
      <c r="D28" s="50">
        <f t="shared" ref="D28:M28" si="29">( ( D26 - $C$4 ) ) / D26</f>
        <v>0.25925925925925924</v>
      </c>
      <c r="E28" s="50">
        <f t="shared" si="29"/>
        <v>0.45130315500685869</v>
      </c>
      <c r="F28" s="50">
        <f t="shared" si="29"/>
        <v>0.59355789259767311</v>
      </c>
      <c r="G28" s="50">
        <f t="shared" si="29"/>
        <v>0.69893177229457271</v>
      </c>
      <c r="H28" s="51">
        <f t="shared" si="29"/>
        <v>0.77698649799597974</v>
      </c>
      <c r="I28" s="50">
        <f t="shared" si="29"/>
        <v>0.83480481333035539</v>
      </c>
      <c r="J28" s="50">
        <f t="shared" si="29"/>
        <v>0.87763319505952253</v>
      </c>
      <c r="K28" s="50">
        <f t="shared" si="29"/>
        <v>0.90935792226631296</v>
      </c>
      <c r="L28" s="50">
        <f t="shared" si="29"/>
        <v>0.93285772019726887</v>
      </c>
      <c r="M28" s="50">
        <f t="shared" si="29"/>
        <v>0.95026497792390285</v>
      </c>
      <c r="N28" s="4"/>
    </row>
    <row r="29" spans="1:14" ht="15" customHeight="1" x14ac:dyDescent="0.45">
      <c r="A29" s="4"/>
      <c r="B29" s="219"/>
      <c r="C29" s="57" t="s">
        <v>13</v>
      </c>
      <c r="D29" s="50">
        <f>1-D28</f>
        <v>0.7407407407407407</v>
      </c>
      <c r="E29" s="50">
        <f t="shared" ref="E29:M29" si="30">1-E28</f>
        <v>0.54869684499314131</v>
      </c>
      <c r="F29" s="50">
        <f t="shared" si="30"/>
        <v>0.40644210740232689</v>
      </c>
      <c r="G29" s="50">
        <f t="shared" ref="G29" si="31">1-G28</f>
        <v>0.30106822770542729</v>
      </c>
      <c r="H29" s="51">
        <f t="shared" si="30"/>
        <v>0.22301350200402026</v>
      </c>
      <c r="I29" s="50">
        <f t="shared" si="30"/>
        <v>0.16519518666964461</v>
      </c>
      <c r="J29" s="50">
        <f t="shared" si="30"/>
        <v>0.12236680494047747</v>
      </c>
      <c r="K29" s="50">
        <f t="shared" si="30"/>
        <v>9.0642077733687043E-2</v>
      </c>
      <c r="L29" s="50">
        <f t="shared" si="30"/>
        <v>6.7142279802731131E-2</v>
      </c>
      <c r="M29" s="50">
        <f t="shared" si="30"/>
        <v>4.9735022076097146E-2</v>
      </c>
      <c r="N29" s="4"/>
    </row>
    <row r="30" spans="1:14" ht="15" customHeight="1" x14ac:dyDescent="0.45">
      <c r="A30" s="4"/>
      <c r="B30" s="219"/>
      <c r="C30" s="55" t="s">
        <v>15</v>
      </c>
      <c r="D30" s="52">
        <f>D28</f>
        <v>0.25925925925925924</v>
      </c>
      <c r="E30" s="53">
        <f>E28-D28</f>
        <v>0.19204389574759945</v>
      </c>
      <c r="F30" s="53">
        <f>F28-E28</f>
        <v>0.14225473759081442</v>
      </c>
      <c r="G30" s="53">
        <f t="shared" ref="G30" si="32">G28-F28</f>
        <v>0.1053738796968996</v>
      </c>
      <c r="H30" s="53">
        <f t="shared" ref="H30" si="33">H28-G28</f>
        <v>7.8054725701407035E-2</v>
      </c>
      <c r="I30" s="53">
        <f t="shared" ref="I30" si="34">I28-H28</f>
        <v>5.7818315334375647E-2</v>
      </c>
      <c r="J30" s="53">
        <f t="shared" ref="J30" si="35">J28-I28</f>
        <v>4.2828381729167142E-2</v>
      </c>
      <c r="K30" s="53">
        <f t="shared" ref="K30" si="36">K28-J28</f>
        <v>3.1724727206790426E-2</v>
      </c>
      <c r="L30" s="53">
        <f t="shared" ref="L30" si="37">L28-K28</f>
        <v>2.3499797930955912E-2</v>
      </c>
      <c r="M30" s="53">
        <f t="shared" ref="M30" si="38">M28-L28</f>
        <v>1.7407257726633985E-2</v>
      </c>
      <c r="N30" s="4"/>
    </row>
    <row r="31" spans="1:14" ht="15" customHeight="1" x14ac:dyDescent="0.45">
      <c r="A31" s="4"/>
      <c r="B31" s="222"/>
      <c r="C31" s="55" t="s">
        <v>31</v>
      </c>
      <c r="D31" s="52"/>
      <c r="E31" s="53"/>
      <c r="F31" s="53"/>
      <c r="G31" s="53"/>
      <c r="H31" s="53">
        <f>SUM(D30:H30)/5</f>
        <v>0.15539729959919596</v>
      </c>
      <c r="I31" s="54"/>
      <c r="J31" s="54"/>
      <c r="K31" s="54"/>
      <c r="L31" s="54"/>
      <c r="M31" s="53">
        <f>SUM(D30:M30)/10</f>
        <v>9.502649779239028E-2</v>
      </c>
      <c r="N31" s="4"/>
    </row>
    <row r="32" spans="1:14" ht="15" customHeight="1" x14ac:dyDescent="0.45">
      <c r="A32" s="4"/>
      <c r="B32" s="219">
        <v>0.4</v>
      </c>
      <c r="C32" s="55" t="s">
        <v>0</v>
      </c>
      <c r="D32" s="46">
        <f>($C$4 * $B32) + $C$4</f>
        <v>84000</v>
      </c>
      <c r="E32" s="47">
        <f>(D32 * $B32) + D32</f>
        <v>117600</v>
      </c>
      <c r="F32" s="47">
        <f t="shared" ref="F32:M32" si="39">(E32 * $B32) + E32</f>
        <v>164640</v>
      </c>
      <c r="G32" s="47">
        <f t="shared" si="39"/>
        <v>230496</v>
      </c>
      <c r="H32" s="47">
        <f t="shared" si="39"/>
        <v>322694.40000000002</v>
      </c>
      <c r="I32" s="47">
        <f t="shared" si="39"/>
        <v>451772.16000000003</v>
      </c>
      <c r="J32" s="47">
        <f t="shared" si="39"/>
        <v>632481.02400000009</v>
      </c>
      <c r="K32" s="47">
        <f t="shared" si="39"/>
        <v>885473.43360000011</v>
      </c>
      <c r="L32" s="47">
        <f t="shared" si="39"/>
        <v>1239662.8070400001</v>
      </c>
      <c r="M32" s="47">
        <f t="shared" si="39"/>
        <v>1735527.9298560002</v>
      </c>
      <c r="N32" s="4"/>
    </row>
    <row r="33" spans="1:14" ht="15" customHeight="1" x14ac:dyDescent="0.45">
      <c r="A33" s="4"/>
      <c r="B33" s="219"/>
      <c r="C33" s="55" t="s">
        <v>1</v>
      </c>
      <c r="D33" s="48">
        <f>D32*21000000</f>
        <v>1764000000000</v>
      </c>
      <c r="E33" s="49">
        <f t="shared" ref="E33:M33" si="40">E32*21000000</f>
        <v>2469600000000</v>
      </c>
      <c r="F33" s="49">
        <f t="shared" si="40"/>
        <v>3457440000000</v>
      </c>
      <c r="G33" s="49">
        <f t="shared" si="40"/>
        <v>4840416000000</v>
      </c>
      <c r="H33" s="49">
        <f t="shared" si="40"/>
        <v>6776582400000.001</v>
      </c>
      <c r="I33" s="49">
        <f t="shared" si="40"/>
        <v>9487215360000</v>
      </c>
      <c r="J33" s="49">
        <f t="shared" si="40"/>
        <v>13282101504000.002</v>
      </c>
      <c r="K33" s="49">
        <f t="shared" si="40"/>
        <v>18594942105600.004</v>
      </c>
      <c r="L33" s="49">
        <f t="shared" si="40"/>
        <v>26032918947840.004</v>
      </c>
      <c r="M33" s="49">
        <f t="shared" si="40"/>
        <v>36446086526976.008</v>
      </c>
      <c r="N33" s="4"/>
    </row>
    <row r="34" spans="1:14" ht="15" customHeight="1" x14ac:dyDescent="0.45">
      <c r="A34" s="4"/>
      <c r="B34" s="219"/>
      <c r="C34" s="57" t="s">
        <v>14</v>
      </c>
      <c r="D34" s="50">
        <f t="shared" ref="D34:M34" si="41">( ( D32 - $C$4 ) ) / D32</f>
        <v>0.2857142857142857</v>
      </c>
      <c r="E34" s="50">
        <f t="shared" si="41"/>
        <v>0.48979591836734693</v>
      </c>
      <c r="F34" s="50">
        <f t="shared" si="41"/>
        <v>0.63556851311953355</v>
      </c>
      <c r="G34" s="50">
        <f t="shared" si="41"/>
        <v>0.73969179508538108</v>
      </c>
      <c r="H34" s="51">
        <f t="shared" si="41"/>
        <v>0.81406556791812934</v>
      </c>
      <c r="I34" s="50">
        <f t="shared" si="41"/>
        <v>0.86718969137009239</v>
      </c>
      <c r="J34" s="50">
        <f t="shared" si="41"/>
        <v>0.90513549383578029</v>
      </c>
      <c r="K34" s="50">
        <f t="shared" si="41"/>
        <v>0.93223963845412883</v>
      </c>
      <c r="L34" s="50">
        <f t="shared" si="41"/>
        <v>0.95159974175294915</v>
      </c>
      <c r="M34" s="50">
        <f t="shared" si="41"/>
        <v>0.96542838696639222</v>
      </c>
      <c r="N34" s="4"/>
    </row>
    <row r="35" spans="1:14" ht="15" customHeight="1" x14ac:dyDescent="0.45">
      <c r="A35" s="4"/>
      <c r="B35" s="219"/>
      <c r="C35" s="57" t="s">
        <v>13</v>
      </c>
      <c r="D35" s="50">
        <f>1-D34</f>
        <v>0.7142857142857143</v>
      </c>
      <c r="E35" s="50">
        <f t="shared" ref="E35:M35" si="42">1-E34</f>
        <v>0.51020408163265307</v>
      </c>
      <c r="F35" s="50">
        <f t="shared" ref="F35" si="43">1-F34</f>
        <v>0.36443148688046645</v>
      </c>
      <c r="G35" s="50">
        <f t="shared" si="42"/>
        <v>0.26030820491461892</v>
      </c>
      <c r="H35" s="51">
        <f t="shared" si="42"/>
        <v>0.18593443208187066</v>
      </c>
      <c r="I35" s="50">
        <f t="shared" si="42"/>
        <v>0.13281030862990761</v>
      </c>
      <c r="J35" s="50">
        <f t="shared" si="42"/>
        <v>9.4864506164219708E-2</v>
      </c>
      <c r="K35" s="50">
        <f t="shared" si="42"/>
        <v>6.7760361545871173E-2</v>
      </c>
      <c r="L35" s="50">
        <f t="shared" si="42"/>
        <v>4.8400258247050854E-2</v>
      </c>
      <c r="M35" s="50">
        <f t="shared" si="42"/>
        <v>3.4571613033607784E-2</v>
      </c>
      <c r="N35" s="4"/>
    </row>
    <row r="36" spans="1:14" ht="15" customHeight="1" x14ac:dyDescent="0.45">
      <c r="A36" s="4"/>
      <c r="B36" s="219"/>
      <c r="C36" s="55" t="s">
        <v>15</v>
      </c>
      <c r="D36" s="52">
        <f>D34</f>
        <v>0.2857142857142857</v>
      </c>
      <c r="E36" s="53">
        <f>E34-D34</f>
        <v>0.20408163265306123</v>
      </c>
      <c r="F36" s="53">
        <f>F34-E34</f>
        <v>0.14577259475218662</v>
      </c>
      <c r="G36" s="53">
        <f t="shared" ref="G36" si="44">G34-F34</f>
        <v>0.10412328196584753</v>
      </c>
      <c r="H36" s="53">
        <f t="shared" ref="H36" si="45">H34-G34</f>
        <v>7.4373772832748264E-2</v>
      </c>
      <c r="I36" s="53">
        <f t="shared" ref="I36" si="46">I34-H34</f>
        <v>5.3124123451963046E-2</v>
      </c>
      <c r="J36" s="53">
        <f t="shared" ref="J36" si="47">J34-I34</f>
        <v>3.7945802465687906E-2</v>
      </c>
      <c r="K36" s="53">
        <f t="shared" ref="K36" si="48">K34-J34</f>
        <v>2.7104144618348536E-2</v>
      </c>
      <c r="L36" s="53">
        <f t="shared" ref="L36" si="49">L34-K34</f>
        <v>1.9360103298820319E-2</v>
      </c>
      <c r="M36" s="53">
        <f t="shared" ref="M36" si="50">M34-L34</f>
        <v>1.3828645213443069E-2</v>
      </c>
      <c r="N36" s="4"/>
    </row>
    <row r="37" spans="1:14" ht="15" customHeight="1" x14ac:dyDescent="0.45">
      <c r="A37" s="4"/>
      <c r="B37" s="220"/>
      <c r="C37" s="55" t="s">
        <v>31</v>
      </c>
      <c r="D37" s="52"/>
      <c r="E37" s="53"/>
      <c r="F37" s="53"/>
      <c r="G37" s="53"/>
      <c r="H37" s="53">
        <f>SUM(D36:H36)/5</f>
        <v>0.16281311358362588</v>
      </c>
      <c r="I37" s="54"/>
      <c r="J37" s="54"/>
      <c r="K37" s="54"/>
      <c r="L37" s="54"/>
      <c r="M37" s="53">
        <f>SUM(D36:M36)/10</f>
        <v>9.6542838696639224E-2</v>
      </c>
      <c r="N37" s="4"/>
    </row>
    <row r="38" spans="1:14" ht="15" customHeight="1" x14ac:dyDescent="0.45">
      <c r="A38" s="8"/>
      <c r="B38" s="1"/>
      <c r="C38" s="1"/>
      <c r="D38" s="1"/>
      <c r="E38" s="1"/>
      <c r="F38" s="1"/>
      <c r="G38" s="1"/>
      <c r="H38" s="1"/>
      <c r="I38" s="1"/>
      <c r="J38" s="1"/>
      <c r="K38" s="1"/>
      <c r="L38" s="1"/>
      <c r="M38" s="1"/>
      <c r="N38" s="8"/>
    </row>
    <row r="39" spans="1:14" ht="15" customHeight="1" x14ac:dyDescent="0.45">
      <c r="B39" s="1"/>
      <c r="C39" s="1"/>
      <c r="D39" s="1"/>
      <c r="E39" s="1"/>
      <c r="F39" s="1"/>
      <c r="G39" s="1"/>
    </row>
    <row r="40" spans="1:14" ht="15" customHeight="1" x14ac:dyDescent="0.45">
      <c r="B40" s="5"/>
      <c r="C40" s="218" t="s">
        <v>23</v>
      </c>
      <c r="D40" s="218"/>
      <c r="E40" s="218"/>
      <c r="F40" s="218"/>
      <c r="G40" s="6"/>
    </row>
    <row r="41" spans="1:14" ht="15" customHeight="1" x14ac:dyDescent="0.45">
      <c r="B41" s="5"/>
      <c r="C41" s="218"/>
      <c r="D41" s="218"/>
      <c r="E41" s="218"/>
      <c r="F41" s="218"/>
      <c r="G41" s="6"/>
    </row>
    <row r="42" spans="1:14" ht="15" customHeight="1" x14ac:dyDescent="0.45">
      <c r="B42" s="5"/>
      <c r="C42" s="58" t="s">
        <v>24</v>
      </c>
      <c r="D42" s="45"/>
      <c r="E42" s="60"/>
      <c r="F42" s="68">
        <v>57885.440000000002</v>
      </c>
      <c r="G42" s="6"/>
    </row>
    <row r="43" spans="1:14" ht="15" customHeight="1" x14ac:dyDescent="0.45">
      <c r="B43" s="4"/>
      <c r="C43" s="58" t="s">
        <v>25</v>
      </c>
      <c r="D43" s="45"/>
      <c r="E43" s="60"/>
      <c r="F43" s="69">
        <v>44519</v>
      </c>
      <c r="G43" s="6"/>
    </row>
    <row r="44" spans="1:14" ht="15" customHeight="1" x14ac:dyDescent="0.45">
      <c r="B44" s="4"/>
      <c r="C44" s="58" t="s">
        <v>26</v>
      </c>
      <c r="D44" s="45"/>
      <c r="E44" s="60"/>
      <c r="F44" s="68">
        <v>89588.18</v>
      </c>
      <c r="G44" s="6"/>
    </row>
    <row r="45" spans="1:14" ht="15" customHeight="1" x14ac:dyDescent="0.45">
      <c r="B45" s="4"/>
      <c r="C45" s="58" t="s">
        <v>27</v>
      </c>
      <c r="D45" s="45"/>
      <c r="E45" s="60"/>
      <c r="F45" s="69">
        <v>45980</v>
      </c>
      <c r="G45" s="6"/>
    </row>
    <row r="46" spans="1:14" ht="15" customHeight="1" x14ac:dyDescent="0.45">
      <c r="C46" s="19" t="s">
        <v>29</v>
      </c>
      <c r="D46" s="45"/>
      <c r="E46" s="60"/>
      <c r="F46" s="59">
        <f>(F44/F42)^(1/DATEDIF(F43,F45,"Y"))-1</f>
        <v>0.11537355608552313</v>
      </c>
      <c r="G46" s="6"/>
    </row>
    <row r="47" spans="1:14" ht="15" customHeight="1" x14ac:dyDescent="0.45">
      <c r="B47" s="5"/>
      <c r="C47" s="6"/>
      <c r="D47" s="6"/>
      <c r="E47" s="6"/>
      <c r="F47" s="6"/>
      <c r="G47" s="6"/>
    </row>
  </sheetData>
  <mergeCells count="16">
    <mergeCell ref="B32:B37"/>
    <mergeCell ref="B14:B19"/>
    <mergeCell ref="B20:B25"/>
    <mergeCell ref="B26:B31"/>
    <mergeCell ref="B8:B13"/>
    <mergeCell ref="J6:J7"/>
    <mergeCell ref="K6:K7"/>
    <mergeCell ref="L6:L7"/>
    <mergeCell ref="M6:M7"/>
    <mergeCell ref="C40:F41"/>
    <mergeCell ref="H6:H7"/>
    <mergeCell ref="I6:I7"/>
    <mergeCell ref="D6:D7"/>
    <mergeCell ref="E6:E7"/>
    <mergeCell ref="F6:F7"/>
    <mergeCell ref="G6:G7"/>
  </mergeCells>
  <pageMargins left="0.7" right="0.7" top="0.75" bottom="0.75" header="0.3" footer="0.3"/>
  <pageSetup orientation="portrait" r:id="rId1"/>
  <headerFooter>
    <oddHeader>&amp;R&amp;"Aptos"&amp;12&amp;K000000 Unclassified / Non 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89699-E675-4CCE-90DB-2112E8B3FDA9}">
  <dimension ref="A1:N44"/>
  <sheetViews>
    <sheetView zoomScaleNormal="100" workbookViewId="0">
      <selection activeCell="F31" sqref="F31"/>
    </sheetView>
  </sheetViews>
  <sheetFormatPr defaultColWidth="9" defaultRowHeight="14.25" x14ac:dyDescent="0.45"/>
  <cols>
    <col min="1" max="1" width="1.73046875" style="2" customWidth="1"/>
    <col min="2" max="2" width="23.86328125" style="2" bestFit="1" customWidth="1"/>
    <col min="3" max="3" width="21" style="2" bestFit="1" customWidth="1"/>
    <col min="4" max="5" width="15.265625" style="2" customWidth="1"/>
    <col min="6" max="8" width="16.73046875" style="2" customWidth="1"/>
    <col min="9" max="13" width="20.265625" style="2" customWidth="1"/>
    <col min="14" max="14" width="1.73046875" style="2" customWidth="1"/>
    <col min="15" max="16384" width="9" style="2"/>
  </cols>
  <sheetData>
    <row r="1" spans="1:14" x14ac:dyDescent="0.45">
      <c r="B1" s="8"/>
      <c r="C1" s="8"/>
      <c r="D1" s="8"/>
      <c r="E1" s="8"/>
      <c r="F1" s="8"/>
      <c r="G1" s="8"/>
      <c r="H1" s="8"/>
      <c r="I1" s="8"/>
      <c r="J1" s="8"/>
      <c r="K1" s="8"/>
      <c r="L1" s="8"/>
      <c r="M1" s="8"/>
      <c r="N1" s="8"/>
    </row>
    <row r="2" spans="1:14" ht="35.85" customHeight="1" x14ac:dyDescent="0.45">
      <c r="B2" s="225" t="s">
        <v>81</v>
      </c>
      <c r="C2" s="226"/>
      <c r="D2" s="226"/>
      <c r="E2" s="223" t="s">
        <v>21</v>
      </c>
      <c r="F2" s="91" t="s">
        <v>60</v>
      </c>
      <c r="G2" s="92" t="s">
        <v>61</v>
      </c>
      <c r="H2" s="92" t="s">
        <v>62</v>
      </c>
      <c r="I2" s="91" t="s">
        <v>60</v>
      </c>
      <c r="J2" s="91"/>
      <c r="K2" s="91"/>
      <c r="L2" s="91"/>
      <c r="M2" s="93"/>
      <c r="N2" s="8"/>
    </row>
    <row r="3" spans="1:14" ht="35.85" customHeight="1" x14ac:dyDescent="0.45">
      <c r="A3" s="8"/>
      <c r="B3" s="227"/>
      <c r="C3" s="228"/>
      <c r="D3" s="228"/>
      <c r="E3" s="224"/>
      <c r="F3" s="94" t="s">
        <v>65</v>
      </c>
      <c r="G3" s="95" t="s">
        <v>66</v>
      </c>
      <c r="H3" s="95" t="s">
        <v>66</v>
      </c>
      <c r="I3" s="94" t="s">
        <v>72</v>
      </c>
      <c r="J3" s="94" t="s">
        <v>73</v>
      </c>
      <c r="K3" s="94" t="s">
        <v>67</v>
      </c>
      <c r="L3" s="94" t="s">
        <v>68</v>
      </c>
      <c r="M3" s="96" t="s">
        <v>80</v>
      </c>
      <c r="N3" s="8"/>
    </row>
    <row r="4" spans="1:14" ht="18.399999999999999" customHeight="1" x14ac:dyDescent="0.45">
      <c r="A4" s="8"/>
      <c r="B4" s="87" t="s">
        <v>69</v>
      </c>
      <c r="C4" s="88" t="s">
        <v>111</v>
      </c>
      <c r="D4" s="88" t="s">
        <v>112</v>
      </c>
      <c r="E4" s="88" t="s">
        <v>74</v>
      </c>
      <c r="F4" s="88" t="s">
        <v>75</v>
      </c>
      <c r="G4" s="88" t="s">
        <v>76</v>
      </c>
      <c r="H4" s="88" t="s">
        <v>77</v>
      </c>
      <c r="I4" s="88" t="s">
        <v>70</v>
      </c>
      <c r="J4" s="88" t="s">
        <v>71</v>
      </c>
      <c r="K4" s="88" t="s">
        <v>63</v>
      </c>
      <c r="L4" s="88" t="s">
        <v>64</v>
      </c>
      <c r="M4" s="89" t="s">
        <v>78</v>
      </c>
      <c r="N4" s="8"/>
    </row>
    <row r="5" spans="1:14" x14ac:dyDescent="0.45">
      <c r="A5" s="8"/>
      <c r="B5" s="81" t="str">
        <f>"Bitcoin Long " &amp; E5 &amp; "X"</f>
        <v>Bitcoin Long 2X</v>
      </c>
      <c r="C5" s="83">
        <v>2.5000000000000001E-2</v>
      </c>
      <c r="D5" s="83" t="s">
        <v>79</v>
      </c>
      <c r="E5" s="82">
        <v>2</v>
      </c>
      <c r="F5" s="82">
        <v>1</v>
      </c>
      <c r="G5" s="82">
        <f t="shared" ref="G5:G9" si="0">F5</f>
        <v>1</v>
      </c>
      <c r="H5" s="82">
        <f>E5-F5-G5</f>
        <v>0</v>
      </c>
      <c r="I5" s="83">
        <f>F5/E5</f>
        <v>0.5</v>
      </c>
      <c r="J5" s="83">
        <f t="shared" ref="J5:J7" si="1">1-I5</f>
        <v>0.5</v>
      </c>
      <c r="K5" s="83">
        <f t="shared" ref="K5" si="2">G5/F5</f>
        <v>1</v>
      </c>
      <c r="L5" s="83">
        <f t="shared" ref="L5:L7" si="3">H5/F5</f>
        <v>0</v>
      </c>
      <c r="M5" s="84">
        <f t="shared" ref="M5:M7" si="4">K5+L5</f>
        <v>1</v>
      </c>
      <c r="N5" s="8"/>
    </row>
    <row r="6" spans="1:14" x14ac:dyDescent="0.45">
      <c r="A6" s="8"/>
      <c r="B6" s="81" t="str">
        <f t="shared" ref="B6:B41" si="5">"Bitcoin Long " &amp; E6 &amp; "X"</f>
        <v>Bitcoin Long 2.5X</v>
      </c>
      <c r="C6" s="83">
        <v>2.5000000000000001E-2</v>
      </c>
      <c r="D6" s="83">
        <v>7.4999999999999997E-2</v>
      </c>
      <c r="E6" s="82">
        <v>2.5</v>
      </c>
      <c r="F6" s="82">
        <v>1</v>
      </c>
      <c r="G6" s="82">
        <f t="shared" si="0"/>
        <v>1</v>
      </c>
      <c r="H6" s="82">
        <f t="shared" ref="H6:H9" si="6">E6-F6-G6</f>
        <v>0.5</v>
      </c>
      <c r="I6" s="83">
        <f t="shared" ref="I6:I9" si="7">F6/E6</f>
        <v>0.4</v>
      </c>
      <c r="J6" s="83">
        <f t="shared" si="1"/>
        <v>0.6</v>
      </c>
      <c r="K6" s="83">
        <f t="shared" ref="K6:K41" si="8">G6/F6</f>
        <v>1</v>
      </c>
      <c r="L6" s="83">
        <f t="shared" si="3"/>
        <v>0.5</v>
      </c>
      <c r="M6" s="84">
        <f t="shared" si="4"/>
        <v>1.5</v>
      </c>
      <c r="N6" s="8"/>
    </row>
    <row r="7" spans="1:14" x14ac:dyDescent="0.45">
      <c r="A7" s="8"/>
      <c r="B7" s="81" t="str">
        <f t="shared" si="5"/>
        <v>Bitcoin Long 3X</v>
      </c>
      <c r="C7" s="83">
        <v>2.5000000000000001E-2</v>
      </c>
      <c r="D7" s="83">
        <v>7.4999999999999997E-2</v>
      </c>
      <c r="E7" s="82">
        <v>3</v>
      </c>
      <c r="F7" s="82">
        <v>1</v>
      </c>
      <c r="G7" s="82">
        <f t="shared" si="0"/>
        <v>1</v>
      </c>
      <c r="H7" s="82">
        <f t="shared" si="6"/>
        <v>1</v>
      </c>
      <c r="I7" s="83">
        <f t="shared" si="7"/>
        <v>0.33333333333333331</v>
      </c>
      <c r="J7" s="83">
        <f t="shared" si="1"/>
        <v>0.66666666666666674</v>
      </c>
      <c r="K7" s="83">
        <f t="shared" si="8"/>
        <v>1</v>
      </c>
      <c r="L7" s="83">
        <f t="shared" si="3"/>
        <v>1</v>
      </c>
      <c r="M7" s="84">
        <f t="shared" si="4"/>
        <v>2</v>
      </c>
      <c r="N7" s="8"/>
    </row>
    <row r="8" spans="1:14" x14ac:dyDescent="0.45">
      <c r="A8" s="8"/>
      <c r="B8" s="81" t="str">
        <f t="shared" si="5"/>
        <v>Bitcoin Long 3.5X</v>
      </c>
      <c r="C8" s="83">
        <v>2.5000000000000001E-2</v>
      </c>
      <c r="D8" s="97">
        <v>7.4999999999999997E-2</v>
      </c>
      <c r="E8" s="81">
        <v>3.5</v>
      </c>
      <c r="F8" s="82">
        <v>1</v>
      </c>
      <c r="G8" s="82">
        <f t="shared" si="0"/>
        <v>1</v>
      </c>
      <c r="H8" s="82">
        <f t="shared" si="6"/>
        <v>1.5</v>
      </c>
      <c r="I8" s="83">
        <f t="shared" si="7"/>
        <v>0.2857142857142857</v>
      </c>
      <c r="J8" s="83">
        <f>1-I8</f>
        <v>0.7142857142857143</v>
      </c>
      <c r="K8" s="83">
        <f t="shared" si="8"/>
        <v>1</v>
      </c>
      <c r="L8" s="84">
        <f>H8/F8</f>
        <v>1.5</v>
      </c>
      <c r="M8" s="84">
        <f>K8+L8</f>
        <v>2.5</v>
      </c>
      <c r="N8" s="8"/>
    </row>
    <row r="9" spans="1:14" x14ac:dyDescent="0.45">
      <c r="A9" s="8"/>
      <c r="B9" s="81" t="str">
        <f t="shared" si="5"/>
        <v>Bitcoin Long 4X</v>
      </c>
      <c r="C9" s="83">
        <v>2.5000000000000001E-2</v>
      </c>
      <c r="D9" s="97">
        <v>7.4999999999999997E-2</v>
      </c>
      <c r="E9" s="81">
        <v>4</v>
      </c>
      <c r="F9" s="82">
        <v>1</v>
      </c>
      <c r="G9" s="82">
        <f t="shared" si="0"/>
        <v>1</v>
      </c>
      <c r="H9" s="82">
        <f t="shared" si="6"/>
        <v>2</v>
      </c>
      <c r="I9" s="83">
        <f t="shared" si="7"/>
        <v>0.25</v>
      </c>
      <c r="J9" s="83">
        <f t="shared" ref="J9:J41" si="9">1-I9</f>
        <v>0.75</v>
      </c>
      <c r="K9" s="83">
        <f t="shared" si="8"/>
        <v>1</v>
      </c>
      <c r="L9" s="84">
        <f t="shared" ref="L9:L41" si="10">H9/F9</f>
        <v>2</v>
      </c>
      <c r="M9" s="84">
        <f t="shared" ref="M9:M41" si="11">K9+L9</f>
        <v>3</v>
      </c>
      <c r="N9" s="8"/>
    </row>
    <row r="10" spans="1:14" x14ac:dyDescent="0.45">
      <c r="A10" s="8"/>
      <c r="B10" s="81" t="str">
        <f t="shared" si="5"/>
        <v>Bitcoin Long 4.5X</v>
      </c>
      <c r="C10" s="83">
        <v>2.5000000000000001E-2</v>
      </c>
      <c r="D10" s="97">
        <v>7.4999999999999997E-2</v>
      </c>
      <c r="E10" s="98">
        <v>4.5</v>
      </c>
      <c r="F10" s="98">
        <v>1</v>
      </c>
      <c r="G10" s="98">
        <f>F10</f>
        <v>1</v>
      </c>
      <c r="H10" s="98">
        <f>E10-F10-G10</f>
        <v>2.5</v>
      </c>
      <c r="I10" s="97">
        <f>F10/E10</f>
        <v>0.22222222222222221</v>
      </c>
      <c r="J10" s="83">
        <f t="shared" si="9"/>
        <v>0.77777777777777779</v>
      </c>
      <c r="K10" s="97">
        <f t="shared" si="8"/>
        <v>1</v>
      </c>
      <c r="L10" s="84">
        <f t="shared" si="10"/>
        <v>2.5</v>
      </c>
      <c r="M10" s="84">
        <f t="shared" si="11"/>
        <v>3.5</v>
      </c>
      <c r="N10" s="8"/>
    </row>
    <row r="11" spans="1:14" x14ac:dyDescent="0.45">
      <c r="A11" s="8"/>
      <c r="B11" s="81" t="str">
        <f t="shared" si="5"/>
        <v>Bitcoin Long 5X</v>
      </c>
      <c r="C11" s="83">
        <v>2.5000000000000001E-2</v>
      </c>
      <c r="D11" s="97">
        <v>7.4999999999999997E-2</v>
      </c>
      <c r="E11" s="98">
        <v>5</v>
      </c>
      <c r="F11" s="98">
        <v>1</v>
      </c>
      <c r="G11" s="98">
        <f t="shared" ref="G11:G41" si="12">F11</f>
        <v>1</v>
      </c>
      <c r="H11" s="98">
        <f t="shared" ref="H11:H41" si="13">E11-F11-G11</f>
        <v>3</v>
      </c>
      <c r="I11" s="97">
        <f t="shared" ref="I11:I41" si="14">F11/E11</f>
        <v>0.2</v>
      </c>
      <c r="J11" s="83">
        <f t="shared" si="9"/>
        <v>0.8</v>
      </c>
      <c r="K11" s="97">
        <f t="shared" si="8"/>
        <v>1</v>
      </c>
      <c r="L11" s="84">
        <f t="shared" si="10"/>
        <v>3</v>
      </c>
      <c r="M11" s="84">
        <f t="shared" si="11"/>
        <v>4</v>
      </c>
      <c r="N11" s="8"/>
    </row>
    <row r="12" spans="1:14" x14ac:dyDescent="0.45">
      <c r="A12" s="8"/>
      <c r="B12" s="109" t="str">
        <f t="shared" si="5"/>
        <v>Bitcoin Long 5.5X</v>
      </c>
      <c r="C12" s="53">
        <v>2.5000000000000001E-2</v>
      </c>
      <c r="D12" s="53">
        <v>7.4999999999999997E-2</v>
      </c>
      <c r="E12" s="85">
        <v>5.5</v>
      </c>
      <c r="F12" s="85">
        <v>1</v>
      </c>
      <c r="G12" s="85">
        <f t="shared" si="12"/>
        <v>1</v>
      </c>
      <c r="H12" s="85">
        <f t="shared" si="13"/>
        <v>3.5</v>
      </c>
      <c r="I12" s="53">
        <f t="shared" si="14"/>
        <v>0.18181818181818182</v>
      </c>
      <c r="J12" s="90">
        <f t="shared" si="9"/>
        <v>0.81818181818181812</v>
      </c>
      <c r="K12" s="53">
        <f t="shared" si="8"/>
        <v>1</v>
      </c>
      <c r="L12" s="52">
        <f t="shared" si="10"/>
        <v>3.5</v>
      </c>
      <c r="M12" s="52">
        <f t="shared" si="11"/>
        <v>4.5</v>
      </c>
      <c r="N12" s="8"/>
    </row>
    <row r="13" spans="1:14" x14ac:dyDescent="0.45">
      <c r="A13" s="8"/>
      <c r="B13" s="109" t="str">
        <f t="shared" si="5"/>
        <v>Bitcoin Long 6X</v>
      </c>
      <c r="C13" s="53">
        <v>2.5000000000000001E-2</v>
      </c>
      <c r="D13" s="53">
        <v>7.4999999999999997E-2</v>
      </c>
      <c r="E13" s="85">
        <v>6</v>
      </c>
      <c r="F13" s="85">
        <v>1</v>
      </c>
      <c r="G13" s="85">
        <f t="shared" si="12"/>
        <v>1</v>
      </c>
      <c r="H13" s="85">
        <f t="shared" si="13"/>
        <v>4</v>
      </c>
      <c r="I13" s="53">
        <f t="shared" si="14"/>
        <v>0.16666666666666666</v>
      </c>
      <c r="J13" s="90">
        <f t="shared" si="9"/>
        <v>0.83333333333333337</v>
      </c>
      <c r="K13" s="53">
        <f t="shared" si="8"/>
        <v>1</v>
      </c>
      <c r="L13" s="52">
        <f t="shared" si="10"/>
        <v>4</v>
      </c>
      <c r="M13" s="52">
        <f t="shared" si="11"/>
        <v>5</v>
      </c>
      <c r="N13" s="8"/>
    </row>
    <row r="14" spans="1:14" x14ac:dyDescent="0.45">
      <c r="A14" s="8"/>
      <c r="B14" s="109" t="str">
        <f t="shared" si="5"/>
        <v>Bitcoin Long 6.5X</v>
      </c>
      <c r="C14" s="53">
        <v>2.5000000000000001E-2</v>
      </c>
      <c r="D14" s="53">
        <v>7.4999999999999997E-2</v>
      </c>
      <c r="E14" s="85">
        <v>6.5</v>
      </c>
      <c r="F14" s="85">
        <v>1</v>
      </c>
      <c r="G14" s="85">
        <f t="shared" si="12"/>
        <v>1</v>
      </c>
      <c r="H14" s="85">
        <f t="shared" si="13"/>
        <v>4.5</v>
      </c>
      <c r="I14" s="53">
        <f t="shared" si="14"/>
        <v>0.15384615384615385</v>
      </c>
      <c r="J14" s="90">
        <f t="shared" si="9"/>
        <v>0.84615384615384615</v>
      </c>
      <c r="K14" s="53">
        <f t="shared" si="8"/>
        <v>1</v>
      </c>
      <c r="L14" s="52">
        <f t="shared" si="10"/>
        <v>4.5</v>
      </c>
      <c r="M14" s="52">
        <f t="shared" si="11"/>
        <v>5.5</v>
      </c>
      <c r="N14" s="8"/>
    </row>
    <row r="15" spans="1:14" x14ac:dyDescent="0.45">
      <c r="A15" s="8"/>
      <c r="B15" s="109" t="str">
        <f t="shared" si="5"/>
        <v>Bitcoin Long 7X</v>
      </c>
      <c r="C15" s="53">
        <v>2.5000000000000001E-2</v>
      </c>
      <c r="D15" s="53">
        <v>7.4999999999999997E-2</v>
      </c>
      <c r="E15" s="85">
        <v>7</v>
      </c>
      <c r="F15" s="85">
        <v>1</v>
      </c>
      <c r="G15" s="85">
        <f t="shared" si="12"/>
        <v>1</v>
      </c>
      <c r="H15" s="85">
        <f t="shared" si="13"/>
        <v>5</v>
      </c>
      <c r="I15" s="53">
        <f t="shared" si="14"/>
        <v>0.14285714285714285</v>
      </c>
      <c r="J15" s="90">
        <f t="shared" si="9"/>
        <v>0.85714285714285721</v>
      </c>
      <c r="K15" s="53">
        <f t="shared" si="8"/>
        <v>1</v>
      </c>
      <c r="L15" s="52">
        <f t="shared" si="10"/>
        <v>5</v>
      </c>
      <c r="M15" s="52">
        <f t="shared" si="11"/>
        <v>6</v>
      </c>
      <c r="N15" s="8"/>
    </row>
    <row r="16" spans="1:14" x14ac:dyDescent="0.45">
      <c r="A16" s="8"/>
      <c r="B16" s="109" t="str">
        <f t="shared" si="5"/>
        <v>Bitcoin Long 7.5X</v>
      </c>
      <c r="C16" s="53">
        <v>2.5000000000000001E-2</v>
      </c>
      <c r="D16" s="53">
        <v>7.4999999999999997E-2</v>
      </c>
      <c r="E16" s="85">
        <v>7.5</v>
      </c>
      <c r="F16" s="85">
        <v>1</v>
      </c>
      <c r="G16" s="85">
        <f t="shared" si="12"/>
        <v>1</v>
      </c>
      <c r="H16" s="85">
        <f t="shared" si="13"/>
        <v>5.5</v>
      </c>
      <c r="I16" s="53">
        <f t="shared" si="14"/>
        <v>0.13333333333333333</v>
      </c>
      <c r="J16" s="90">
        <f t="shared" si="9"/>
        <v>0.8666666666666667</v>
      </c>
      <c r="K16" s="53">
        <f t="shared" si="8"/>
        <v>1</v>
      </c>
      <c r="L16" s="52">
        <f t="shared" si="10"/>
        <v>5.5</v>
      </c>
      <c r="M16" s="52">
        <f t="shared" si="11"/>
        <v>6.5</v>
      </c>
      <c r="N16" s="8"/>
    </row>
    <row r="17" spans="1:14" x14ac:dyDescent="0.45">
      <c r="A17" s="8"/>
      <c r="B17" s="109" t="str">
        <f t="shared" si="5"/>
        <v>Bitcoin Long 8X</v>
      </c>
      <c r="C17" s="53">
        <v>2.5000000000000001E-2</v>
      </c>
      <c r="D17" s="53">
        <v>7.4999999999999997E-2</v>
      </c>
      <c r="E17" s="85">
        <v>8</v>
      </c>
      <c r="F17" s="85">
        <v>1</v>
      </c>
      <c r="G17" s="85">
        <f t="shared" si="12"/>
        <v>1</v>
      </c>
      <c r="H17" s="85">
        <f t="shared" si="13"/>
        <v>6</v>
      </c>
      <c r="I17" s="53">
        <f t="shared" si="14"/>
        <v>0.125</v>
      </c>
      <c r="J17" s="90">
        <f t="shared" si="9"/>
        <v>0.875</v>
      </c>
      <c r="K17" s="53">
        <f t="shared" si="8"/>
        <v>1</v>
      </c>
      <c r="L17" s="52">
        <f t="shared" si="10"/>
        <v>6</v>
      </c>
      <c r="M17" s="52">
        <f t="shared" si="11"/>
        <v>7</v>
      </c>
      <c r="N17" s="8"/>
    </row>
    <row r="18" spans="1:14" x14ac:dyDescent="0.45">
      <c r="A18" s="8"/>
      <c r="B18" s="109" t="str">
        <f t="shared" si="5"/>
        <v>Bitcoin Long 8.5X</v>
      </c>
      <c r="C18" s="53">
        <v>2.5000000000000001E-2</v>
      </c>
      <c r="D18" s="53">
        <v>7.4999999999999997E-2</v>
      </c>
      <c r="E18" s="85">
        <v>8.5</v>
      </c>
      <c r="F18" s="85">
        <v>1</v>
      </c>
      <c r="G18" s="85">
        <f t="shared" si="12"/>
        <v>1</v>
      </c>
      <c r="H18" s="85">
        <f t="shared" si="13"/>
        <v>6.5</v>
      </c>
      <c r="I18" s="53">
        <f t="shared" si="14"/>
        <v>0.11764705882352941</v>
      </c>
      <c r="J18" s="90">
        <f t="shared" si="9"/>
        <v>0.88235294117647056</v>
      </c>
      <c r="K18" s="53">
        <f t="shared" si="8"/>
        <v>1</v>
      </c>
      <c r="L18" s="52">
        <f t="shared" si="10"/>
        <v>6.5</v>
      </c>
      <c r="M18" s="52">
        <f t="shared" si="11"/>
        <v>7.5</v>
      </c>
      <c r="N18" s="8"/>
    </row>
    <row r="19" spans="1:14" x14ac:dyDescent="0.45">
      <c r="A19" s="8"/>
      <c r="B19" s="109" t="str">
        <f t="shared" si="5"/>
        <v>Bitcoin Long 9X</v>
      </c>
      <c r="C19" s="53">
        <v>2.5000000000000001E-2</v>
      </c>
      <c r="D19" s="53">
        <v>7.4999999999999997E-2</v>
      </c>
      <c r="E19" s="85">
        <v>9</v>
      </c>
      <c r="F19" s="85">
        <v>1</v>
      </c>
      <c r="G19" s="85">
        <f t="shared" si="12"/>
        <v>1</v>
      </c>
      <c r="H19" s="85">
        <f t="shared" si="13"/>
        <v>7</v>
      </c>
      <c r="I19" s="53">
        <f t="shared" si="14"/>
        <v>0.1111111111111111</v>
      </c>
      <c r="J19" s="90">
        <f t="shared" si="9"/>
        <v>0.88888888888888884</v>
      </c>
      <c r="K19" s="53">
        <f t="shared" si="8"/>
        <v>1</v>
      </c>
      <c r="L19" s="52">
        <f t="shared" si="10"/>
        <v>7</v>
      </c>
      <c r="M19" s="52">
        <f t="shared" si="11"/>
        <v>8</v>
      </c>
      <c r="N19" s="8"/>
    </row>
    <row r="20" spans="1:14" x14ac:dyDescent="0.45">
      <c r="A20" s="8"/>
      <c r="B20" s="109" t="str">
        <f t="shared" si="5"/>
        <v>Bitcoin Long 9.5X</v>
      </c>
      <c r="C20" s="53">
        <v>2.5000000000000001E-2</v>
      </c>
      <c r="D20" s="53">
        <v>7.4999999999999997E-2</v>
      </c>
      <c r="E20" s="85">
        <v>9.5</v>
      </c>
      <c r="F20" s="85">
        <v>1</v>
      </c>
      <c r="G20" s="85">
        <f t="shared" si="12"/>
        <v>1</v>
      </c>
      <c r="H20" s="85">
        <f t="shared" si="13"/>
        <v>7.5</v>
      </c>
      <c r="I20" s="53">
        <f t="shared" si="14"/>
        <v>0.10526315789473684</v>
      </c>
      <c r="J20" s="90">
        <f t="shared" si="9"/>
        <v>0.89473684210526316</v>
      </c>
      <c r="K20" s="53">
        <f t="shared" si="8"/>
        <v>1</v>
      </c>
      <c r="L20" s="52">
        <f t="shared" si="10"/>
        <v>7.5</v>
      </c>
      <c r="M20" s="52">
        <f t="shared" si="11"/>
        <v>8.5</v>
      </c>
      <c r="N20" s="8"/>
    </row>
    <row r="21" spans="1:14" x14ac:dyDescent="0.45">
      <c r="A21" s="8"/>
      <c r="B21" s="109" t="str">
        <f t="shared" si="5"/>
        <v>Bitcoin Long 10X</v>
      </c>
      <c r="C21" s="53">
        <v>2.5000000000000001E-2</v>
      </c>
      <c r="D21" s="53">
        <v>7.4999999999999997E-2</v>
      </c>
      <c r="E21" s="85">
        <v>10</v>
      </c>
      <c r="F21" s="85">
        <v>1</v>
      </c>
      <c r="G21" s="85">
        <f t="shared" si="12"/>
        <v>1</v>
      </c>
      <c r="H21" s="85">
        <f t="shared" si="13"/>
        <v>8</v>
      </c>
      <c r="I21" s="53">
        <f t="shared" si="14"/>
        <v>0.1</v>
      </c>
      <c r="J21" s="90">
        <f t="shared" si="9"/>
        <v>0.9</v>
      </c>
      <c r="K21" s="53">
        <f t="shared" si="8"/>
        <v>1</v>
      </c>
      <c r="L21" s="52">
        <f t="shared" si="10"/>
        <v>8</v>
      </c>
      <c r="M21" s="52">
        <f t="shared" si="11"/>
        <v>9</v>
      </c>
      <c r="N21" s="8"/>
    </row>
    <row r="22" spans="1:14" x14ac:dyDescent="0.45">
      <c r="A22" s="8"/>
      <c r="B22" s="109" t="str">
        <f t="shared" si="5"/>
        <v>Bitcoin Long 10.5X</v>
      </c>
      <c r="C22" s="53">
        <v>2.5000000000000001E-2</v>
      </c>
      <c r="D22" s="53">
        <v>7.4999999999999997E-2</v>
      </c>
      <c r="E22" s="85">
        <v>10.5</v>
      </c>
      <c r="F22" s="85">
        <v>1</v>
      </c>
      <c r="G22" s="85">
        <f t="shared" si="12"/>
        <v>1</v>
      </c>
      <c r="H22" s="85">
        <f t="shared" si="13"/>
        <v>8.5</v>
      </c>
      <c r="I22" s="53">
        <f t="shared" si="14"/>
        <v>9.5238095238095233E-2</v>
      </c>
      <c r="J22" s="90">
        <f t="shared" si="9"/>
        <v>0.90476190476190477</v>
      </c>
      <c r="K22" s="53">
        <f t="shared" si="8"/>
        <v>1</v>
      </c>
      <c r="L22" s="52">
        <f t="shared" si="10"/>
        <v>8.5</v>
      </c>
      <c r="M22" s="52">
        <f t="shared" si="11"/>
        <v>9.5</v>
      </c>
      <c r="N22" s="8"/>
    </row>
    <row r="23" spans="1:14" x14ac:dyDescent="0.45">
      <c r="A23" s="8"/>
      <c r="B23" s="109" t="str">
        <f t="shared" si="5"/>
        <v>Bitcoin Long 11X</v>
      </c>
      <c r="C23" s="53">
        <v>2.5000000000000001E-2</v>
      </c>
      <c r="D23" s="53">
        <v>7.4999999999999997E-2</v>
      </c>
      <c r="E23" s="85">
        <v>11</v>
      </c>
      <c r="F23" s="85">
        <v>1</v>
      </c>
      <c r="G23" s="85">
        <f t="shared" si="12"/>
        <v>1</v>
      </c>
      <c r="H23" s="85">
        <f t="shared" si="13"/>
        <v>9</v>
      </c>
      <c r="I23" s="53">
        <f t="shared" si="14"/>
        <v>9.0909090909090912E-2</v>
      </c>
      <c r="J23" s="90">
        <f t="shared" si="9"/>
        <v>0.90909090909090906</v>
      </c>
      <c r="K23" s="53">
        <f t="shared" si="8"/>
        <v>1</v>
      </c>
      <c r="L23" s="52">
        <f t="shared" si="10"/>
        <v>9</v>
      </c>
      <c r="M23" s="52">
        <f t="shared" si="11"/>
        <v>10</v>
      </c>
      <c r="N23" s="8"/>
    </row>
    <row r="24" spans="1:14" x14ac:dyDescent="0.45">
      <c r="A24" s="8"/>
      <c r="B24" s="109" t="str">
        <f t="shared" si="5"/>
        <v>Bitcoin Long 11.5X</v>
      </c>
      <c r="C24" s="53">
        <v>2.5000000000000001E-2</v>
      </c>
      <c r="D24" s="53">
        <v>7.4999999999999997E-2</v>
      </c>
      <c r="E24" s="85">
        <v>11.5</v>
      </c>
      <c r="F24" s="85">
        <v>1</v>
      </c>
      <c r="G24" s="85">
        <f t="shared" si="12"/>
        <v>1</v>
      </c>
      <c r="H24" s="85">
        <f t="shared" si="13"/>
        <v>9.5</v>
      </c>
      <c r="I24" s="53">
        <f t="shared" si="14"/>
        <v>8.6956521739130432E-2</v>
      </c>
      <c r="J24" s="90">
        <f t="shared" si="9"/>
        <v>0.91304347826086962</v>
      </c>
      <c r="K24" s="53">
        <f t="shared" si="8"/>
        <v>1</v>
      </c>
      <c r="L24" s="52">
        <f t="shared" si="10"/>
        <v>9.5</v>
      </c>
      <c r="M24" s="52">
        <f t="shared" si="11"/>
        <v>10.5</v>
      </c>
      <c r="N24" s="8"/>
    </row>
    <row r="25" spans="1:14" x14ac:dyDescent="0.45">
      <c r="A25" s="8"/>
      <c r="B25" s="109" t="str">
        <f t="shared" si="5"/>
        <v>Bitcoin Long 12X</v>
      </c>
      <c r="C25" s="53">
        <v>2.5000000000000001E-2</v>
      </c>
      <c r="D25" s="53">
        <v>7.4999999999999997E-2</v>
      </c>
      <c r="E25" s="85">
        <v>12</v>
      </c>
      <c r="F25" s="85">
        <v>1</v>
      </c>
      <c r="G25" s="85">
        <f t="shared" si="12"/>
        <v>1</v>
      </c>
      <c r="H25" s="85">
        <f t="shared" si="13"/>
        <v>10</v>
      </c>
      <c r="I25" s="53">
        <f t="shared" si="14"/>
        <v>8.3333333333333329E-2</v>
      </c>
      <c r="J25" s="90">
        <f t="shared" si="9"/>
        <v>0.91666666666666663</v>
      </c>
      <c r="K25" s="53">
        <f t="shared" si="8"/>
        <v>1</v>
      </c>
      <c r="L25" s="52">
        <f t="shared" si="10"/>
        <v>10</v>
      </c>
      <c r="M25" s="52">
        <f t="shared" si="11"/>
        <v>11</v>
      </c>
      <c r="N25" s="8"/>
    </row>
    <row r="26" spans="1:14" x14ac:dyDescent="0.45">
      <c r="A26" s="8"/>
      <c r="B26" s="109" t="str">
        <f t="shared" si="5"/>
        <v>Bitcoin Long 12.5X</v>
      </c>
      <c r="C26" s="53">
        <v>2.5000000000000001E-2</v>
      </c>
      <c r="D26" s="53">
        <v>7.4999999999999997E-2</v>
      </c>
      <c r="E26" s="85">
        <v>12.5</v>
      </c>
      <c r="F26" s="85">
        <v>1</v>
      </c>
      <c r="G26" s="85">
        <f t="shared" si="12"/>
        <v>1</v>
      </c>
      <c r="H26" s="85">
        <f t="shared" si="13"/>
        <v>10.5</v>
      </c>
      <c r="I26" s="53">
        <f t="shared" si="14"/>
        <v>0.08</v>
      </c>
      <c r="J26" s="90">
        <f t="shared" si="9"/>
        <v>0.92</v>
      </c>
      <c r="K26" s="53">
        <f t="shared" si="8"/>
        <v>1</v>
      </c>
      <c r="L26" s="52">
        <f t="shared" si="10"/>
        <v>10.5</v>
      </c>
      <c r="M26" s="52">
        <f t="shared" si="11"/>
        <v>11.5</v>
      </c>
      <c r="N26" s="8"/>
    </row>
    <row r="27" spans="1:14" x14ac:dyDescent="0.45">
      <c r="A27" s="8"/>
      <c r="B27" s="109" t="str">
        <f t="shared" si="5"/>
        <v>Bitcoin Long 13X</v>
      </c>
      <c r="C27" s="53">
        <v>2.5000000000000001E-2</v>
      </c>
      <c r="D27" s="53">
        <v>7.4999999999999997E-2</v>
      </c>
      <c r="E27" s="85">
        <v>13</v>
      </c>
      <c r="F27" s="85">
        <v>1</v>
      </c>
      <c r="G27" s="85">
        <f t="shared" si="12"/>
        <v>1</v>
      </c>
      <c r="H27" s="85">
        <f t="shared" si="13"/>
        <v>11</v>
      </c>
      <c r="I27" s="53">
        <f t="shared" si="14"/>
        <v>7.6923076923076927E-2</v>
      </c>
      <c r="J27" s="90">
        <f t="shared" si="9"/>
        <v>0.92307692307692313</v>
      </c>
      <c r="K27" s="53">
        <f t="shared" si="8"/>
        <v>1</v>
      </c>
      <c r="L27" s="52">
        <f t="shared" si="10"/>
        <v>11</v>
      </c>
      <c r="M27" s="52">
        <f t="shared" si="11"/>
        <v>12</v>
      </c>
      <c r="N27" s="8"/>
    </row>
    <row r="28" spans="1:14" x14ac:dyDescent="0.45">
      <c r="A28" s="8"/>
      <c r="B28" s="109" t="str">
        <f t="shared" si="5"/>
        <v>Bitcoin Long 13.5X</v>
      </c>
      <c r="C28" s="53">
        <v>2.5000000000000001E-2</v>
      </c>
      <c r="D28" s="53">
        <v>7.4999999999999997E-2</v>
      </c>
      <c r="E28" s="85">
        <v>13.5</v>
      </c>
      <c r="F28" s="85">
        <v>1</v>
      </c>
      <c r="G28" s="85">
        <f t="shared" si="12"/>
        <v>1</v>
      </c>
      <c r="H28" s="85">
        <f t="shared" si="13"/>
        <v>11.5</v>
      </c>
      <c r="I28" s="53">
        <f t="shared" si="14"/>
        <v>7.407407407407407E-2</v>
      </c>
      <c r="J28" s="90">
        <f t="shared" si="9"/>
        <v>0.92592592592592593</v>
      </c>
      <c r="K28" s="53">
        <f t="shared" si="8"/>
        <v>1</v>
      </c>
      <c r="L28" s="52">
        <f t="shared" si="10"/>
        <v>11.5</v>
      </c>
      <c r="M28" s="52">
        <f t="shared" si="11"/>
        <v>12.5</v>
      </c>
      <c r="N28" s="8"/>
    </row>
    <row r="29" spans="1:14" x14ac:dyDescent="0.45">
      <c r="A29" s="8"/>
      <c r="B29" s="109" t="str">
        <f t="shared" si="5"/>
        <v>Bitcoin Long 14X</v>
      </c>
      <c r="C29" s="53">
        <v>2.5000000000000001E-2</v>
      </c>
      <c r="D29" s="53">
        <v>7.4999999999999997E-2</v>
      </c>
      <c r="E29" s="85">
        <v>14</v>
      </c>
      <c r="F29" s="85">
        <v>1</v>
      </c>
      <c r="G29" s="85">
        <f t="shared" si="12"/>
        <v>1</v>
      </c>
      <c r="H29" s="85">
        <f t="shared" si="13"/>
        <v>12</v>
      </c>
      <c r="I29" s="53">
        <f t="shared" si="14"/>
        <v>7.1428571428571425E-2</v>
      </c>
      <c r="J29" s="90">
        <f t="shared" si="9"/>
        <v>0.9285714285714286</v>
      </c>
      <c r="K29" s="53">
        <f t="shared" si="8"/>
        <v>1</v>
      </c>
      <c r="L29" s="52">
        <f t="shared" si="10"/>
        <v>12</v>
      </c>
      <c r="M29" s="52">
        <f t="shared" si="11"/>
        <v>13</v>
      </c>
      <c r="N29" s="8"/>
    </row>
    <row r="30" spans="1:14" x14ac:dyDescent="0.45">
      <c r="A30" s="8"/>
      <c r="B30" s="109" t="str">
        <f t="shared" si="5"/>
        <v>Bitcoin Long 14.5X</v>
      </c>
      <c r="C30" s="53">
        <v>2.5000000000000001E-2</v>
      </c>
      <c r="D30" s="53">
        <v>7.4999999999999997E-2</v>
      </c>
      <c r="E30" s="85">
        <v>14.5</v>
      </c>
      <c r="F30" s="85">
        <v>1</v>
      </c>
      <c r="G30" s="85">
        <f t="shared" si="12"/>
        <v>1</v>
      </c>
      <c r="H30" s="85">
        <f t="shared" si="13"/>
        <v>12.5</v>
      </c>
      <c r="I30" s="53">
        <f t="shared" si="14"/>
        <v>6.8965517241379309E-2</v>
      </c>
      <c r="J30" s="90">
        <f t="shared" si="9"/>
        <v>0.93103448275862066</v>
      </c>
      <c r="K30" s="53">
        <f t="shared" si="8"/>
        <v>1</v>
      </c>
      <c r="L30" s="52">
        <f t="shared" si="10"/>
        <v>12.5</v>
      </c>
      <c r="M30" s="52">
        <f t="shared" si="11"/>
        <v>13.5</v>
      </c>
      <c r="N30" s="8"/>
    </row>
    <row r="31" spans="1:14" x14ac:dyDescent="0.45">
      <c r="A31" s="8"/>
      <c r="B31" s="109" t="str">
        <f t="shared" si="5"/>
        <v>Bitcoin Long 15X</v>
      </c>
      <c r="C31" s="53">
        <v>2.5000000000000001E-2</v>
      </c>
      <c r="D31" s="53">
        <v>7.4999999999999997E-2</v>
      </c>
      <c r="E31" s="85">
        <v>15</v>
      </c>
      <c r="F31" s="85">
        <v>1</v>
      </c>
      <c r="G31" s="85">
        <f t="shared" si="12"/>
        <v>1</v>
      </c>
      <c r="H31" s="85">
        <f t="shared" si="13"/>
        <v>13</v>
      </c>
      <c r="I31" s="53">
        <f t="shared" si="14"/>
        <v>6.6666666666666666E-2</v>
      </c>
      <c r="J31" s="90">
        <f t="shared" si="9"/>
        <v>0.93333333333333335</v>
      </c>
      <c r="K31" s="53">
        <f t="shared" si="8"/>
        <v>1</v>
      </c>
      <c r="L31" s="52">
        <f t="shared" si="10"/>
        <v>13</v>
      </c>
      <c r="M31" s="52">
        <f t="shared" si="11"/>
        <v>14</v>
      </c>
      <c r="N31" s="8"/>
    </row>
    <row r="32" spans="1:14" x14ac:dyDescent="0.45">
      <c r="A32" s="8"/>
      <c r="B32" s="109" t="str">
        <f t="shared" si="5"/>
        <v>Bitcoin Long 15.5X</v>
      </c>
      <c r="C32" s="53">
        <v>2.5000000000000001E-2</v>
      </c>
      <c r="D32" s="53">
        <v>7.4999999999999997E-2</v>
      </c>
      <c r="E32" s="85">
        <v>15.5</v>
      </c>
      <c r="F32" s="85">
        <v>1</v>
      </c>
      <c r="G32" s="85">
        <f t="shared" si="12"/>
        <v>1</v>
      </c>
      <c r="H32" s="85">
        <f t="shared" si="13"/>
        <v>13.5</v>
      </c>
      <c r="I32" s="53">
        <f t="shared" si="14"/>
        <v>6.4516129032258063E-2</v>
      </c>
      <c r="J32" s="90">
        <f t="shared" si="9"/>
        <v>0.93548387096774199</v>
      </c>
      <c r="K32" s="53">
        <f t="shared" si="8"/>
        <v>1</v>
      </c>
      <c r="L32" s="52">
        <f t="shared" si="10"/>
        <v>13.5</v>
      </c>
      <c r="M32" s="52">
        <f t="shared" si="11"/>
        <v>14.5</v>
      </c>
      <c r="N32" s="8"/>
    </row>
    <row r="33" spans="1:14" x14ac:dyDescent="0.45">
      <c r="A33" s="8"/>
      <c r="B33" s="109" t="str">
        <f t="shared" si="5"/>
        <v>Bitcoin Long 16X</v>
      </c>
      <c r="C33" s="53">
        <v>2.5000000000000001E-2</v>
      </c>
      <c r="D33" s="53">
        <v>7.4999999999999997E-2</v>
      </c>
      <c r="E33" s="85">
        <v>16</v>
      </c>
      <c r="F33" s="85">
        <v>1</v>
      </c>
      <c r="G33" s="85">
        <f t="shared" si="12"/>
        <v>1</v>
      </c>
      <c r="H33" s="85">
        <f t="shared" si="13"/>
        <v>14</v>
      </c>
      <c r="I33" s="53">
        <f t="shared" si="14"/>
        <v>6.25E-2</v>
      </c>
      <c r="J33" s="90">
        <f t="shared" si="9"/>
        <v>0.9375</v>
      </c>
      <c r="K33" s="53">
        <f t="shared" si="8"/>
        <v>1</v>
      </c>
      <c r="L33" s="52">
        <f t="shared" si="10"/>
        <v>14</v>
      </c>
      <c r="M33" s="52">
        <f t="shared" si="11"/>
        <v>15</v>
      </c>
      <c r="N33" s="8"/>
    </row>
    <row r="34" spans="1:14" x14ac:dyDescent="0.45">
      <c r="A34" s="8"/>
      <c r="B34" s="109" t="str">
        <f t="shared" si="5"/>
        <v>Bitcoin Long 16.5X</v>
      </c>
      <c r="C34" s="53">
        <v>2.5000000000000001E-2</v>
      </c>
      <c r="D34" s="53">
        <v>7.4999999999999997E-2</v>
      </c>
      <c r="E34" s="85">
        <v>16.5</v>
      </c>
      <c r="F34" s="85">
        <v>1</v>
      </c>
      <c r="G34" s="85">
        <f t="shared" si="12"/>
        <v>1</v>
      </c>
      <c r="H34" s="85">
        <f t="shared" si="13"/>
        <v>14.5</v>
      </c>
      <c r="I34" s="53">
        <f t="shared" si="14"/>
        <v>6.0606060606060608E-2</v>
      </c>
      <c r="J34" s="90">
        <f t="shared" si="9"/>
        <v>0.93939393939393945</v>
      </c>
      <c r="K34" s="53">
        <f t="shared" si="8"/>
        <v>1</v>
      </c>
      <c r="L34" s="52">
        <f t="shared" si="10"/>
        <v>14.5</v>
      </c>
      <c r="M34" s="52">
        <f t="shared" si="11"/>
        <v>15.5</v>
      </c>
      <c r="N34" s="8"/>
    </row>
    <row r="35" spans="1:14" x14ac:dyDescent="0.45">
      <c r="A35" s="8"/>
      <c r="B35" s="109" t="str">
        <f t="shared" si="5"/>
        <v>Bitcoin Long 17X</v>
      </c>
      <c r="C35" s="53">
        <v>2.5000000000000001E-2</v>
      </c>
      <c r="D35" s="53">
        <v>7.4999999999999997E-2</v>
      </c>
      <c r="E35" s="85">
        <v>17</v>
      </c>
      <c r="F35" s="85">
        <v>1</v>
      </c>
      <c r="G35" s="85">
        <f t="shared" si="12"/>
        <v>1</v>
      </c>
      <c r="H35" s="85">
        <f t="shared" si="13"/>
        <v>15</v>
      </c>
      <c r="I35" s="53">
        <f t="shared" si="14"/>
        <v>5.8823529411764705E-2</v>
      </c>
      <c r="J35" s="90">
        <f t="shared" si="9"/>
        <v>0.94117647058823528</v>
      </c>
      <c r="K35" s="53">
        <f t="shared" si="8"/>
        <v>1</v>
      </c>
      <c r="L35" s="52">
        <f t="shared" si="10"/>
        <v>15</v>
      </c>
      <c r="M35" s="52">
        <f t="shared" si="11"/>
        <v>16</v>
      </c>
      <c r="N35" s="8"/>
    </row>
    <row r="36" spans="1:14" x14ac:dyDescent="0.45">
      <c r="A36" s="8"/>
      <c r="B36" s="109" t="str">
        <f t="shared" si="5"/>
        <v>Bitcoin Long 17.5X</v>
      </c>
      <c r="C36" s="53">
        <v>2.5000000000000001E-2</v>
      </c>
      <c r="D36" s="53">
        <v>7.4999999999999997E-2</v>
      </c>
      <c r="E36" s="85">
        <v>17.5</v>
      </c>
      <c r="F36" s="85">
        <v>1</v>
      </c>
      <c r="G36" s="85">
        <f t="shared" si="12"/>
        <v>1</v>
      </c>
      <c r="H36" s="85">
        <f t="shared" si="13"/>
        <v>15.5</v>
      </c>
      <c r="I36" s="53">
        <f t="shared" si="14"/>
        <v>5.7142857142857141E-2</v>
      </c>
      <c r="J36" s="90">
        <f t="shared" si="9"/>
        <v>0.94285714285714284</v>
      </c>
      <c r="K36" s="53">
        <f t="shared" si="8"/>
        <v>1</v>
      </c>
      <c r="L36" s="52">
        <f t="shared" si="10"/>
        <v>15.5</v>
      </c>
      <c r="M36" s="52">
        <f t="shared" si="11"/>
        <v>16.5</v>
      </c>
      <c r="N36" s="8"/>
    </row>
    <row r="37" spans="1:14" x14ac:dyDescent="0.45">
      <c r="A37" s="8"/>
      <c r="B37" s="109" t="str">
        <f t="shared" si="5"/>
        <v>Bitcoin Long 18X</v>
      </c>
      <c r="C37" s="53">
        <v>2.5000000000000001E-2</v>
      </c>
      <c r="D37" s="53">
        <v>7.4999999999999997E-2</v>
      </c>
      <c r="E37" s="85">
        <v>18</v>
      </c>
      <c r="F37" s="85">
        <v>1</v>
      </c>
      <c r="G37" s="85">
        <f t="shared" si="12"/>
        <v>1</v>
      </c>
      <c r="H37" s="85">
        <f t="shared" si="13"/>
        <v>16</v>
      </c>
      <c r="I37" s="53">
        <f t="shared" si="14"/>
        <v>5.5555555555555552E-2</v>
      </c>
      <c r="J37" s="90">
        <f t="shared" si="9"/>
        <v>0.94444444444444442</v>
      </c>
      <c r="K37" s="53">
        <f t="shared" si="8"/>
        <v>1</v>
      </c>
      <c r="L37" s="52">
        <f t="shared" si="10"/>
        <v>16</v>
      </c>
      <c r="M37" s="52">
        <f t="shared" si="11"/>
        <v>17</v>
      </c>
      <c r="N37" s="8"/>
    </row>
    <row r="38" spans="1:14" x14ac:dyDescent="0.45">
      <c r="A38" s="8"/>
      <c r="B38" s="109" t="str">
        <f t="shared" si="5"/>
        <v>Bitcoin Long 18.5X</v>
      </c>
      <c r="C38" s="53">
        <v>2.5000000000000001E-2</v>
      </c>
      <c r="D38" s="53">
        <v>7.4999999999999997E-2</v>
      </c>
      <c r="E38" s="85">
        <v>18.5</v>
      </c>
      <c r="F38" s="85">
        <v>1</v>
      </c>
      <c r="G38" s="85">
        <f t="shared" si="12"/>
        <v>1</v>
      </c>
      <c r="H38" s="85">
        <f t="shared" si="13"/>
        <v>16.5</v>
      </c>
      <c r="I38" s="53">
        <f t="shared" si="14"/>
        <v>5.4054054054054057E-2</v>
      </c>
      <c r="J38" s="90">
        <f t="shared" si="9"/>
        <v>0.94594594594594594</v>
      </c>
      <c r="K38" s="53">
        <f t="shared" si="8"/>
        <v>1</v>
      </c>
      <c r="L38" s="52">
        <f t="shared" si="10"/>
        <v>16.5</v>
      </c>
      <c r="M38" s="52">
        <f t="shared" si="11"/>
        <v>17.5</v>
      </c>
      <c r="N38" s="8"/>
    </row>
    <row r="39" spans="1:14" x14ac:dyDescent="0.45">
      <c r="A39" s="8"/>
      <c r="B39" s="109" t="str">
        <f t="shared" si="5"/>
        <v>Bitcoin Long 19X</v>
      </c>
      <c r="C39" s="53">
        <v>2.5000000000000001E-2</v>
      </c>
      <c r="D39" s="53">
        <v>7.4999999999999997E-2</v>
      </c>
      <c r="E39" s="85">
        <v>19</v>
      </c>
      <c r="F39" s="85">
        <v>1</v>
      </c>
      <c r="G39" s="85">
        <f t="shared" si="12"/>
        <v>1</v>
      </c>
      <c r="H39" s="85">
        <f t="shared" si="13"/>
        <v>17</v>
      </c>
      <c r="I39" s="53">
        <f t="shared" si="14"/>
        <v>5.2631578947368418E-2</v>
      </c>
      <c r="J39" s="90">
        <f t="shared" si="9"/>
        <v>0.94736842105263164</v>
      </c>
      <c r="K39" s="53">
        <f t="shared" si="8"/>
        <v>1</v>
      </c>
      <c r="L39" s="52">
        <f t="shared" si="10"/>
        <v>17</v>
      </c>
      <c r="M39" s="52">
        <f t="shared" si="11"/>
        <v>18</v>
      </c>
      <c r="N39" s="8"/>
    </row>
    <row r="40" spans="1:14" x14ac:dyDescent="0.45">
      <c r="A40" s="8"/>
      <c r="B40" s="109" t="str">
        <f t="shared" si="5"/>
        <v>Bitcoin Long 19.5X</v>
      </c>
      <c r="C40" s="53">
        <v>2.5000000000000001E-2</v>
      </c>
      <c r="D40" s="53">
        <v>7.4999999999999997E-2</v>
      </c>
      <c r="E40" s="85">
        <v>19.5</v>
      </c>
      <c r="F40" s="85">
        <v>1</v>
      </c>
      <c r="G40" s="85">
        <f t="shared" si="12"/>
        <v>1</v>
      </c>
      <c r="H40" s="85">
        <f t="shared" si="13"/>
        <v>17.5</v>
      </c>
      <c r="I40" s="53">
        <f t="shared" si="14"/>
        <v>5.128205128205128E-2</v>
      </c>
      <c r="J40" s="90">
        <f t="shared" si="9"/>
        <v>0.94871794871794868</v>
      </c>
      <c r="K40" s="53">
        <f t="shared" si="8"/>
        <v>1</v>
      </c>
      <c r="L40" s="52">
        <f t="shared" si="10"/>
        <v>17.5</v>
      </c>
      <c r="M40" s="52">
        <f t="shared" si="11"/>
        <v>18.5</v>
      </c>
      <c r="N40" s="8"/>
    </row>
    <row r="41" spans="1:14" x14ac:dyDescent="0.45">
      <c r="A41" s="8"/>
      <c r="B41" s="109" t="str">
        <f t="shared" si="5"/>
        <v>Bitcoin Long 20X</v>
      </c>
      <c r="C41" s="53">
        <v>2.5000000000000001E-2</v>
      </c>
      <c r="D41" s="53">
        <v>7.4999999999999997E-2</v>
      </c>
      <c r="E41" s="85">
        <v>20</v>
      </c>
      <c r="F41" s="85">
        <v>1</v>
      </c>
      <c r="G41" s="85">
        <f t="shared" si="12"/>
        <v>1</v>
      </c>
      <c r="H41" s="85">
        <f t="shared" si="13"/>
        <v>18</v>
      </c>
      <c r="I41" s="53">
        <f t="shared" si="14"/>
        <v>0.05</v>
      </c>
      <c r="J41" s="90">
        <f t="shared" si="9"/>
        <v>0.95</v>
      </c>
      <c r="K41" s="53">
        <f t="shared" si="8"/>
        <v>1</v>
      </c>
      <c r="L41" s="52">
        <f t="shared" si="10"/>
        <v>18</v>
      </c>
      <c r="M41" s="52">
        <f t="shared" si="11"/>
        <v>19</v>
      </c>
      <c r="N41" s="8"/>
    </row>
    <row r="42" spans="1:14" x14ac:dyDescent="0.45">
      <c r="A42" s="8"/>
      <c r="B42" s="3"/>
      <c r="C42" s="3"/>
      <c r="D42" s="3"/>
      <c r="E42" s="3"/>
      <c r="F42" s="3"/>
      <c r="G42" s="3"/>
      <c r="H42" s="3"/>
      <c r="I42" s="86"/>
      <c r="J42" s="86"/>
      <c r="K42" s="86"/>
      <c r="L42" s="86"/>
      <c r="M42" s="86"/>
      <c r="N42" s="8"/>
    </row>
    <row r="43" spans="1:14" x14ac:dyDescent="0.45">
      <c r="I43" s="12"/>
      <c r="J43" s="12"/>
      <c r="K43" s="12"/>
      <c r="L43" s="12"/>
      <c r="M43" s="12"/>
    </row>
    <row r="44" spans="1:14" x14ac:dyDescent="0.45">
      <c r="I44" s="12"/>
      <c r="J44" s="12"/>
      <c r="K44" s="12"/>
      <c r="L44" s="12"/>
      <c r="M44" s="12"/>
    </row>
  </sheetData>
  <mergeCells count="2">
    <mergeCell ref="E2:E3"/>
    <mergeCell ref="B2:D3"/>
  </mergeCells>
  <pageMargins left="0.7" right="0.7" top="0.75" bottom="0.75" header="0.3" footer="0.3"/>
  <pageSetup orientation="portrait" r:id="rId1"/>
  <headerFooter>
    <oddHeader>&amp;R&amp;"Aptos"&amp;12&amp;K000000 Unclassified / Non 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1D391-1D31-44B7-B5DC-9ADCDD76FB9E}">
  <dimension ref="B1:F11"/>
  <sheetViews>
    <sheetView zoomScaleNormal="100" workbookViewId="0">
      <selection activeCell="E18" sqref="E18"/>
    </sheetView>
  </sheetViews>
  <sheetFormatPr defaultColWidth="9" defaultRowHeight="33.950000000000003" customHeight="1" x14ac:dyDescent="0.45"/>
  <cols>
    <col min="1" max="1" width="1.86328125" style="104" customWidth="1"/>
    <col min="2" max="2" width="16.73046875" style="103" customWidth="1"/>
    <col min="3" max="3" width="20.265625" style="104" customWidth="1"/>
    <col min="4" max="4" width="40.1328125" style="104" bestFit="1" customWidth="1"/>
    <col min="5" max="5" width="42.1328125" style="104" bestFit="1" customWidth="1"/>
    <col min="6" max="6" width="127.1328125" style="104" customWidth="1"/>
    <col min="7" max="8" width="24.86328125" style="104" customWidth="1"/>
    <col min="9" max="16384" width="9" style="104"/>
  </cols>
  <sheetData>
    <row r="1" spans="2:6" s="100" customFormat="1" ht="33.950000000000003" customHeight="1" x14ac:dyDescent="0.9">
      <c r="B1" s="99"/>
      <c r="C1" s="139" t="s">
        <v>119</v>
      </c>
      <c r="D1" s="106"/>
      <c r="F1" s="108"/>
    </row>
    <row r="2" spans="2:6" s="102" customFormat="1" ht="33.950000000000003" customHeight="1" x14ac:dyDescent="0.45">
      <c r="B2" s="101"/>
      <c r="C2" s="140" t="s">
        <v>172</v>
      </c>
      <c r="F2" s="107"/>
    </row>
    <row r="3" spans="2:6" ht="56.25" customHeight="1" thickBot="1" x14ac:dyDescent="0.5">
      <c r="B3" s="110"/>
      <c r="C3" s="120" t="s">
        <v>83</v>
      </c>
      <c r="D3" s="121" t="s">
        <v>103</v>
      </c>
      <c r="E3" s="121" t="s">
        <v>102</v>
      </c>
      <c r="F3" s="121" t="s">
        <v>108</v>
      </c>
    </row>
    <row r="4" spans="2:6" ht="55.5" customHeight="1" thickTop="1" thickBot="1" x14ac:dyDescent="0.5">
      <c r="B4" s="114"/>
      <c r="C4" s="122" t="s">
        <v>98</v>
      </c>
      <c r="D4" s="115" t="s">
        <v>101</v>
      </c>
      <c r="E4" s="115" t="s">
        <v>97</v>
      </c>
      <c r="F4" s="111" t="s">
        <v>109</v>
      </c>
    </row>
    <row r="5" spans="2:6" ht="89.45" customHeight="1" thickBot="1" x14ac:dyDescent="0.5">
      <c r="B5" s="116"/>
      <c r="C5" s="123" t="s">
        <v>86</v>
      </c>
      <c r="D5" s="117" t="s">
        <v>91</v>
      </c>
      <c r="E5" s="117" t="s">
        <v>92</v>
      </c>
      <c r="F5" s="112" t="s">
        <v>106</v>
      </c>
    </row>
    <row r="6" spans="2:6" ht="89.45" customHeight="1" thickBot="1" x14ac:dyDescent="0.5">
      <c r="B6" s="116"/>
      <c r="C6" s="123" t="s">
        <v>87</v>
      </c>
      <c r="D6" s="117" t="s">
        <v>84</v>
      </c>
      <c r="E6" s="117" t="s">
        <v>85</v>
      </c>
      <c r="F6" s="112" t="s">
        <v>104</v>
      </c>
    </row>
    <row r="7" spans="2:6" ht="55.5" customHeight="1" thickBot="1" x14ac:dyDescent="0.5">
      <c r="B7" s="116"/>
      <c r="C7" s="123" t="s">
        <v>90</v>
      </c>
      <c r="D7" s="117" t="s">
        <v>84</v>
      </c>
      <c r="E7" s="117" t="s">
        <v>85</v>
      </c>
      <c r="F7" s="229" t="s">
        <v>149</v>
      </c>
    </row>
    <row r="8" spans="2:6" ht="55.5" customHeight="1" thickBot="1" x14ac:dyDescent="0.5">
      <c r="B8" s="232" t="s">
        <v>100</v>
      </c>
      <c r="C8" s="232"/>
      <c r="D8" s="117" t="s">
        <v>88</v>
      </c>
      <c r="E8" s="117" t="s">
        <v>89</v>
      </c>
      <c r="F8" s="230"/>
    </row>
    <row r="9" spans="2:6" ht="55.5" customHeight="1" thickBot="1" x14ac:dyDescent="0.5">
      <c r="B9" s="116"/>
      <c r="C9" s="123" t="s">
        <v>94</v>
      </c>
      <c r="D9" s="117" t="s">
        <v>183</v>
      </c>
      <c r="E9" s="117" t="s">
        <v>184</v>
      </c>
      <c r="F9" s="231"/>
    </row>
    <row r="10" spans="2:6" ht="89.25" customHeight="1" thickBot="1" x14ac:dyDescent="0.5">
      <c r="B10" s="118"/>
      <c r="C10" s="124" t="s">
        <v>95</v>
      </c>
      <c r="D10" s="119" t="s">
        <v>93</v>
      </c>
      <c r="E10" s="113" t="s">
        <v>107</v>
      </c>
      <c r="F10" s="112" t="s">
        <v>105</v>
      </c>
    </row>
    <row r="11" spans="2:6" ht="67.5" customHeight="1" x14ac:dyDescent="0.45">
      <c r="B11" s="233" t="s">
        <v>99</v>
      </c>
      <c r="C11" s="233"/>
      <c r="D11" s="119" t="s">
        <v>96</v>
      </c>
      <c r="E11" s="113" t="s">
        <v>181</v>
      </c>
      <c r="F11" s="113" t="s">
        <v>182</v>
      </c>
    </row>
  </sheetData>
  <mergeCells count="3">
    <mergeCell ref="F7:F9"/>
    <mergeCell ref="B8:C8"/>
    <mergeCell ref="B11:C11"/>
  </mergeCells>
  <phoneticPr fontId="18" type="noConversion"/>
  <pageMargins left="0.7" right="0.7" top="0.75" bottom="0.75" header="0.3" footer="0.3"/>
  <pageSetup orientation="portrait" r:id="rId1"/>
  <headerFooter>
    <oddHeader>&amp;R&amp;"Aptos"&amp;12&amp;K000000 Unclassified / Non classifié&amp;1#_x000D_</oddHead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4A39B-3356-48FD-B060-591F10C2E8BF}">
  <dimension ref="B1:S30"/>
  <sheetViews>
    <sheetView tabSelected="1" zoomScale="85" zoomScaleNormal="85" workbookViewId="0">
      <selection activeCell="R37" sqref="R37"/>
    </sheetView>
  </sheetViews>
  <sheetFormatPr defaultColWidth="9" defaultRowHeight="33.950000000000003" customHeight="1" x14ac:dyDescent="0.45"/>
  <cols>
    <col min="1" max="1" width="1.3984375" style="104" customWidth="1"/>
    <col min="2" max="2" width="31.6640625" style="103" customWidth="1"/>
    <col min="3" max="3" width="21" style="103" customWidth="1"/>
    <col min="4" max="4" width="34.46484375" style="104" bestFit="1" customWidth="1"/>
    <col min="5" max="5" width="2.33203125" style="104" customWidth="1"/>
    <col min="6" max="6" width="26.9296875" style="104" customWidth="1"/>
    <col min="7" max="7" width="2.33203125" style="104" customWidth="1"/>
    <col min="8" max="8" width="26.9296875" style="104" customWidth="1"/>
    <col min="9" max="9" width="2.33203125" style="104" customWidth="1"/>
    <col min="10" max="10" width="26.9296875" style="104" customWidth="1"/>
    <col min="11" max="11" width="2.33203125" style="104" customWidth="1"/>
    <col min="12" max="12" width="26.9296875" style="104" customWidth="1"/>
    <col min="13" max="13" width="2.33203125" style="104" customWidth="1"/>
    <col min="14" max="14" width="26.9296875" style="104" customWidth="1"/>
    <col min="15" max="15" width="2.33203125" style="104" customWidth="1"/>
    <col min="16" max="16" width="26.9296875" style="104" customWidth="1"/>
    <col min="17" max="17" width="2.33203125" style="104" customWidth="1"/>
    <col min="18" max="18" width="26.9296875" style="104" customWidth="1"/>
    <col min="19" max="23" width="21.06640625" style="104" customWidth="1"/>
    <col min="24" max="16384" width="9" style="104"/>
  </cols>
  <sheetData>
    <row r="1" spans="2:19" s="100" customFormat="1" ht="37.15" x14ac:dyDescent="0.45">
      <c r="B1" s="164" t="s">
        <v>150</v>
      </c>
      <c r="C1" s="136"/>
      <c r="E1" s="130"/>
      <c r="R1" s="156" t="s">
        <v>82</v>
      </c>
    </row>
    <row r="2" spans="2:19" s="102" customFormat="1" ht="29.35" customHeight="1" x14ac:dyDescent="0.85">
      <c r="B2" s="153" t="s">
        <v>172</v>
      </c>
      <c r="C2" s="137"/>
      <c r="E2" s="129"/>
      <c r="R2" s="157">
        <v>46082</v>
      </c>
    </row>
    <row r="3" spans="2:19" s="102" customFormat="1" ht="7.5" customHeight="1" x14ac:dyDescent="0.65">
      <c r="B3" s="131"/>
      <c r="C3" s="131"/>
      <c r="D3" s="108"/>
      <c r="E3" s="108"/>
      <c r="R3" s="126"/>
      <c r="S3" s="128"/>
    </row>
    <row r="4" spans="2:19" s="105" customFormat="1" ht="31.15" customHeight="1" x14ac:dyDescent="0.85">
      <c r="B4" s="248" t="s">
        <v>154</v>
      </c>
      <c r="C4" s="249"/>
      <c r="D4" s="243" t="s">
        <v>166</v>
      </c>
      <c r="E4" s="243"/>
      <c r="F4" s="243"/>
      <c r="H4" s="235" t="s">
        <v>141</v>
      </c>
      <c r="I4" s="236"/>
      <c r="J4" s="237"/>
      <c r="K4" s="134"/>
      <c r="L4" s="235" t="s">
        <v>140</v>
      </c>
      <c r="M4" s="236"/>
      <c r="N4" s="237"/>
      <c r="O4" s="134"/>
      <c r="P4" s="235" t="s">
        <v>139</v>
      </c>
      <c r="Q4" s="236"/>
      <c r="R4" s="237"/>
      <c r="S4" s="128"/>
    </row>
    <row r="5" spans="2:19" s="105" customFormat="1" ht="37.5" customHeight="1" thickBot="1" x14ac:dyDescent="0.5">
      <c r="B5" s="248"/>
      <c r="C5" s="249"/>
      <c r="D5" s="247"/>
      <c r="E5" s="247"/>
      <c r="F5" s="247"/>
      <c r="G5" s="133"/>
      <c r="H5" s="244">
        <v>0.2</v>
      </c>
      <c r="I5" s="245"/>
      <c r="J5" s="246"/>
      <c r="K5" s="158"/>
      <c r="L5" s="250">
        <v>0.02</v>
      </c>
      <c r="M5" s="251"/>
      <c r="N5" s="252"/>
      <c r="O5" s="159"/>
      <c r="P5" s="250">
        <v>0.01</v>
      </c>
      <c r="Q5" s="251"/>
      <c r="R5" s="252"/>
      <c r="S5" s="128"/>
    </row>
    <row r="6" spans="2:19" s="102" customFormat="1" ht="16.899999999999999" customHeight="1" x14ac:dyDescent="0.65">
      <c r="B6" s="248"/>
      <c r="C6" s="131"/>
      <c r="D6" s="108"/>
      <c r="E6" s="108"/>
      <c r="R6" s="126"/>
      <c r="S6" s="128"/>
    </row>
    <row r="7" spans="2:19" s="102" customFormat="1" ht="31.15" customHeight="1" x14ac:dyDescent="0.85">
      <c r="B7" s="248"/>
      <c r="C7" s="131"/>
      <c r="D7" s="243" t="s">
        <v>167</v>
      </c>
      <c r="E7" s="243"/>
      <c r="F7" s="243"/>
      <c r="G7" s="105"/>
      <c r="H7" s="235" t="s">
        <v>153</v>
      </c>
      <c r="I7" s="236"/>
      <c r="J7" s="237"/>
      <c r="K7" s="134"/>
      <c r="L7" s="235" t="s">
        <v>144</v>
      </c>
      <c r="M7" s="236"/>
      <c r="N7" s="237"/>
      <c r="O7" s="134"/>
      <c r="P7" s="235" t="s">
        <v>134</v>
      </c>
      <c r="Q7" s="236"/>
      <c r="R7" s="237"/>
      <c r="S7" s="128"/>
    </row>
    <row r="8" spans="2:19" s="102" customFormat="1" ht="37.5" customHeight="1" thickBot="1" x14ac:dyDescent="0.5">
      <c r="B8" s="248"/>
      <c r="C8" s="131"/>
      <c r="D8" s="247"/>
      <c r="E8" s="247"/>
      <c r="F8" s="247"/>
      <c r="G8" s="133"/>
      <c r="H8" s="244">
        <v>0.115</v>
      </c>
      <c r="I8" s="245"/>
      <c r="J8" s="246"/>
      <c r="K8" s="158"/>
      <c r="L8" s="244">
        <v>7.4999999999999997E-2</v>
      </c>
      <c r="M8" s="245"/>
      <c r="N8" s="246"/>
      <c r="O8" s="159"/>
      <c r="P8" s="244">
        <v>0.05</v>
      </c>
      <c r="Q8" s="245"/>
      <c r="R8" s="246"/>
      <c r="S8" s="128"/>
    </row>
    <row r="9" spans="2:19" s="102" customFormat="1" ht="7.5" customHeight="1" x14ac:dyDescent="0.65">
      <c r="B9" s="131"/>
      <c r="C9" s="131"/>
      <c r="D9" s="108"/>
      <c r="E9" s="108"/>
      <c r="R9" s="126"/>
      <c r="S9" s="128"/>
    </row>
    <row r="10" spans="2:19" ht="37.5" customHeight="1" thickBot="1" x14ac:dyDescent="0.5">
      <c r="B10" s="152" t="s">
        <v>146</v>
      </c>
      <c r="C10" s="138"/>
      <c r="D10" s="135"/>
      <c r="E10" s="132"/>
      <c r="F10" s="173" t="s">
        <v>177</v>
      </c>
      <c r="G10" s="173"/>
      <c r="H10" s="173" t="s">
        <v>179</v>
      </c>
      <c r="I10" s="173"/>
      <c r="J10" s="173" t="s">
        <v>176</v>
      </c>
      <c r="K10" s="173"/>
      <c r="L10" s="173" t="s">
        <v>175</v>
      </c>
      <c r="M10" s="173"/>
      <c r="N10" s="173" t="s">
        <v>147</v>
      </c>
      <c r="O10" s="173"/>
      <c r="P10" s="173" t="s">
        <v>178</v>
      </c>
      <c r="Q10" s="173"/>
      <c r="R10" s="173" t="s">
        <v>148</v>
      </c>
      <c r="S10" s="127"/>
    </row>
    <row r="11" spans="2:19" ht="28.25" customHeight="1" x14ac:dyDescent="0.45">
      <c r="B11" s="238" t="s">
        <v>168</v>
      </c>
      <c r="C11" s="238"/>
      <c r="D11" s="141" t="s">
        <v>143</v>
      </c>
      <c r="E11" s="142"/>
      <c r="F11" s="143">
        <v>1</v>
      </c>
      <c r="G11" s="143"/>
      <c r="H11" s="143">
        <v>1</v>
      </c>
      <c r="I11" s="143"/>
      <c r="J11" s="143">
        <v>1</v>
      </c>
      <c r="K11" s="143"/>
      <c r="L11" s="143">
        <v>1</v>
      </c>
      <c r="M11" s="143"/>
      <c r="N11" s="143">
        <v>1</v>
      </c>
      <c r="O11" s="143"/>
      <c r="P11" s="143">
        <v>1</v>
      </c>
      <c r="Q11" s="143"/>
      <c r="R11" s="143">
        <v>1</v>
      </c>
      <c r="S11" s="127"/>
    </row>
    <row r="12" spans="2:19" ht="28.25" customHeight="1" x14ac:dyDescent="0.45">
      <c r="B12" s="239"/>
      <c r="C12" s="239"/>
      <c r="D12" s="141" t="s">
        <v>144</v>
      </c>
      <c r="E12" s="142"/>
      <c r="F12" s="143">
        <v>0</v>
      </c>
      <c r="G12" s="143"/>
      <c r="H12" s="143">
        <v>0.5</v>
      </c>
      <c r="I12" s="143"/>
      <c r="J12" s="143">
        <v>1</v>
      </c>
      <c r="K12" s="143"/>
      <c r="L12" s="143">
        <v>1.5</v>
      </c>
      <c r="M12" s="143"/>
      <c r="N12" s="143">
        <v>2</v>
      </c>
      <c r="O12" s="143"/>
      <c r="P12" s="143">
        <v>2.5</v>
      </c>
      <c r="Q12" s="143"/>
      <c r="R12" s="143">
        <v>3</v>
      </c>
      <c r="S12" s="127"/>
    </row>
    <row r="13" spans="2:19" ht="28.25" customHeight="1" thickBot="1" x14ac:dyDescent="0.5">
      <c r="B13" s="240"/>
      <c r="C13" s="240"/>
      <c r="D13" s="141" t="s">
        <v>169</v>
      </c>
      <c r="E13" s="165"/>
      <c r="F13" s="260">
        <f>SUM(F11:F12)</f>
        <v>1</v>
      </c>
      <c r="G13" s="171">
        <f t="shared" ref="G13:R13" si="0">SUM(G11:G12)</f>
        <v>0</v>
      </c>
      <c r="H13" s="260">
        <f t="shared" si="0"/>
        <v>1.5</v>
      </c>
      <c r="I13" s="171">
        <f t="shared" si="0"/>
        <v>0</v>
      </c>
      <c r="J13" s="260">
        <f t="shared" si="0"/>
        <v>2</v>
      </c>
      <c r="K13" s="171">
        <f t="shared" si="0"/>
        <v>0</v>
      </c>
      <c r="L13" s="260">
        <f t="shared" si="0"/>
        <v>2.5</v>
      </c>
      <c r="M13" s="171">
        <f t="shared" si="0"/>
        <v>0</v>
      </c>
      <c r="N13" s="260">
        <f t="shared" si="0"/>
        <v>3</v>
      </c>
      <c r="O13" s="171">
        <f t="shared" si="0"/>
        <v>0</v>
      </c>
      <c r="P13" s="260">
        <f t="shared" si="0"/>
        <v>3.5</v>
      </c>
      <c r="Q13" s="171">
        <f t="shared" si="0"/>
        <v>0</v>
      </c>
      <c r="R13" s="260">
        <f t="shared" si="0"/>
        <v>4</v>
      </c>
      <c r="S13" s="127"/>
    </row>
    <row r="14" spans="2:19" ht="28.25" customHeight="1" x14ac:dyDescent="0.45">
      <c r="B14" s="238" t="s">
        <v>151</v>
      </c>
      <c r="C14" s="238"/>
      <c r="D14" s="144" t="s">
        <v>141</v>
      </c>
      <c r="E14" s="145"/>
      <c r="F14" s="146">
        <f>'2X'!I24</f>
        <v>0.11962448559670782</v>
      </c>
      <c r="G14" s="146"/>
      <c r="H14" s="146">
        <f>'2.5X'!I24</f>
        <v>0.17943672839506175</v>
      </c>
      <c r="I14" s="146"/>
      <c r="J14" s="146">
        <f>'3X'!I24</f>
        <v>0.23924897119341565</v>
      </c>
      <c r="K14" s="146"/>
      <c r="L14" s="146">
        <f>'3.5X'!I24</f>
        <v>0.29906121399176955</v>
      </c>
      <c r="M14" s="146"/>
      <c r="N14" s="146">
        <f>'4X'!I24</f>
        <v>0.3588734567901235</v>
      </c>
      <c r="O14" s="146"/>
      <c r="P14" s="146">
        <f>'4.5X'!I24</f>
        <v>0.41868569958847746</v>
      </c>
      <c r="Q14" s="146"/>
      <c r="R14" s="146">
        <f>'5X'!I24</f>
        <v>0.4784979423868313</v>
      </c>
    </row>
    <row r="15" spans="2:19" ht="28.25" customHeight="1" x14ac:dyDescent="0.45">
      <c r="B15" s="257"/>
      <c r="C15" s="257"/>
      <c r="D15" s="147" t="s">
        <v>140</v>
      </c>
      <c r="E15" s="148"/>
      <c r="F15" s="149">
        <f>'2X'!I26</f>
        <v>3.1962448559670779E-2</v>
      </c>
      <c r="G15" s="149"/>
      <c r="H15" s="149">
        <f>'2.5X'!I26</f>
        <v>4.1962448559670781E-2</v>
      </c>
      <c r="I15" s="149"/>
      <c r="J15" s="149">
        <f>'3X'!I26</f>
        <v>5.1962448559670783E-2</v>
      </c>
      <c r="K15" s="149"/>
      <c r="L15" s="149">
        <f>'3.5X'!I26</f>
        <v>6.1962448559670778E-2</v>
      </c>
      <c r="M15" s="149"/>
      <c r="N15" s="149">
        <f>'4X'!I26</f>
        <v>7.196244855967078E-2</v>
      </c>
      <c r="O15" s="149"/>
      <c r="P15" s="149">
        <f>'4.5X'!I26</f>
        <v>8.1962448559670789E-2</v>
      </c>
      <c r="Q15" s="149"/>
      <c r="R15" s="149">
        <f>'5X'!I26</f>
        <v>9.196244855967077E-2</v>
      </c>
    </row>
    <row r="16" spans="2:19" ht="28.25" customHeight="1" x14ac:dyDescent="0.45">
      <c r="B16" s="257"/>
      <c r="C16" s="257"/>
      <c r="D16" s="147" t="s">
        <v>139</v>
      </c>
      <c r="E16" s="148"/>
      <c r="F16" s="150">
        <f>'2X'!I29</f>
        <v>1.598122427983539E-2</v>
      </c>
      <c r="G16" s="149"/>
      <c r="H16" s="150">
        <f>'2.5X'!I29</f>
        <v>2.0981224279835391E-2</v>
      </c>
      <c r="I16" s="149"/>
      <c r="J16" s="150">
        <f>'3X'!I29</f>
        <v>2.5981224279835392E-2</v>
      </c>
      <c r="K16" s="149"/>
      <c r="L16" s="150">
        <f>'3.5X'!I29</f>
        <v>3.0981224279835389E-2</v>
      </c>
      <c r="M16" s="149"/>
      <c r="N16" s="150">
        <f>'4X'!I29</f>
        <v>3.598122427983539E-2</v>
      </c>
      <c r="O16" s="149"/>
      <c r="P16" s="150">
        <f>'4.5X'!I29</f>
        <v>4.0981224279835395E-2</v>
      </c>
      <c r="Q16" s="149"/>
      <c r="R16" s="150">
        <f>'5X'!I29</f>
        <v>4.5981224279835385E-2</v>
      </c>
    </row>
    <row r="17" spans="2:18" ht="28.25" customHeight="1" x14ac:dyDescent="0.45">
      <c r="B17" s="257"/>
      <c r="C17" s="257"/>
      <c r="D17" s="147" t="s">
        <v>142</v>
      </c>
      <c r="E17" s="151"/>
      <c r="F17" s="149">
        <f>SUM(F14:F16)</f>
        <v>0.167568158436214</v>
      </c>
      <c r="G17" s="149"/>
      <c r="H17" s="149">
        <f t="shared" ref="H17" si="1">SUM(H14:H16)</f>
        <v>0.24238040123456794</v>
      </c>
      <c r="I17" s="149"/>
      <c r="J17" s="149">
        <f t="shared" ref="J17:R17" si="2">SUM(J14:J16)</f>
        <v>0.31719264403292186</v>
      </c>
      <c r="K17" s="149"/>
      <c r="L17" s="149">
        <f t="shared" ref="L17" si="3">SUM(L14:L16)</f>
        <v>0.39200488683127571</v>
      </c>
      <c r="M17" s="149"/>
      <c r="N17" s="149">
        <f t="shared" si="2"/>
        <v>0.46681712962962968</v>
      </c>
      <c r="O17" s="149"/>
      <c r="P17" s="149">
        <f t="shared" ref="P17" si="4">SUM(P14:P16)</f>
        <v>0.5416293724279837</v>
      </c>
      <c r="Q17" s="149"/>
      <c r="R17" s="149">
        <f t="shared" si="2"/>
        <v>0.61644161522633745</v>
      </c>
    </row>
    <row r="18" spans="2:18" ht="28.25" customHeight="1" x14ac:dyDescent="0.45">
      <c r="B18" s="257"/>
      <c r="C18" s="257"/>
      <c r="D18" s="253" t="s">
        <v>145</v>
      </c>
      <c r="E18" s="254"/>
      <c r="F18" s="255">
        <f>'2X'!I110</f>
        <v>6.8877957818930038E-2</v>
      </c>
      <c r="G18" s="255"/>
      <c r="H18" s="255">
        <f>'2.5X'!I110</f>
        <v>0.12126060956790122</v>
      </c>
      <c r="I18" s="255"/>
      <c r="J18" s="255">
        <f>'3X'!I110</f>
        <v>0.17364326131687247</v>
      </c>
      <c r="K18" s="255"/>
      <c r="L18" s="255">
        <f>'3.5X'!I110</f>
        <v>0.2260259130658436</v>
      </c>
      <c r="M18" s="255"/>
      <c r="N18" s="255">
        <f>'4X'!I110</f>
        <v>0.2784085648148148</v>
      </c>
      <c r="O18" s="255"/>
      <c r="P18" s="255">
        <f>'4.5X'!I110</f>
        <v>0.33079121656378596</v>
      </c>
      <c r="Q18" s="255"/>
      <c r="R18" s="255">
        <f>'5X'!I110</f>
        <v>0.38317386831275718</v>
      </c>
    </row>
    <row r="19" spans="2:18" ht="28.25" customHeight="1" thickBot="1" x14ac:dyDescent="0.5">
      <c r="B19" s="240"/>
      <c r="C19" s="240"/>
      <c r="D19" s="253" t="s">
        <v>180</v>
      </c>
      <c r="E19" s="254"/>
      <c r="F19" s="258">
        <f>$H$5+F18+(F18*$H$5)</f>
        <v>0.28265354938271603</v>
      </c>
      <c r="G19" s="256">
        <f t="shared" ref="G19:R19" si="5">$H$5+G18+(G18*$H$5)</f>
        <v>0.2</v>
      </c>
      <c r="H19" s="258">
        <f t="shared" si="5"/>
        <v>0.34551273148148148</v>
      </c>
      <c r="I19" s="256">
        <f t="shared" si="5"/>
        <v>0.2</v>
      </c>
      <c r="J19" s="258">
        <f t="shared" si="5"/>
        <v>0.40837191358024699</v>
      </c>
      <c r="K19" s="256">
        <f t="shared" si="5"/>
        <v>0.2</v>
      </c>
      <c r="L19" s="258">
        <f t="shared" si="5"/>
        <v>0.47123109567901234</v>
      </c>
      <c r="M19" s="256">
        <f t="shared" si="5"/>
        <v>0.2</v>
      </c>
      <c r="N19" s="258">
        <f t="shared" si="5"/>
        <v>0.53409027777777773</v>
      </c>
      <c r="O19" s="256">
        <f t="shared" si="5"/>
        <v>0.2</v>
      </c>
      <c r="P19" s="258">
        <f t="shared" si="5"/>
        <v>0.59694945987654324</v>
      </c>
      <c r="Q19" s="256">
        <f t="shared" si="5"/>
        <v>0.2</v>
      </c>
      <c r="R19" s="258">
        <f t="shared" si="5"/>
        <v>0.65980864197530864</v>
      </c>
    </row>
    <row r="20" spans="2:18" ht="28.25" customHeight="1" x14ac:dyDescent="0.45">
      <c r="B20" s="238" t="s">
        <v>152</v>
      </c>
      <c r="C20" s="238"/>
      <c r="D20" s="144" t="s">
        <v>141</v>
      </c>
      <c r="E20" s="145"/>
      <c r="F20" s="146">
        <f>'2X'!N24</f>
        <v>8.3849441711015424E-2</v>
      </c>
      <c r="G20" s="146"/>
      <c r="H20" s="146">
        <f>'2.5X'!N24</f>
        <v>0.12577416256652313</v>
      </c>
      <c r="I20" s="146"/>
      <c r="J20" s="146">
        <f>'3X'!N24</f>
        <v>0.16769888342203085</v>
      </c>
      <c r="K20" s="146"/>
      <c r="L20" s="146">
        <f>'3.5X'!N24</f>
        <v>0.20962360427753857</v>
      </c>
      <c r="M20" s="146"/>
      <c r="N20" s="146">
        <f>'4X'!N24</f>
        <v>0.25154832513304626</v>
      </c>
      <c r="O20" s="146"/>
      <c r="P20" s="146">
        <f>'4.5X'!N24</f>
        <v>0.29347304598855406</v>
      </c>
      <c r="Q20" s="146"/>
      <c r="R20" s="146">
        <f>'5X'!N24</f>
        <v>0.3353977668440617</v>
      </c>
    </row>
    <row r="21" spans="2:18" ht="28.25" customHeight="1" x14ac:dyDescent="0.45">
      <c r="B21" s="239"/>
      <c r="C21" s="239"/>
      <c r="D21" s="147" t="s">
        <v>140</v>
      </c>
      <c r="E21" s="148"/>
      <c r="F21" s="149">
        <f>'2X'!N26</f>
        <v>2.8384944171101545E-2</v>
      </c>
      <c r="G21" s="149"/>
      <c r="H21" s="149">
        <f>'2.5X'!N26</f>
        <v>3.8384944171101547E-2</v>
      </c>
      <c r="I21" s="149"/>
      <c r="J21" s="149">
        <f>'3X'!N26</f>
        <v>4.8384944171101542E-2</v>
      </c>
      <c r="K21" s="149"/>
      <c r="L21" s="149">
        <f>'3.5X'!N26</f>
        <v>5.8384944171101537E-2</v>
      </c>
      <c r="M21" s="149"/>
      <c r="N21" s="149">
        <f>'4X'!N26</f>
        <v>6.8384944171101553E-2</v>
      </c>
      <c r="O21" s="149"/>
      <c r="P21" s="149">
        <f>'4.5X'!N26</f>
        <v>7.8384944171101548E-2</v>
      </c>
      <c r="Q21" s="149"/>
      <c r="R21" s="149">
        <f>'5X'!N26</f>
        <v>8.8384944171101543E-2</v>
      </c>
    </row>
    <row r="22" spans="2:18" ht="28.25" customHeight="1" x14ac:dyDescent="0.45">
      <c r="B22" s="239"/>
      <c r="C22" s="239"/>
      <c r="D22" s="147" t="s">
        <v>139</v>
      </c>
      <c r="E22" s="148"/>
      <c r="F22" s="150">
        <f>'2X'!N29</f>
        <v>1.4192472085550772E-2</v>
      </c>
      <c r="G22" s="149"/>
      <c r="H22" s="150">
        <f>'2.5X'!N29</f>
        <v>1.9192472085550773E-2</v>
      </c>
      <c r="I22" s="149"/>
      <c r="J22" s="150">
        <f>'3X'!N29</f>
        <v>2.4192472085550771E-2</v>
      </c>
      <c r="K22" s="149"/>
      <c r="L22" s="150">
        <f>'3.5X'!N29</f>
        <v>2.9192472085550768E-2</v>
      </c>
      <c r="M22" s="149"/>
      <c r="N22" s="150">
        <f>'4X'!N29</f>
        <v>3.4192472085550776E-2</v>
      </c>
      <c r="O22" s="149"/>
      <c r="P22" s="150">
        <f>'4.5X'!N29</f>
        <v>3.9192472085550774E-2</v>
      </c>
      <c r="Q22" s="149"/>
      <c r="R22" s="150">
        <f>'5X'!N29</f>
        <v>4.4192472085550771E-2</v>
      </c>
    </row>
    <row r="23" spans="2:18" ht="28.25" customHeight="1" x14ac:dyDescent="0.45">
      <c r="B23" s="239"/>
      <c r="C23" s="239"/>
      <c r="D23" s="147" t="s">
        <v>142</v>
      </c>
      <c r="E23" s="151"/>
      <c r="F23" s="149">
        <f>SUM(F20:F22)</f>
        <v>0.12642685796766773</v>
      </c>
      <c r="G23" s="149"/>
      <c r="H23" s="149">
        <f t="shared" ref="H23" si="6">SUM(H20:H22)</f>
        <v>0.18335157882317546</v>
      </c>
      <c r="I23" s="149"/>
      <c r="J23" s="149">
        <f t="shared" ref="J23:R23" si="7">SUM(J20:J22)</f>
        <v>0.24027629967868316</v>
      </c>
      <c r="K23" s="149"/>
      <c r="L23" s="149">
        <f t="shared" ref="L23" si="8">SUM(L20:L22)</f>
        <v>0.29720102053419084</v>
      </c>
      <c r="M23" s="149"/>
      <c r="N23" s="149">
        <f t="shared" si="7"/>
        <v>0.35412574138969855</v>
      </c>
      <c r="O23" s="149"/>
      <c r="P23" s="149">
        <f t="shared" ref="P23" si="9">SUM(P20:P22)</f>
        <v>0.41105046224520636</v>
      </c>
      <c r="Q23" s="149"/>
      <c r="R23" s="149">
        <f t="shared" si="7"/>
        <v>0.46797518310071401</v>
      </c>
    </row>
    <row r="24" spans="2:18" ht="28.25" customHeight="1" x14ac:dyDescent="0.45">
      <c r="B24" s="239"/>
      <c r="C24" s="239"/>
      <c r="D24" s="253" t="s">
        <v>145</v>
      </c>
      <c r="E24" s="254"/>
      <c r="F24" s="255">
        <f>'2X'!N110</f>
        <v>5.7251068556080018E-2</v>
      </c>
      <c r="G24" s="255"/>
      <c r="H24" s="255">
        <f>'2.5X'!N110</f>
        <v>9.8454019090772324E-2</v>
      </c>
      <c r="I24" s="255"/>
      <c r="J24" s="255">
        <f>'3X'!N110</f>
        <v>0.13965696962546464</v>
      </c>
      <c r="K24" s="255"/>
      <c r="L24" s="255">
        <f>'3.5X'!N110</f>
        <v>0.18085992016015695</v>
      </c>
      <c r="M24" s="255"/>
      <c r="N24" s="255">
        <f>'4X'!N110</f>
        <v>0.22206287069484926</v>
      </c>
      <c r="O24" s="255"/>
      <c r="P24" s="255">
        <f>'4.5X'!N110</f>
        <v>0.26326582122954162</v>
      </c>
      <c r="Q24" s="255"/>
      <c r="R24" s="255">
        <f>'5X'!N110</f>
        <v>0.30446877176423393</v>
      </c>
    </row>
    <row r="25" spans="2:18" ht="28.25" customHeight="1" thickBot="1" x14ac:dyDescent="0.5">
      <c r="B25" s="240"/>
      <c r="C25" s="240"/>
      <c r="D25" s="172" t="s">
        <v>180</v>
      </c>
      <c r="E25" s="162"/>
      <c r="F25" s="258">
        <f>$H$5+F24+(F24*$H$5)</f>
        <v>0.26870128226729606</v>
      </c>
      <c r="G25" s="259">
        <f t="shared" ref="G25" si="10">$H$5+G24+(G24*$H$5)</f>
        <v>0.2</v>
      </c>
      <c r="H25" s="258">
        <f t="shared" ref="H25" si="11">$H$5+H24+(H24*$H$5)</f>
        <v>0.31814482290892682</v>
      </c>
      <c r="I25" s="259">
        <f t="shared" ref="I25" si="12">$H$5+I24+(I24*$H$5)</f>
        <v>0.2</v>
      </c>
      <c r="J25" s="258">
        <f t="shared" ref="J25" si="13">$H$5+J24+(J24*$H$5)</f>
        <v>0.36758836355055757</v>
      </c>
      <c r="K25" s="259">
        <f t="shared" ref="K25" si="14">$H$5+K24+(K24*$H$5)</f>
        <v>0.2</v>
      </c>
      <c r="L25" s="258">
        <f t="shared" ref="L25" si="15">$H$5+L24+(L24*$H$5)</f>
        <v>0.41703190419218833</v>
      </c>
      <c r="M25" s="259">
        <f t="shared" ref="M25" si="16">$H$5+M24+(M24*$H$5)</f>
        <v>0.2</v>
      </c>
      <c r="N25" s="258">
        <f t="shared" ref="N25" si="17">$H$5+N24+(N24*$H$5)</f>
        <v>0.46647544483381914</v>
      </c>
      <c r="O25" s="259">
        <f t="shared" ref="O25" si="18">$H$5+O24+(O24*$H$5)</f>
        <v>0.2</v>
      </c>
      <c r="P25" s="258">
        <f t="shared" ref="P25" si="19">$H$5+P24+(P24*$H$5)</f>
        <v>0.51591898547545001</v>
      </c>
      <c r="Q25" s="259">
        <f t="shared" ref="Q25" si="20">$H$5+Q24+(Q24*$H$5)</f>
        <v>0.2</v>
      </c>
      <c r="R25" s="258">
        <f t="shared" ref="R25" si="21">$H$5+R24+(R24*$H$5)</f>
        <v>0.56536252611708082</v>
      </c>
    </row>
    <row r="26" spans="2:18" ht="28.5" customHeight="1" x14ac:dyDescent="0.45">
      <c r="B26" s="163"/>
      <c r="C26" s="243" t="s">
        <v>165</v>
      </c>
      <c r="D26" s="243"/>
      <c r="E26" s="151"/>
      <c r="F26" s="241" t="s">
        <v>156</v>
      </c>
      <c r="G26" s="241"/>
      <c r="H26" s="241"/>
      <c r="I26" s="241"/>
      <c r="J26" s="241"/>
      <c r="K26" s="241"/>
      <c r="L26" s="241"/>
      <c r="M26" s="149"/>
      <c r="N26" s="161" t="s">
        <v>158</v>
      </c>
      <c r="O26" s="149"/>
      <c r="P26" s="160" t="s">
        <v>155</v>
      </c>
      <c r="Q26" s="149"/>
      <c r="R26" s="149"/>
    </row>
    <row r="27" spans="2:18" s="155" customFormat="1" ht="28.5" customHeight="1" x14ac:dyDescent="0.45">
      <c r="B27" s="234" t="s">
        <v>164</v>
      </c>
      <c r="C27" s="242" t="s">
        <v>159</v>
      </c>
      <c r="D27" s="242"/>
      <c r="F27" s="155" t="s">
        <v>170</v>
      </c>
      <c r="N27" s="155" t="s">
        <v>20</v>
      </c>
      <c r="P27" s="155" t="s">
        <v>163</v>
      </c>
    </row>
    <row r="28" spans="2:18" s="155" customFormat="1" ht="28.5" customHeight="1" x14ac:dyDescent="0.45">
      <c r="B28" s="234"/>
      <c r="C28" s="242" t="s">
        <v>160</v>
      </c>
      <c r="D28" s="242"/>
      <c r="F28" s="155" t="s">
        <v>171</v>
      </c>
      <c r="N28" s="155" t="s">
        <v>174</v>
      </c>
      <c r="P28" s="155" t="s">
        <v>161</v>
      </c>
    </row>
    <row r="29" spans="2:18" s="155" customFormat="1" ht="28.5" customHeight="1" x14ac:dyDescent="0.45">
      <c r="B29" s="234"/>
      <c r="C29" s="242" t="s">
        <v>157</v>
      </c>
      <c r="D29" s="242"/>
      <c r="F29" s="155" t="s">
        <v>173</v>
      </c>
      <c r="N29" s="155" t="s">
        <v>20</v>
      </c>
      <c r="P29" s="155" t="s">
        <v>162</v>
      </c>
    </row>
    <row r="30" spans="2:18" s="154" customFormat="1" ht="33.950000000000003" customHeight="1" x14ac:dyDescent="0.45"/>
  </sheetData>
  <mergeCells count="25">
    <mergeCell ref="P7:R7"/>
    <mergeCell ref="H8:J8"/>
    <mergeCell ref="L8:N8"/>
    <mergeCell ref="P8:R8"/>
    <mergeCell ref="H7:J7"/>
    <mergeCell ref="D7:F8"/>
    <mergeCell ref="B4:B8"/>
    <mergeCell ref="C4:C5"/>
    <mergeCell ref="D4:F5"/>
    <mergeCell ref="L4:N4"/>
    <mergeCell ref="P4:R4"/>
    <mergeCell ref="P5:R5"/>
    <mergeCell ref="L5:N5"/>
    <mergeCell ref="H5:J5"/>
    <mergeCell ref="H4:J4"/>
    <mergeCell ref="B27:B29"/>
    <mergeCell ref="L7:N7"/>
    <mergeCell ref="B20:C25"/>
    <mergeCell ref="B11:C13"/>
    <mergeCell ref="F26:L26"/>
    <mergeCell ref="C27:D27"/>
    <mergeCell ref="C28:D28"/>
    <mergeCell ref="C29:D29"/>
    <mergeCell ref="C26:D26"/>
    <mergeCell ref="B14:C19"/>
  </mergeCells>
  <pageMargins left="0.7" right="0.7" top="0.75" bottom="0.75" header="0.3" footer="0.3"/>
  <pageSetup orientation="portrait" r:id="rId1"/>
  <headerFooter>
    <oddHeader>&amp;R&amp;"Aptos"&amp;12&amp;K000000 Unclassified / Non classifié&amp;1#_x000D_</oddHead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82518-B1E3-498F-8277-B5D0DA9C220D}">
  <dimension ref="A1:O136"/>
  <sheetViews>
    <sheetView zoomScaleNormal="100" workbookViewId="0">
      <selection activeCell="E50" sqref="E5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9.5976562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5" width="1.73046875" style="4" customWidth="1"/>
    <col min="16" max="16384" width="9" style="2"/>
  </cols>
  <sheetData>
    <row r="1" spans="1:15" ht="15" customHeight="1" x14ac:dyDescent="0.45">
      <c r="A1" s="8"/>
      <c r="B1" s="8"/>
      <c r="C1" s="8"/>
      <c r="D1" s="8"/>
      <c r="E1" s="8"/>
      <c r="F1" s="8"/>
      <c r="G1" s="8"/>
      <c r="H1" s="8"/>
      <c r="I1" s="8"/>
      <c r="J1" s="8"/>
      <c r="K1" s="61"/>
      <c r="L1" s="61"/>
      <c r="M1" s="61"/>
      <c r="N1" s="61"/>
      <c r="O1" s="8"/>
    </row>
    <row r="2" spans="1:15" ht="58.5" customHeight="1" x14ac:dyDescent="0.45">
      <c r="A2" s="8"/>
      <c r="B2" s="205" t="s">
        <v>110</v>
      </c>
      <c r="C2" s="206"/>
      <c r="D2" s="211" t="s">
        <v>135</v>
      </c>
      <c r="E2" s="212"/>
      <c r="F2" s="8"/>
      <c r="G2" s="214" t="s">
        <v>121</v>
      </c>
      <c r="H2" s="211"/>
      <c r="I2" s="211"/>
      <c r="J2" s="4"/>
      <c r="K2" s="217" t="s">
        <v>113</v>
      </c>
      <c r="L2" s="217"/>
      <c r="M2" s="217"/>
      <c r="N2" s="217"/>
      <c r="O2" s="8"/>
    </row>
    <row r="3" spans="1:15" ht="14.25" x14ac:dyDescent="0.45">
      <c r="A3" s="8"/>
      <c r="B3" s="207"/>
      <c r="C3" s="208"/>
      <c r="D3" s="210"/>
      <c r="E3" s="213"/>
      <c r="F3" s="8"/>
      <c r="G3" s="215"/>
      <c r="H3" s="216"/>
      <c r="I3" s="216"/>
      <c r="J3" s="4"/>
      <c r="K3" s="62" t="s">
        <v>53</v>
      </c>
      <c r="L3" s="62" t="s">
        <v>51</v>
      </c>
      <c r="M3" s="62" t="s">
        <v>32</v>
      </c>
      <c r="N3" s="62" t="s">
        <v>33</v>
      </c>
      <c r="O3" s="8"/>
    </row>
    <row r="4" spans="1:15" ht="14.25" customHeight="1" x14ac:dyDescent="0.45">
      <c r="A4" s="9"/>
      <c r="B4" s="207"/>
      <c r="C4" s="208"/>
      <c r="D4" s="32" t="s">
        <v>2</v>
      </c>
      <c r="E4" s="33">
        <v>100000</v>
      </c>
      <c r="F4" s="9"/>
      <c r="G4" s="74" t="s">
        <v>34</v>
      </c>
      <c r="H4" s="73" t="s">
        <v>39</v>
      </c>
      <c r="I4" s="41">
        <f>I43</f>
        <v>0.17115680000000005</v>
      </c>
      <c r="J4" s="9"/>
      <c r="K4" s="66">
        <f>C127</f>
        <v>20000</v>
      </c>
      <c r="L4" s="67" t="s">
        <v>40</v>
      </c>
      <c r="M4" s="42">
        <f>I128</f>
        <v>299.06121399176953</v>
      </c>
      <c r="N4" s="63">
        <f t="shared" ref="N4:N9" si="0">M4*$I$15</f>
        <v>74416000</v>
      </c>
      <c r="O4" s="9"/>
    </row>
    <row r="5" spans="1:15" ht="14.25" customHeight="1" x14ac:dyDescent="0.45">
      <c r="A5" s="37"/>
      <c r="B5" s="207"/>
      <c r="C5" s="208"/>
      <c r="D5" s="18" t="s">
        <v>123</v>
      </c>
      <c r="E5" s="35">
        <f>SUMMARY!H5</f>
        <v>0.2</v>
      </c>
      <c r="F5" s="37"/>
      <c r="G5" s="45" t="s">
        <v>37</v>
      </c>
      <c r="H5" s="64" t="s">
        <v>39</v>
      </c>
      <c r="I5" s="79">
        <f>I67</f>
        <v>0.11962448559670782</v>
      </c>
      <c r="J5" s="37"/>
      <c r="K5" s="66">
        <f>C127</f>
        <v>20000</v>
      </c>
      <c r="L5" s="65" t="s">
        <v>41</v>
      </c>
      <c r="M5" s="42">
        <f>I129</f>
        <v>1495.3060699588482</v>
      </c>
      <c r="N5" s="63">
        <f t="shared" si="0"/>
        <v>372080000.00000012</v>
      </c>
      <c r="O5" s="37"/>
    </row>
    <row r="6" spans="1:15" ht="14.25" customHeight="1" x14ac:dyDescent="0.45">
      <c r="A6" s="37"/>
      <c r="B6" s="207"/>
      <c r="C6" s="208"/>
      <c r="D6" s="18" t="s">
        <v>136</v>
      </c>
      <c r="E6" s="34">
        <f>SUMMARY!L5</f>
        <v>0.02</v>
      </c>
      <c r="F6" s="37"/>
      <c r="G6" s="45" t="s">
        <v>120</v>
      </c>
      <c r="H6" s="64" t="s">
        <v>39</v>
      </c>
      <c r="I6" s="79">
        <f>I80</f>
        <v>3.1962448559670779E-2</v>
      </c>
      <c r="J6" s="37"/>
      <c r="K6" s="66">
        <f>C130</f>
        <v>400000</v>
      </c>
      <c r="L6" s="67" t="s">
        <v>40</v>
      </c>
      <c r="M6" s="42">
        <f>I131</f>
        <v>5981.2242798353909</v>
      </c>
      <c r="N6" s="63">
        <f t="shared" si="0"/>
        <v>1488320000</v>
      </c>
      <c r="O6" s="37"/>
    </row>
    <row r="7" spans="1:15" ht="14.25" customHeight="1" x14ac:dyDescent="0.45">
      <c r="A7" s="37"/>
      <c r="B7" s="207"/>
      <c r="C7" s="208"/>
      <c r="D7" s="18" t="s">
        <v>122</v>
      </c>
      <c r="E7" s="34">
        <f>SUMMARY!P5</f>
        <v>0.01</v>
      </c>
      <c r="F7" s="37"/>
      <c r="G7" s="45" t="s">
        <v>57</v>
      </c>
      <c r="H7" s="64" t="s">
        <v>39</v>
      </c>
      <c r="I7" s="79">
        <f>I95</f>
        <v>1.598122427983539E-2</v>
      </c>
      <c r="J7" s="37"/>
      <c r="K7" s="66">
        <f>C130</f>
        <v>400000</v>
      </c>
      <c r="L7" s="65" t="s">
        <v>41</v>
      </c>
      <c r="M7" s="42">
        <f>I132</f>
        <v>29906.121399176965</v>
      </c>
      <c r="N7" s="63">
        <f t="shared" si="0"/>
        <v>7441600000.0000029</v>
      </c>
      <c r="O7" s="37"/>
    </row>
    <row r="8" spans="1:15" ht="14.25" customHeight="1" x14ac:dyDescent="0.45">
      <c r="A8" s="9"/>
      <c r="B8" s="207"/>
      <c r="C8" s="208"/>
      <c r="D8" s="32" t="s">
        <v>130</v>
      </c>
      <c r="E8" s="36">
        <f>SUMMARY!H8</f>
        <v>0.115</v>
      </c>
      <c r="F8" s="9"/>
      <c r="G8" s="45" t="s">
        <v>118</v>
      </c>
      <c r="H8" s="64" t="s">
        <v>39</v>
      </c>
      <c r="I8" s="79">
        <f>-I35</f>
        <v>-6.8784079218107003E-2</v>
      </c>
      <c r="J8" s="9"/>
      <c r="K8" s="75">
        <f>C133</f>
        <v>1000000</v>
      </c>
      <c r="L8" s="76" t="s">
        <v>40</v>
      </c>
      <c r="M8" s="42">
        <f>I134</f>
        <v>14953.060699588477</v>
      </c>
      <c r="N8" s="63">
        <f t="shared" si="0"/>
        <v>3720800000</v>
      </c>
      <c r="O8" s="9"/>
    </row>
    <row r="9" spans="1:15" ht="14.25" customHeight="1" x14ac:dyDescent="0.45">
      <c r="A9" s="9"/>
      <c r="B9" s="207"/>
      <c r="C9" s="208"/>
      <c r="D9" s="32" t="s">
        <v>131</v>
      </c>
      <c r="E9" s="36">
        <f>SUMMARY!P8</f>
        <v>0.05</v>
      </c>
      <c r="F9" s="9"/>
      <c r="G9" s="45" t="s">
        <v>117</v>
      </c>
      <c r="H9" s="64" t="s">
        <v>39</v>
      </c>
      <c r="I9" s="79">
        <f>-I51</f>
        <v>-2.9906121399176956E-2</v>
      </c>
      <c r="J9" s="9"/>
      <c r="K9" s="75">
        <f>C133</f>
        <v>1000000</v>
      </c>
      <c r="L9" s="77" t="s">
        <v>41</v>
      </c>
      <c r="M9" s="42">
        <f>I135</f>
        <v>74765.303497942412</v>
      </c>
      <c r="N9" s="63">
        <f t="shared" si="0"/>
        <v>18604000000.000008</v>
      </c>
      <c r="O9" s="9"/>
    </row>
    <row r="10" spans="1:15" ht="14.25" customHeight="1" x14ac:dyDescent="0.45">
      <c r="A10" s="9"/>
      <c r="B10" s="207"/>
      <c r="C10" s="208"/>
      <c r="D10" s="32" t="s">
        <v>132</v>
      </c>
      <c r="E10" s="36">
        <f>SUMMARY!L8</f>
        <v>7.4999999999999997E-2</v>
      </c>
      <c r="F10" s="9"/>
      <c r="G10" s="72" t="s">
        <v>38</v>
      </c>
      <c r="H10" s="73" t="s">
        <v>39</v>
      </c>
      <c r="I10" s="41">
        <f>I110</f>
        <v>6.8877957818930038E-2</v>
      </c>
      <c r="J10" s="8"/>
      <c r="K10" s="10"/>
      <c r="L10" s="10"/>
      <c r="M10" s="3"/>
      <c r="N10" s="8"/>
      <c r="O10" s="9"/>
    </row>
    <row r="11" spans="1:15" ht="15" customHeight="1" x14ac:dyDescent="0.45">
      <c r="A11" s="9"/>
      <c r="B11" s="207"/>
      <c r="C11" s="208"/>
      <c r="D11" s="32" t="s">
        <v>133</v>
      </c>
      <c r="E11" s="36">
        <f>SUMMARY!F12</f>
        <v>0</v>
      </c>
      <c r="F11" s="3"/>
      <c r="G11" s="10"/>
      <c r="H11" s="10"/>
      <c r="I11" s="3"/>
      <c r="J11" s="8"/>
      <c r="K11" s="8"/>
      <c r="L11" s="8"/>
      <c r="M11" s="8"/>
      <c r="N11" s="8"/>
      <c r="O11" s="9"/>
    </row>
    <row r="12" spans="1:15" ht="14.25" x14ac:dyDescent="0.45">
      <c r="A12" s="8"/>
      <c r="B12" s="10"/>
      <c r="C12" s="8"/>
      <c r="D12" s="10"/>
      <c r="E12" s="3"/>
      <c r="F12" s="3"/>
      <c r="G12" s="10"/>
      <c r="H12" s="10"/>
      <c r="I12" s="3"/>
      <c r="J12" s="8"/>
      <c r="K12" s="8"/>
      <c r="L12" s="8"/>
      <c r="M12" s="8"/>
      <c r="N12" s="8"/>
      <c r="O12" s="8"/>
    </row>
    <row r="13" spans="1:15" ht="14.25" x14ac:dyDescent="0.45">
      <c r="B13" s="209" t="s">
        <v>52</v>
      </c>
      <c r="C13" s="209" t="s">
        <v>50</v>
      </c>
      <c r="D13" s="209" t="s">
        <v>51</v>
      </c>
      <c r="E13" s="174" t="s">
        <v>3</v>
      </c>
      <c r="F13" s="174" t="s">
        <v>4</v>
      </c>
      <c r="G13" s="174" t="s">
        <v>5</v>
      </c>
      <c r="H13" s="174" t="s">
        <v>6</v>
      </c>
      <c r="I13" s="174" t="s">
        <v>7</v>
      </c>
      <c r="J13" s="174" t="s">
        <v>8</v>
      </c>
      <c r="K13" s="174" t="s">
        <v>9</v>
      </c>
      <c r="L13" s="174" t="s">
        <v>10</v>
      </c>
      <c r="M13" s="174" t="s">
        <v>11</v>
      </c>
      <c r="N13" s="174" t="s">
        <v>12</v>
      </c>
    </row>
    <row r="14" spans="1:15" ht="14.25" x14ac:dyDescent="0.45">
      <c r="B14" s="210"/>
      <c r="C14" s="210"/>
      <c r="D14" s="210"/>
      <c r="E14" s="175"/>
      <c r="F14" s="175"/>
      <c r="G14" s="175"/>
      <c r="H14" s="175"/>
      <c r="I14" s="175"/>
      <c r="J14" s="175"/>
      <c r="K14" s="175"/>
      <c r="L14" s="175"/>
      <c r="M14" s="175"/>
      <c r="N14" s="175"/>
    </row>
    <row r="15" spans="1:15" ht="14.25" x14ac:dyDescent="0.45">
      <c r="B15" s="184" t="s">
        <v>20</v>
      </c>
      <c r="C15" s="184" t="s">
        <v>33</v>
      </c>
      <c r="D15" s="19" t="s">
        <v>48</v>
      </c>
      <c r="E15" s="21">
        <f>($E$4 * $E$5) + $E$4</f>
        <v>120000</v>
      </c>
      <c r="F15" s="21">
        <f t="shared" ref="F15:N15" si="1">(E15 * $E$5) + E15</f>
        <v>144000</v>
      </c>
      <c r="G15" s="21">
        <f t="shared" si="1"/>
        <v>172800</v>
      </c>
      <c r="H15" s="21">
        <f t="shared" si="1"/>
        <v>207360</v>
      </c>
      <c r="I15" s="21">
        <f t="shared" si="1"/>
        <v>248832</v>
      </c>
      <c r="J15" s="21">
        <f t="shared" si="1"/>
        <v>298598.40000000002</v>
      </c>
      <c r="K15" s="21">
        <f t="shared" si="1"/>
        <v>358318.08000000002</v>
      </c>
      <c r="L15" s="21">
        <f t="shared" si="1"/>
        <v>429981.696</v>
      </c>
      <c r="M15" s="21">
        <f t="shared" si="1"/>
        <v>515978.03519999998</v>
      </c>
      <c r="N15" s="21">
        <f t="shared" si="1"/>
        <v>619173.64223999996</v>
      </c>
    </row>
    <row r="16" spans="1:15" ht="14.25" x14ac:dyDescent="0.45">
      <c r="B16" s="186"/>
      <c r="C16" s="186"/>
      <c r="D16" s="19" t="s">
        <v>49</v>
      </c>
      <c r="E16" s="25">
        <f>E15*21000000</f>
        <v>2520000000000</v>
      </c>
      <c r="F16" s="25">
        <f t="shared" ref="F16:N16" si="2">F15*21000000</f>
        <v>3024000000000</v>
      </c>
      <c r="G16" s="25">
        <f t="shared" si="2"/>
        <v>3628800000000</v>
      </c>
      <c r="H16" s="25">
        <f t="shared" si="2"/>
        <v>4354560000000</v>
      </c>
      <c r="I16" s="25">
        <f t="shared" si="2"/>
        <v>5225472000000</v>
      </c>
      <c r="J16" s="25">
        <f t="shared" si="2"/>
        <v>6270566400000.001</v>
      </c>
      <c r="K16" s="25">
        <f t="shared" si="2"/>
        <v>7524679680000</v>
      </c>
      <c r="L16" s="25">
        <f t="shared" si="2"/>
        <v>9029615616000</v>
      </c>
      <c r="M16" s="25">
        <f t="shared" si="2"/>
        <v>10835538739200</v>
      </c>
      <c r="N16" s="25">
        <f t="shared" si="2"/>
        <v>13002646487040</v>
      </c>
    </row>
    <row r="17" spans="1:15" ht="14.25" x14ac:dyDescent="0.45">
      <c r="B17" s="184" t="s">
        <v>16</v>
      </c>
      <c r="C17" s="202" t="s">
        <v>32</v>
      </c>
      <c r="D17" s="19" t="s">
        <v>124</v>
      </c>
      <c r="E17" s="26">
        <f>(E15-$E4)/E15</f>
        <v>0.16666666666666666</v>
      </c>
      <c r="F17" s="26">
        <f t="shared" ref="F17:N17" si="3">(F15-$E4)/F15</f>
        <v>0.30555555555555558</v>
      </c>
      <c r="G17" s="26">
        <f t="shared" si="3"/>
        <v>0.42129629629629628</v>
      </c>
      <c r="H17" s="26">
        <f t="shared" si="3"/>
        <v>0.51774691358024694</v>
      </c>
      <c r="I17" s="26">
        <f t="shared" si="3"/>
        <v>0.5981224279835391</v>
      </c>
      <c r="J17" s="26">
        <f t="shared" si="3"/>
        <v>0.66510202331961599</v>
      </c>
      <c r="K17" s="26">
        <f t="shared" si="3"/>
        <v>0.72091835276634664</v>
      </c>
      <c r="L17" s="26">
        <f t="shared" si="3"/>
        <v>0.76743196063862218</v>
      </c>
      <c r="M17" s="26">
        <f t="shared" si="3"/>
        <v>0.80619330053218508</v>
      </c>
      <c r="N17" s="26">
        <f t="shared" si="3"/>
        <v>0.83849441711015427</v>
      </c>
    </row>
    <row r="18" spans="1:15" ht="14.25" x14ac:dyDescent="0.45">
      <c r="B18" s="185"/>
      <c r="C18" s="203"/>
      <c r="D18" s="19" t="s">
        <v>125</v>
      </c>
      <c r="E18" s="26">
        <f>1-E17</f>
        <v>0.83333333333333337</v>
      </c>
      <c r="F18" s="26">
        <f t="shared" ref="F18:N18" si="4">1-F17</f>
        <v>0.69444444444444442</v>
      </c>
      <c r="G18" s="26">
        <f t="shared" si="4"/>
        <v>0.57870370370370372</v>
      </c>
      <c r="H18" s="26">
        <f t="shared" si="4"/>
        <v>0.48225308641975306</v>
      </c>
      <c r="I18" s="26">
        <f t="shared" si="4"/>
        <v>0.4018775720164609</v>
      </c>
      <c r="J18" s="26">
        <f t="shared" si="4"/>
        <v>0.33489797668038401</v>
      </c>
      <c r="K18" s="26">
        <f t="shared" si="4"/>
        <v>0.27908164723365336</v>
      </c>
      <c r="L18" s="26">
        <f t="shared" si="4"/>
        <v>0.23256803936137782</v>
      </c>
      <c r="M18" s="26">
        <f t="shared" si="4"/>
        <v>0.19380669946781492</v>
      </c>
      <c r="N18" s="26">
        <f t="shared" si="4"/>
        <v>0.16150558288984573</v>
      </c>
    </row>
    <row r="19" spans="1:15" ht="14.25" x14ac:dyDescent="0.45">
      <c r="B19" s="185"/>
      <c r="C19" s="203"/>
      <c r="D19" s="19" t="s">
        <v>126</v>
      </c>
      <c r="E19" s="78">
        <f>E17</f>
        <v>0.16666666666666666</v>
      </c>
      <c r="F19" s="78">
        <f t="shared" ref="F19:N19" si="5">F17-E17</f>
        <v>0.13888888888888892</v>
      </c>
      <c r="G19" s="78">
        <f>G17-F17</f>
        <v>0.1157407407407407</v>
      </c>
      <c r="H19" s="78">
        <f t="shared" si="5"/>
        <v>9.6450617283950657E-2</v>
      </c>
      <c r="I19" s="78">
        <f t="shared" si="5"/>
        <v>8.0375514403292159E-2</v>
      </c>
      <c r="J19" s="78">
        <f>J17-I17</f>
        <v>6.6979595336076891E-2</v>
      </c>
      <c r="K19" s="78">
        <f t="shared" si="5"/>
        <v>5.581632944673065E-2</v>
      </c>
      <c r="L19" s="78">
        <f t="shared" si="5"/>
        <v>4.6513607872275542E-2</v>
      </c>
      <c r="M19" s="78">
        <f t="shared" si="5"/>
        <v>3.8761339893562896E-2</v>
      </c>
      <c r="N19" s="78">
        <f t="shared" si="5"/>
        <v>3.2301116577969191E-2</v>
      </c>
    </row>
    <row r="20" spans="1:15" ht="14.25" x14ac:dyDescent="0.45">
      <c r="B20" s="185"/>
      <c r="C20" s="203"/>
      <c r="D20" s="19" t="s">
        <v>127</v>
      </c>
      <c r="E20" s="78"/>
      <c r="F20" s="78"/>
      <c r="G20" s="78"/>
      <c r="H20" s="78"/>
      <c r="I20" s="78">
        <f>AVERAGE(E19:I19)</f>
        <v>0.11962448559670782</v>
      </c>
      <c r="J20" s="26"/>
      <c r="K20" s="26"/>
      <c r="L20" s="26"/>
      <c r="M20" s="26"/>
      <c r="N20" s="78">
        <f>AVERAGE(E19:N19)</f>
        <v>8.3849441711015424E-2</v>
      </c>
    </row>
    <row r="21" spans="1:15" ht="14.25" x14ac:dyDescent="0.45">
      <c r="B21" s="185"/>
      <c r="C21" s="203"/>
      <c r="D21" s="19" t="s">
        <v>128</v>
      </c>
      <c r="E21" s="78">
        <f>$E$11*E19</f>
        <v>0</v>
      </c>
      <c r="F21" s="78">
        <f t="shared" ref="F21:N21" si="6">$E$11*F19</f>
        <v>0</v>
      </c>
      <c r="G21" s="78">
        <f t="shared" si="6"/>
        <v>0</v>
      </c>
      <c r="H21" s="78">
        <f t="shared" si="6"/>
        <v>0</v>
      </c>
      <c r="I21" s="78">
        <f t="shared" si="6"/>
        <v>0</v>
      </c>
      <c r="J21" s="78">
        <f t="shared" si="6"/>
        <v>0</v>
      </c>
      <c r="K21" s="78">
        <f t="shared" si="6"/>
        <v>0</v>
      </c>
      <c r="L21" s="78">
        <f t="shared" si="6"/>
        <v>0</v>
      </c>
      <c r="M21" s="78">
        <f t="shared" si="6"/>
        <v>0</v>
      </c>
      <c r="N21" s="78">
        <f t="shared" si="6"/>
        <v>0</v>
      </c>
    </row>
    <row r="22" spans="1:15" ht="14.25" x14ac:dyDescent="0.45">
      <c r="B22" s="185"/>
      <c r="C22" s="203"/>
      <c r="D22" s="19" t="s">
        <v>129</v>
      </c>
      <c r="E22" s="78"/>
      <c r="F22" s="78"/>
      <c r="G22" s="78"/>
      <c r="H22" s="78"/>
      <c r="I22" s="78">
        <f>AVERAGE(E21:I21)</f>
        <v>0</v>
      </c>
      <c r="J22" s="26"/>
      <c r="K22" s="26"/>
      <c r="L22" s="26"/>
      <c r="M22" s="26"/>
      <c r="N22" s="78">
        <f>AVERAGE(E21:N21)</f>
        <v>0</v>
      </c>
    </row>
    <row r="23" spans="1:15" ht="14.25" x14ac:dyDescent="0.45">
      <c r="B23" s="185"/>
      <c r="C23" s="203"/>
      <c r="D23" s="15" t="s">
        <v>58</v>
      </c>
      <c r="E23" s="17">
        <f>E19+E21</f>
        <v>0.16666666666666666</v>
      </c>
      <c r="F23" s="17">
        <f t="shared" ref="F23:N23" si="7">F19+F21</f>
        <v>0.13888888888888892</v>
      </c>
      <c r="G23" s="17">
        <f t="shared" si="7"/>
        <v>0.1157407407407407</v>
      </c>
      <c r="H23" s="17">
        <f t="shared" si="7"/>
        <v>9.6450617283950657E-2</v>
      </c>
      <c r="I23" s="17">
        <f t="shared" si="7"/>
        <v>8.0375514403292159E-2</v>
      </c>
      <c r="J23" s="17">
        <f t="shared" si="7"/>
        <v>6.6979595336076891E-2</v>
      </c>
      <c r="K23" s="17">
        <f t="shared" si="7"/>
        <v>5.581632944673065E-2</v>
      </c>
      <c r="L23" s="17">
        <f t="shared" si="7"/>
        <v>4.6513607872275542E-2</v>
      </c>
      <c r="M23" s="17">
        <f t="shared" si="7"/>
        <v>3.8761339893562896E-2</v>
      </c>
      <c r="N23" s="17">
        <f t="shared" si="7"/>
        <v>3.2301116577969191E-2</v>
      </c>
    </row>
    <row r="24" spans="1:15" ht="14.25" x14ac:dyDescent="0.45">
      <c r="B24" s="186"/>
      <c r="C24" s="204"/>
      <c r="D24" s="15" t="s">
        <v>59</v>
      </c>
      <c r="E24" s="17"/>
      <c r="F24" s="17"/>
      <c r="G24" s="17"/>
      <c r="H24" s="17"/>
      <c r="I24" s="17">
        <f>AVERAGE(E23:I23)</f>
        <v>0.11962448559670782</v>
      </c>
      <c r="J24" s="16"/>
      <c r="K24" s="16"/>
      <c r="L24" s="16"/>
      <c r="M24" s="16"/>
      <c r="N24" s="17">
        <f>AVERAGE(E23:N23)</f>
        <v>8.3849441711015424E-2</v>
      </c>
    </row>
    <row r="25" spans="1:15" ht="14.25" x14ac:dyDescent="0.45">
      <c r="B25" s="184" t="s">
        <v>137</v>
      </c>
      <c r="C25" s="202" t="s">
        <v>32</v>
      </c>
      <c r="D25" s="15" t="s">
        <v>43</v>
      </c>
      <c r="E25" s="17">
        <f>((1+$E$11)*$E$6)+($E$6*E18)</f>
        <v>3.6666666666666667E-2</v>
      </c>
      <c r="F25" s="17">
        <f t="shared" ref="F25:N25" si="8">((1+$E$11)*$E$6)+($E$6*F18)</f>
        <v>3.3888888888888885E-2</v>
      </c>
      <c r="G25" s="17">
        <f t="shared" si="8"/>
        <v>3.1574074074074074E-2</v>
      </c>
      <c r="H25" s="17">
        <f t="shared" si="8"/>
        <v>2.964506172839506E-2</v>
      </c>
      <c r="I25" s="17">
        <f>((1+$E$11)*$E$6)+($E$6*I18)</f>
        <v>2.8037551440329218E-2</v>
      </c>
      <c r="J25" s="17">
        <f t="shared" si="8"/>
        <v>2.6697959533607679E-2</v>
      </c>
      <c r="K25" s="17">
        <f t="shared" si="8"/>
        <v>2.5581632944673069E-2</v>
      </c>
      <c r="L25" s="17">
        <f t="shared" si="8"/>
        <v>2.4651360787227558E-2</v>
      </c>
      <c r="M25" s="17">
        <f t="shared" si="8"/>
        <v>2.3876133989356299E-2</v>
      </c>
      <c r="N25" s="17">
        <f t="shared" si="8"/>
        <v>2.3230111657796915E-2</v>
      </c>
    </row>
    <row r="26" spans="1:15" ht="14.25" x14ac:dyDescent="0.45">
      <c r="B26" s="185"/>
      <c r="C26" s="203"/>
      <c r="D26" s="15" t="s">
        <v>44</v>
      </c>
      <c r="E26" s="17"/>
      <c r="F26" s="17"/>
      <c r="G26" s="17"/>
      <c r="H26" s="17"/>
      <c r="I26" s="17">
        <f>AVERAGE(E25:I25)</f>
        <v>3.1962448559670779E-2</v>
      </c>
      <c r="J26" s="16"/>
      <c r="K26" s="16"/>
      <c r="L26" s="16"/>
      <c r="M26" s="16"/>
      <c r="N26" s="17">
        <f>AVERAGE(E25:N25)</f>
        <v>2.8384944171101545E-2</v>
      </c>
    </row>
    <row r="27" spans="1:15" ht="14.25" x14ac:dyDescent="0.45">
      <c r="B27" s="185"/>
      <c r="C27" s="203"/>
      <c r="D27" s="19" t="s">
        <v>42</v>
      </c>
      <c r="E27" s="78">
        <f>E25</f>
        <v>3.6666666666666667E-2</v>
      </c>
      <c r="F27" s="78">
        <f>E27+F25</f>
        <v>7.0555555555555552E-2</v>
      </c>
      <c r="G27" s="78">
        <f>F27+G25</f>
        <v>0.10212962962962963</v>
      </c>
      <c r="H27" s="78">
        <f t="shared" ref="H27:I27" si="9">G27+H25</f>
        <v>0.13177469135802469</v>
      </c>
      <c r="I27" s="78">
        <f t="shared" si="9"/>
        <v>0.1598122427983539</v>
      </c>
      <c r="J27" s="78">
        <f>I27+J25</f>
        <v>0.18651020233196158</v>
      </c>
      <c r="K27" s="78">
        <f t="shared" ref="K27:N27" si="10">J27+K25</f>
        <v>0.21209183527663467</v>
      </c>
      <c r="L27" s="78">
        <f t="shared" si="10"/>
        <v>0.23674319606386224</v>
      </c>
      <c r="M27" s="78">
        <f t="shared" si="10"/>
        <v>0.26061933005321852</v>
      </c>
      <c r="N27" s="78">
        <f t="shared" si="10"/>
        <v>0.28384944171101545</v>
      </c>
    </row>
    <row r="28" spans="1:15" ht="14.25" x14ac:dyDescent="0.45">
      <c r="B28" s="184" t="s">
        <v>17</v>
      </c>
      <c r="C28" s="202" t="s">
        <v>32</v>
      </c>
      <c r="D28" s="15" t="s">
        <v>43</v>
      </c>
      <c r="E28" s="17">
        <f t="shared" ref="E28:N28" si="11">((1+$E$11)*$E$7)+($E$7*E18)</f>
        <v>1.8333333333333333E-2</v>
      </c>
      <c r="F28" s="17">
        <f t="shared" si="11"/>
        <v>1.6944444444444443E-2</v>
      </c>
      <c r="G28" s="17">
        <f t="shared" si="11"/>
        <v>1.5787037037037037E-2</v>
      </c>
      <c r="H28" s="17">
        <f t="shared" si="11"/>
        <v>1.482253086419753E-2</v>
      </c>
      <c r="I28" s="17">
        <f t="shared" si="11"/>
        <v>1.4018775720164609E-2</v>
      </c>
      <c r="J28" s="17">
        <f t="shared" si="11"/>
        <v>1.334897976680384E-2</v>
      </c>
      <c r="K28" s="17">
        <f t="shared" si="11"/>
        <v>1.2790816472336534E-2</v>
      </c>
      <c r="L28" s="17">
        <f t="shared" si="11"/>
        <v>1.2325680393613779E-2</v>
      </c>
      <c r="M28" s="17">
        <f t="shared" si="11"/>
        <v>1.193806699467815E-2</v>
      </c>
      <c r="N28" s="17">
        <f t="shared" si="11"/>
        <v>1.1615055828898458E-2</v>
      </c>
    </row>
    <row r="29" spans="1:15" ht="15" customHeight="1" x14ac:dyDescent="0.45">
      <c r="B29" s="185"/>
      <c r="C29" s="203"/>
      <c r="D29" s="15" t="s">
        <v>44</v>
      </c>
      <c r="E29" s="17"/>
      <c r="F29" s="17"/>
      <c r="G29" s="17"/>
      <c r="H29" s="17"/>
      <c r="I29" s="17">
        <f>AVERAGE(E28:I28)</f>
        <v>1.598122427983539E-2</v>
      </c>
      <c r="J29" s="16"/>
      <c r="K29" s="16"/>
      <c r="L29" s="16"/>
      <c r="M29" s="16"/>
      <c r="N29" s="17">
        <f>AVERAGE(E28:N28)</f>
        <v>1.4192472085550772E-2</v>
      </c>
    </row>
    <row r="30" spans="1:15" ht="14.25" x14ac:dyDescent="0.45">
      <c r="B30" s="185"/>
      <c r="C30" s="203"/>
      <c r="D30" s="19" t="s">
        <v>42</v>
      </c>
      <c r="E30" s="78">
        <f>E28</f>
        <v>1.8333333333333333E-2</v>
      </c>
      <c r="F30" s="78">
        <f t="shared" ref="F30:N30" si="12">E30+F28</f>
        <v>3.5277777777777776E-2</v>
      </c>
      <c r="G30" s="78">
        <f>F30+G28</f>
        <v>5.1064814814814813E-2</v>
      </c>
      <c r="H30" s="78">
        <f t="shared" si="12"/>
        <v>6.5887345679012346E-2</v>
      </c>
      <c r="I30" s="78">
        <f t="shared" si="12"/>
        <v>7.9906121399176952E-2</v>
      </c>
      <c r="J30" s="78">
        <f>I30+J28</f>
        <v>9.3255101165980792E-2</v>
      </c>
      <c r="K30" s="78">
        <f t="shared" si="12"/>
        <v>0.10604591763831733</v>
      </c>
      <c r="L30" s="78">
        <f t="shared" si="12"/>
        <v>0.11837159803193112</v>
      </c>
      <c r="M30" s="78">
        <f t="shared" si="12"/>
        <v>0.13030966502660926</v>
      </c>
      <c r="N30" s="78">
        <f t="shared" si="12"/>
        <v>0.14192472085550772</v>
      </c>
    </row>
    <row r="31" spans="1:15" ht="14.25" x14ac:dyDescent="0.45">
      <c r="B31" s="3"/>
      <c r="C31" s="1"/>
      <c r="D31" s="43"/>
      <c r="E31" s="31"/>
      <c r="F31" s="31"/>
      <c r="G31" s="31"/>
      <c r="H31" s="31"/>
      <c r="I31" s="31"/>
      <c r="J31" s="31"/>
      <c r="K31" s="31"/>
      <c r="L31" s="31"/>
      <c r="M31" s="31"/>
      <c r="N31" s="31"/>
    </row>
    <row r="32" spans="1:15" ht="14.25" x14ac:dyDescent="0.45">
      <c r="A32" s="8"/>
      <c r="B32" s="194" t="s">
        <v>114</v>
      </c>
      <c r="C32" s="196" t="s">
        <v>21</v>
      </c>
      <c r="D32" s="198" t="str">
        <f>"10 BTC / "&amp;TEXT($E$4*10, "$###0.00,,")&amp;"M USD"</f>
        <v>10 BTC / $1.00M USD</v>
      </c>
      <c r="E32" s="174" t="s">
        <v>3</v>
      </c>
      <c r="F32" s="174" t="s">
        <v>4</v>
      </c>
      <c r="G32" s="174" t="s">
        <v>5</v>
      </c>
      <c r="H32" s="174" t="s">
        <v>6</v>
      </c>
      <c r="I32" s="174" t="s">
        <v>7</v>
      </c>
      <c r="J32" s="174" t="s">
        <v>8</v>
      </c>
      <c r="K32" s="174" t="s">
        <v>9</v>
      </c>
      <c r="L32" s="174" t="s">
        <v>10</v>
      </c>
      <c r="M32" s="174" t="s">
        <v>11</v>
      </c>
      <c r="N32" s="174" t="s">
        <v>12</v>
      </c>
      <c r="O32" s="8"/>
    </row>
    <row r="33" spans="2:14" ht="14.25" x14ac:dyDescent="0.45">
      <c r="B33" s="195"/>
      <c r="C33" s="197"/>
      <c r="D33" s="199"/>
      <c r="E33" s="175"/>
      <c r="F33" s="175"/>
      <c r="G33" s="175"/>
      <c r="H33" s="175"/>
      <c r="I33" s="175"/>
      <c r="J33" s="175"/>
      <c r="K33" s="175"/>
      <c r="L33" s="175"/>
      <c r="M33" s="175"/>
      <c r="N33" s="175"/>
    </row>
    <row r="34" spans="2:14" ht="14.25" x14ac:dyDescent="0.45">
      <c r="B34" s="184" t="s">
        <v>137</v>
      </c>
      <c r="C34" s="192" t="s">
        <v>32</v>
      </c>
      <c r="D34" s="15" t="s">
        <v>58</v>
      </c>
      <c r="E34" s="16">
        <f>E39*$E$4/E$15</f>
        <v>9.583333333333334E-2</v>
      </c>
      <c r="F34" s="16">
        <f t="shared" ref="F34:N34" si="13">F39*$E$4/F$15</f>
        <v>7.9861111111111105E-2</v>
      </c>
      <c r="G34" s="16">
        <f t="shared" si="13"/>
        <v>6.655092592592593E-2</v>
      </c>
      <c r="H34" s="16">
        <f t="shared" si="13"/>
        <v>5.5459104938271608E-2</v>
      </c>
      <c r="I34" s="16">
        <f t="shared" si="13"/>
        <v>4.6215920781893002E-2</v>
      </c>
      <c r="J34" s="16">
        <f t="shared" si="13"/>
        <v>3.8513267318244164E-2</v>
      </c>
      <c r="K34" s="16">
        <f t="shared" si="13"/>
        <v>3.2094389431870138E-2</v>
      </c>
      <c r="L34" s="16">
        <f t="shared" si="13"/>
        <v>2.674532452655845E-2</v>
      </c>
      <c r="M34" s="16">
        <f t="shared" si="13"/>
        <v>2.2287770438798711E-2</v>
      </c>
      <c r="N34" s="16">
        <f t="shared" si="13"/>
        <v>1.8573142032332259E-2</v>
      </c>
    </row>
    <row r="35" spans="2:14" ht="14.25" x14ac:dyDescent="0.45">
      <c r="B35" s="185"/>
      <c r="C35" s="192"/>
      <c r="D35" s="15" t="s">
        <v>59</v>
      </c>
      <c r="E35" s="16"/>
      <c r="F35" s="16"/>
      <c r="G35" s="16"/>
      <c r="H35" s="16"/>
      <c r="I35" s="80">
        <f>AVERAGE(E34:I34)</f>
        <v>6.8784079218107003E-2</v>
      </c>
      <c r="J35" s="16"/>
      <c r="K35" s="16"/>
      <c r="L35" s="16"/>
      <c r="M35" s="16"/>
      <c r="N35" s="17">
        <f>AVERAGE(E34:N34)</f>
        <v>4.8213428983833864E-2</v>
      </c>
    </row>
    <row r="36" spans="2:14" ht="14.25" x14ac:dyDescent="0.45">
      <c r="B36" s="185"/>
      <c r="C36" s="192"/>
      <c r="D36" s="15" t="s">
        <v>42</v>
      </c>
      <c r="E36" s="16">
        <f t="shared" ref="E36:N36" si="14">E$17*(E34/E$19)</f>
        <v>9.583333333333334E-2</v>
      </c>
      <c r="F36" s="16">
        <f t="shared" si="14"/>
        <v>0.1756944444444444</v>
      </c>
      <c r="G36" s="16">
        <f>G$17*(G34/G$19)</f>
        <v>0.24224537037037047</v>
      </c>
      <c r="H36" s="16">
        <f>H$17*(H34/H$19)</f>
        <v>0.29770447530864191</v>
      </c>
      <c r="I36" s="16">
        <f>I$17*(I34/I$19)</f>
        <v>0.3439203960905351</v>
      </c>
      <c r="J36" s="16">
        <f t="shared" si="14"/>
        <v>0.38243366340877871</v>
      </c>
      <c r="K36" s="16">
        <f t="shared" si="14"/>
        <v>0.41452805284064953</v>
      </c>
      <c r="L36" s="16">
        <f t="shared" si="14"/>
        <v>0.44127337736720795</v>
      </c>
      <c r="M36" s="16">
        <f t="shared" si="14"/>
        <v>0.46356114780600738</v>
      </c>
      <c r="N36" s="16">
        <f t="shared" si="14"/>
        <v>0.482134289838338</v>
      </c>
    </row>
    <row r="37" spans="2:14" ht="14.25" customHeight="1" x14ac:dyDescent="0.45">
      <c r="B37" s="185"/>
      <c r="C37" s="193"/>
      <c r="D37" s="19" t="s">
        <v>45</v>
      </c>
      <c r="E37" s="20">
        <f t="shared" ref="E37:N37" si="15">10*E34</f>
        <v>0.95833333333333337</v>
      </c>
      <c r="F37" s="20">
        <f t="shared" si="15"/>
        <v>0.79861111111111105</v>
      </c>
      <c r="G37" s="20">
        <f t="shared" si="15"/>
        <v>0.6655092592592593</v>
      </c>
      <c r="H37" s="20">
        <f t="shared" si="15"/>
        <v>0.55459104938271608</v>
      </c>
      <c r="I37" s="20">
        <f t="shared" si="15"/>
        <v>0.46215920781893005</v>
      </c>
      <c r="J37" s="20">
        <f t="shared" si="15"/>
        <v>0.38513267318244165</v>
      </c>
      <c r="K37" s="20">
        <f t="shared" si="15"/>
        <v>0.32094389431870141</v>
      </c>
      <c r="L37" s="20">
        <f t="shared" si="15"/>
        <v>0.2674532452655845</v>
      </c>
      <c r="M37" s="20">
        <f t="shared" si="15"/>
        <v>0.2228777043879871</v>
      </c>
      <c r="N37" s="20">
        <f t="shared" si="15"/>
        <v>0.1857314203233226</v>
      </c>
    </row>
    <row r="38" spans="2:14" ht="14.25" x14ac:dyDescent="0.45">
      <c r="B38" s="185"/>
      <c r="C38" s="193"/>
      <c r="D38" s="19" t="s">
        <v>46</v>
      </c>
      <c r="E38" s="20">
        <f>10*E36</f>
        <v>0.95833333333333337</v>
      </c>
      <c r="F38" s="20">
        <f>10*F36</f>
        <v>1.756944444444444</v>
      </c>
      <c r="G38" s="20">
        <f>10*G36</f>
        <v>2.4224537037037046</v>
      </c>
      <c r="H38" s="20">
        <f t="shared" ref="H38:N38" si="16">10*H36</f>
        <v>2.9770447530864192</v>
      </c>
      <c r="I38" s="20">
        <f t="shared" si="16"/>
        <v>3.4392039609053509</v>
      </c>
      <c r="J38" s="20">
        <f t="shared" si="16"/>
        <v>3.8243366340877873</v>
      </c>
      <c r="K38" s="20">
        <f t="shared" si="16"/>
        <v>4.1452805284064951</v>
      </c>
      <c r="L38" s="20">
        <f t="shared" si="16"/>
        <v>4.4127337736720795</v>
      </c>
      <c r="M38" s="20">
        <f t="shared" si="16"/>
        <v>4.6356114780600741</v>
      </c>
      <c r="N38" s="20">
        <f t="shared" si="16"/>
        <v>4.8213428983833797</v>
      </c>
    </row>
    <row r="39" spans="2:14" ht="14.25" x14ac:dyDescent="0.45">
      <c r="B39" s="185"/>
      <c r="C39" s="191" t="s">
        <v>36</v>
      </c>
      <c r="D39" s="15" t="s">
        <v>43</v>
      </c>
      <c r="E39" s="16">
        <f>E8</f>
        <v>0.115</v>
      </c>
      <c r="F39" s="16">
        <f>E39</f>
        <v>0.115</v>
      </c>
      <c r="G39" s="16">
        <f t="shared" ref="G39:N39" si="17">F39</f>
        <v>0.115</v>
      </c>
      <c r="H39" s="16">
        <f t="shared" si="17"/>
        <v>0.115</v>
      </c>
      <c r="I39" s="16">
        <f t="shared" si="17"/>
        <v>0.115</v>
      </c>
      <c r="J39" s="16">
        <f t="shared" si="17"/>
        <v>0.115</v>
      </c>
      <c r="K39" s="16">
        <f t="shared" si="17"/>
        <v>0.115</v>
      </c>
      <c r="L39" s="16">
        <f t="shared" si="17"/>
        <v>0.115</v>
      </c>
      <c r="M39" s="16">
        <f t="shared" si="17"/>
        <v>0.115</v>
      </c>
      <c r="N39" s="16">
        <f t="shared" si="17"/>
        <v>0.115</v>
      </c>
    </row>
    <row r="40" spans="2:14" ht="14.25" customHeight="1" x14ac:dyDescent="0.45">
      <c r="B40" s="185"/>
      <c r="C40" s="193"/>
      <c r="D40" s="19" t="s">
        <v>45</v>
      </c>
      <c r="E40" s="21">
        <f>E37*E$15</f>
        <v>115000</v>
      </c>
      <c r="F40" s="21">
        <f t="shared" ref="F40:N40" si="18">F37*F$15</f>
        <v>114999.99999999999</v>
      </c>
      <c r="G40" s="21">
        <f>G37*G$15</f>
        <v>115000</v>
      </c>
      <c r="H40" s="21">
        <f>H37*H$15</f>
        <v>115000</v>
      </c>
      <c r="I40" s="21">
        <f>I37*I$15</f>
        <v>115000</v>
      </c>
      <c r="J40" s="21">
        <f t="shared" si="18"/>
        <v>115000</v>
      </c>
      <c r="K40" s="21">
        <f t="shared" si="18"/>
        <v>115000</v>
      </c>
      <c r="L40" s="21">
        <f t="shared" si="18"/>
        <v>115000</v>
      </c>
      <c r="M40" s="21">
        <f t="shared" si="18"/>
        <v>115000</v>
      </c>
      <c r="N40" s="21">
        <f t="shared" si="18"/>
        <v>115000</v>
      </c>
    </row>
    <row r="41" spans="2:14" ht="14.25" x14ac:dyDescent="0.45">
      <c r="B41" s="185"/>
      <c r="C41" s="193"/>
      <c r="D41" s="19" t="s">
        <v>46</v>
      </c>
      <c r="E41" s="21">
        <f>E40</f>
        <v>115000</v>
      </c>
      <c r="F41" s="21">
        <f>E41+F40</f>
        <v>230000</v>
      </c>
      <c r="G41" s="21">
        <f>F41+G40</f>
        <v>345000</v>
      </c>
      <c r="H41" s="21">
        <f t="shared" ref="H41:N41" si="19">G41+H40</f>
        <v>460000</v>
      </c>
      <c r="I41" s="21">
        <f t="shared" si="19"/>
        <v>575000</v>
      </c>
      <c r="J41" s="21">
        <f>I41+J40</f>
        <v>690000</v>
      </c>
      <c r="K41" s="21">
        <f t="shared" si="19"/>
        <v>805000</v>
      </c>
      <c r="L41" s="21">
        <f t="shared" si="19"/>
        <v>920000</v>
      </c>
      <c r="M41" s="21">
        <f t="shared" si="19"/>
        <v>1035000</v>
      </c>
      <c r="N41" s="21">
        <f t="shared" si="19"/>
        <v>1150000</v>
      </c>
    </row>
    <row r="42" spans="2:14" ht="14.25" x14ac:dyDescent="0.45">
      <c r="B42" s="185"/>
      <c r="C42" s="191" t="s">
        <v>35</v>
      </c>
      <c r="D42" s="15" t="s">
        <v>43</v>
      </c>
      <c r="E42" s="16">
        <f>E36*E$15/$E$4</f>
        <v>0.115</v>
      </c>
      <c r="F42" s="16">
        <f>F36*F$15/$E$4-E42</f>
        <v>0.13799999999999996</v>
      </c>
      <c r="G42" s="16">
        <f>G36*G$15/$E$4-F42-E42</f>
        <v>0.16560000000000019</v>
      </c>
      <c r="H42" s="16">
        <f>H36*H$15/$E$4-G42-F42-E42</f>
        <v>0.19871999999999973</v>
      </c>
      <c r="I42" s="16">
        <f>I36*I$15/$E$4-H42-G42-F42-E42</f>
        <v>0.2384640000000004</v>
      </c>
      <c r="J42" s="16">
        <f>J36*J$15/$E$4-I42-H42-G42-F42-E42</f>
        <v>0.28615679999999849</v>
      </c>
      <c r="K42" s="16">
        <f>K36*K$15/$E$4-J42-I42-H42-G42-F42-E42</f>
        <v>0.34338816000000211</v>
      </c>
      <c r="L42" s="16">
        <f>L36*L$15/$E$4-K42-J42-I42-H42-G42-F42-E42</f>
        <v>0.41206579199999993</v>
      </c>
      <c r="M42" s="16">
        <f>M36*M$15/$E$4-L42-K42-J42-I42-H42-G42-F42-E42</f>
        <v>0.49447895040000378</v>
      </c>
      <c r="N42" s="16">
        <f>N36*N$15/$E$4-M42-L42-K42-J42-I42-H42-G42-F42-E42</f>
        <v>0.59337474047999117</v>
      </c>
    </row>
    <row r="43" spans="2:14" ht="14.25" x14ac:dyDescent="0.45">
      <c r="B43" s="185"/>
      <c r="C43" s="192"/>
      <c r="D43" s="15" t="s">
        <v>44</v>
      </c>
      <c r="E43" s="17"/>
      <c r="F43" s="17"/>
      <c r="G43" s="17"/>
      <c r="H43" s="17"/>
      <c r="I43" s="38">
        <f>AVERAGE(E42:I42)</f>
        <v>0.17115680000000005</v>
      </c>
      <c r="J43" s="17"/>
      <c r="K43" s="17"/>
      <c r="L43" s="17"/>
      <c r="M43" s="17"/>
      <c r="N43" s="17">
        <f>AVERAGE(E42:N42)</f>
        <v>0.29852484428799964</v>
      </c>
    </row>
    <row r="44" spans="2:14" ht="14.25" x14ac:dyDescent="0.45">
      <c r="B44" s="185"/>
      <c r="C44" s="193"/>
      <c r="D44" s="19" t="s">
        <v>45</v>
      </c>
      <c r="E44" s="22">
        <f>E46</f>
        <v>115000</v>
      </c>
      <c r="F44" s="22">
        <f>F46-E46</f>
        <v>137999.99999999994</v>
      </c>
      <c r="G44" s="22">
        <f>G46-F46</f>
        <v>165600.00000000023</v>
      </c>
      <c r="H44" s="22">
        <f t="shared" ref="H44:N44" si="20">H46-G46</f>
        <v>198719.99999999971</v>
      </c>
      <c r="I44" s="22">
        <f t="shared" si="20"/>
        <v>238464.00000000035</v>
      </c>
      <c r="J44" s="22">
        <f>J46-I46</f>
        <v>286156.79999999865</v>
      </c>
      <c r="K44" s="22">
        <f t="shared" si="20"/>
        <v>343388.16000000201</v>
      </c>
      <c r="L44" s="22">
        <f t="shared" si="20"/>
        <v>412065.7919999999</v>
      </c>
      <c r="M44" s="22">
        <f t="shared" si="20"/>
        <v>494478.95040000416</v>
      </c>
      <c r="N44" s="22">
        <f t="shared" si="20"/>
        <v>593374.74047999037</v>
      </c>
    </row>
    <row r="45" spans="2:14" ht="15" customHeight="1" x14ac:dyDescent="0.45">
      <c r="B45" s="185"/>
      <c r="C45" s="193"/>
      <c r="D45" s="19" t="s">
        <v>47</v>
      </c>
      <c r="E45" s="22"/>
      <c r="F45" s="22"/>
      <c r="G45" s="22"/>
      <c r="H45" s="22"/>
      <c r="I45" s="22">
        <f>AVERAGE(E44:I44)</f>
        <v>171156.80000000005</v>
      </c>
      <c r="J45" s="22"/>
      <c r="K45" s="22"/>
      <c r="L45" s="22"/>
      <c r="M45" s="22"/>
      <c r="N45" s="22">
        <f>AVERAGE(E44:N44)</f>
        <v>298524.84428799956</v>
      </c>
    </row>
    <row r="46" spans="2:14" ht="14.25" x14ac:dyDescent="0.45">
      <c r="B46" s="186"/>
      <c r="C46" s="193"/>
      <c r="D46" s="19" t="s">
        <v>46</v>
      </c>
      <c r="E46" s="21">
        <f t="shared" ref="E46:N46" si="21">E38*E$15</f>
        <v>115000</v>
      </c>
      <c r="F46" s="21">
        <f t="shared" si="21"/>
        <v>252999.99999999994</v>
      </c>
      <c r="G46" s="21">
        <f>G38*G$15</f>
        <v>418600.00000000017</v>
      </c>
      <c r="H46" s="21">
        <f>H38*H$15</f>
        <v>617319.99999999988</v>
      </c>
      <c r="I46" s="21">
        <f>I38*I$15</f>
        <v>855784.00000000023</v>
      </c>
      <c r="J46" s="21">
        <f t="shared" si="21"/>
        <v>1141940.7999999989</v>
      </c>
      <c r="K46" s="21">
        <f t="shared" si="21"/>
        <v>1485328.9600000009</v>
      </c>
      <c r="L46" s="21">
        <f t="shared" si="21"/>
        <v>1897394.7520000008</v>
      </c>
      <c r="M46" s="21">
        <f t="shared" si="21"/>
        <v>2391873.702400005</v>
      </c>
      <c r="N46" s="21">
        <f t="shared" si="21"/>
        <v>2985248.4428799953</v>
      </c>
    </row>
    <row r="47" spans="2:14" ht="14.25" x14ac:dyDescent="0.45">
      <c r="B47" s="3"/>
      <c r="C47" s="1"/>
      <c r="D47" s="43"/>
      <c r="E47" s="31"/>
      <c r="F47" s="31"/>
      <c r="G47" s="31"/>
      <c r="H47" s="31"/>
      <c r="I47" s="31"/>
      <c r="J47" s="31"/>
      <c r="K47" s="31"/>
      <c r="L47" s="31"/>
      <c r="M47" s="31"/>
      <c r="N47" s="31"/>
    </row>
    <row r="48" spans="2:14" ht="14.25" x14ac:dyDescent="0.45">
      <c r="B48" s="176" t="s">
        <v>116</v>
      </c>
      <c r="C48" s="200" t="s">
        <v>21</v>
      </c>
      <c r="D48" s="178" t="str">
        <f>"10 BTC / "&amp;TEXT($E$4*10, "$###0.00,,")&amp;"M USD"</f>
        <v>10 BTC / $1.00M USD</v>
      </c>
      <c r="E48" s="174" t="s">
        <v>3</v>
      </c>
      <c r="F48" s="174" t="s">
        <v>4</v>
      </c>
      <c r="G48" s="174" t="s">
        <v>5</v>
      </c>
      <c r="H48" s="174" t="s">
        <v>6</v>
      </c>
      <c r="I48" s="174" t="s">
        <v>7</v>
      </c>
      <c r="J48" s="174" t="s">
        <v>8</v>
      </c>
      <c r="K48" s="174" t="s">
        <v>9</v>
      </c>
      <c r="L48" s="174" t="s">
        <v>10</v>
      </c>
      <c r="M48" s="174" t="s">
        <v>11</v>
      </c>
      <c r="N48" s="174" t="s">
        <v>12</v>
      </c>
    </row>
    <row r="49" spans="1:15" ht="14.25" x14ac:dyDescent="0.45">
      <c r="B49" s="177"/>
      <c r="C49" s="201"/>
      <c r="D49" s="179"/>
      <c r="E49" s="175"/>
      <c r="F49" s="175"/>
      <c r="G49" s="175"/>
      <c r="H49" s="175"/>
      <c r="I49" s="175"/>
      <c r="J49" s="175"/>
      <c r="K49" s="175"/>
      <c r="L49" s="175"/>
      <c r="M49" s="175"/>
      <c r="N49" s="175"/>
    </row>
    <row r="50" spans="1:15" ht="14.25" x14ac:dyDescent="0.45">
      <c r="B50" s="184" t="s">
        <v>137</v>
      </c>
      <c r="C50" s="192" t="s">
        <v>32</v>
      </c>
      <c r="D50" s="15" t="s">
        <v>43</v>
      </c>
      <c r="E50" s="16">
        <f>E55*$E$4/E$15</f>
        <v>4.1666666666666664E-2</v>
      </c>
      <c r="F50" s="16">
        <f t="shared" ref="F50:N50" si="22">F55*$E$4/F$15</f>
        <v>3.4722222222222224E-2</v>
      </c>
      <c r="G50" s="16">
        <f t="shared" si="22"/>
        <v>2.8935185185185185E-2</v>
      </c>
      <c r="H50" s="16">
        <f t="shared" si="22"/>
        <v>2.4112654320987654E-2</v>
      </c>
      <c r="I50" s="16">
        <f t="shared" si="22"/>
        <v>2.0093878600823047E-2</v>
      </c>
      <c r="J50" s="16">
        <f t="shared" si="22"/>
        <v>1.6744898834019202E-2</v>
      </c>
      <c r="K50" s="16">
        <f t="shared" si="22"/>
        <v>1.395408236168267E-2</v>
      </c>
      <c r="L50" s="16">
        <f t="shared" si="22"/>
        <v>1.1628401968068892E-2</v>
      </c>
      <c r="M50" s="16">
        <f t="shared" si="22"/>
        <v>9.6903349733907431E-3</v>
      </c>
      <c r="N50" s="16">
        <f t="shared" si="22"/>
        <v>8.0752791444922874E-3</v>
      </c>
    </row>
    <row r="51" spans="1:15" ht="14.25" x14ac:dyDescent="0.45">
      <c r="B51" s="185"/>
      <c r="C51" s="192"/>
      <c r="D51" s="15" t="s">
        <v>44</v>
      </c>
      <c r="E51" s="16"/>
      <c r="F51" s="16"/>
      <c r="G51" s="16"/>
      <c r="H51" s="16"/>
      <c r="I51" s="125">
        <f>AVERAGE(E50:I50)</f>
        <v>2.9906121399176956E-2</v>
      </c>
      <c r="J51" s="16"/>
      <c r="K51" s="16"/>
      <c r="L51" s="16"/>
      <c r="M51" s="16"/>
      <c r="N51" s="17">
        <f>AVERAGE(E50:N50)</f>
        <v>2.0962360427753856E-2</v>
      </c>
    </row>
    <row r="52" spans="1:15" ht="14.25" x14ac:dyDescent="0.45">
      <c r="B52" s="185"/>
      <c r="C52" s="192"/>
      <c r="D52" s="15" t="s">
        <v>42</v>
      </c>
      <c r="E52" s="16">
        <f t="shared" ref="E52:N52" si="23">E$17*(E50/E$19)</f>
        <v>4.1666666666666664E-2</v>
      </c>
      <c r="F52" s="16">
        <f t="shared" si="23"/>
        <v>7.6388888888888881E-2</v>
      </c>
      <c r="G52" s="16">
        <f t="shared" si="23"/>
        <v>0.10532407407407411</v>
      </c>
      <c r="H52" s="16">
        <f t="shared" si="23"/>
        <v>0.12943672839506168</v>
      </c>
      <c r="I52" s="16">
        <f t="shared" si="23"/>
        <v>0.14953060699588483</v>
      </c>
      <c r="J52" s="16">
        <f t="shared" si="23"/>
        <v>0.1662755058299038</v>
      </c>
      <c r="K52" s="16">
        <f t="shared" si="23"/>
        <v>0.18022958819158674</v>
      </c>
      <c r="L52" s="16">
        <f t="shared" si="23"/>
        <v>0.19185799015965568</v>
      </c>
      <c r="M52" s="16">
        <f t="shared" si="23"/>
        <v>0.20154832513304669</v>
      </c>
      <c r="N52" s="16">
        <f t="shared" si="23"/>
        <v>0.20962360427753829</v>
      </c>
    </row>
    <row r="53" spans="1:15" ht="14.25" customHeight="1" x14ac:dyDescent="0.45">
      <c r="B53" s="185"/>
      <c r="C53" s="193"/>
      <c r="D53" s="19" t="s">
        <v>45</v>
      </c>
      <c r="E53" s="20">
        <f>10*E50</f>
        <v>0.41666666666666663</v>
      </c>
      <c r="F53" s="20">
        <f t="shared" ref="F53:N53" si="24">10*F50</f>
        <v>0.34722222222222221</v>
      </c>
      <c r="G53" s="20">
        <f t="shared" si="24"/>
        <v>0.28935185185185186</v>
      </c>
      <c r="H53" s="20">
        <f t="shared" si="24"/>
        <v>0.24112654320987653</v>
      </c>
      <c r="I53" s="20">
        <f t="shared" si="24"/>
        <v>0.20093878600823045</v>
      </c>
      <c r="J53" s="20">
        <f t="shared" si="24"/>
        <v>0.16744898834019201</v>
      </c>
      <c r="K53" s="20">
        <f t="shared" si="24"/>
        <v>0.13954082361682668</v>
      </c>
      <c r="L53" s="20">
        <f t="shared" si="24"/>
        <v>0.11628401968068892</v>
      </c>
      <c r="M53" s="20">
        <f t="shared" si="24"/>
        <v>9.6903349733907435E-2</v>
      </c>
      <c r="N53" s="20">
        <f t="shared" si="24"/>
        <v>8.0752791444922867E-2</v>
      </c>
    </row>
    <row r="54" spans="1:15" ht="14.25" x14ac:dyDescent="0.45">
      <c r="B54" s="185"/>
      <c r="C54" s="193"/>
      <c r="D54" s="19" t="s">
        <v>46</v>
      </c>
      <c r="E54" s="20">
        <f>10*E52</f>
        <v>0.41666666666666663</v>
      </c>
      <c r="F54" s="20">
        <f>10*F52</f>
        <v>0.76388888888888884</v>
      </c>
      <c r="G54" s="20">
        <f>10*G52</f>
        <v>1.0532407407407411</v>
      </c>
      <c r="H54" s="20">
        <f t="shared" ref="H54:N54" si="25">10*H52</f>
        <v>1.2943672839506168</v>
      </c>
      <c r="I54" s="20">
        <f t="shared" si="25"/>
        <v>1.4953060699588483</v>
      </c>
      <c r="J54" s="20">
        <f t="shared" si="25"/>
        <v>1.662755058299038</v>
      </c>
      <c r="K54" s="20">
        <f t="shared" si="25"/>
        <v>1.8022958819158674</v>
      </c>
      <c r="L54" s="20">
        <f t="shared" si="25"/>
        <v>1.9185799015965568</v>
      </c>
      <c r="M54" s="20">
        <f t="shared" si="25"/>
        <v>2.0154832513304668</v>
      </c>
      <c r="N54" s="20">
        <f t="shared" si="25"/>
        <v>2.096236042775383</v>
      </c>
    </row>
    <row r="55" spans="1:15" ht="14.25" x14ac:dyDescent="0.45">
      <c r="B55" s="185"/>
      <c r="C55" s="191" t="s">
        <v>36</v>
      </c>
      <c r="D55" s="15" t="s">
        <v>43</v>
      </c>
      <c r="E55" s="16">
        <f t="shared" ref="E55:N55" si="26">$E9+($E$10*$E$11)</f>
        <v>0.05</v>
      </c>
      <c r="F55" s="16">
        <f t="shared" si="26"/>
        <v>0.05</v>
      </c>
      <c r="G55" s="16">
        <f t="shared" si="26"/>
        <v>0.05</v>
      </c>
      <c r="H55" s="16">
        <f t="shared" si="26"/>
        <v>0.05</v>
      </c>
      <c r="I55" s="16">
        <f t="shared" si="26"/>
        <v>0.05</v>
      </c>
      <c r="J55" s="16">
        <f t="shared" si="26"/>
        <v>0.05</v>
      </c>
      <c r="K55" s="16">
        <f t="shared" si="26"/>
        <v>0.05</v>
      </c>
      <c r="L55" s="16">
        <f t="shared" si="26"/>
        <v>0.05</v>
      </c>
      <c r="M55" s="16">
        <f t="shared" si="26"/>
        <v>0.05</v>
      </c>
      <c r="N55" s="16">
        <f t="shared" si="26"/>
        <v>0.05</v>
      </c>
    </row>
    <row r="56" spans="1:15" ht="14.25" customHeight="1" x14ac:dyDescent="0.45">
      <c r="B56" s="185"/>
      <c r="C56" s="193"/>
      <c r="D56" s="19" t="s">
        <v>45</v>
      </c>
      <c r="E56" s="21">
        <f t="shared" ref="E56:N56" si="27">E53*E$15</f>
        <v>49999.999999999993</v>
      </c>
      <c r="F56" s="21">
        <f t="shared" si="27"/>
        <v>50000</v>
      </c>
      <c r="G56" s="21">
        <f t="shared" si="27"/>
        <v>50000</v>
      </c>
      <c r="H56" s="21">
        <f t="shared" si="27"/>
        <v>50000</v>
      </c>
      <c r="I56" s="21">
        <f t="shared" si="27"/>
        <v>50000</v>
      </c>
      <c r="J56" s="21">
        <f t="shared" si="27"/>
        <v>49999.999999999993</v>
      </c>
      <c r="K56" s="21">
        <f t="shared" si="27"/>
        <v>49999.999999999993</v>
      </c>
      <c r="L56" s="21">
        <f t="shared" si="27"/>
        <v>50000</v>
      </c>
      <c r="M56" s="21">
        <f t="shared" si="27"/>
        <v>50000</v>
      </c>
      <c r="N56" s="21">
        <f t="shared" si="27"/>
        <v>50000</v>
      </c>
    </row>
    <row r="57" spans="1:15" ht="14.25" x14ac:dyDescent="0.45">
      <c r="B57" s="185"/>
      <c r="C57" s="193"/>
      <c r="D57" s="19" t="s">
        <v>46</v>
      </c>
      <c r="E57" s="21">
        <f>E56</f>
        <v>49999.999999999993</v>
      </c>
      <c r="F57" s="21">
        <f>E57+F56</f>
        <v>100000</v>
      </c>
      <c r="G57" s="21">
        <f>F57+G56</f>
        <v>150000</v>
      </c>
      <c r="H57" s="21">
        <f t="shared" ref="H57:N57" si="28">G57+H56</f>
        <v>200000</v>
      </c>
      <c r="I57" s="21">
        <f t="shared" si="28"/>
        <v>250000</v>
      </c>
      <c r="J57" s="21">
        <f>I57+J56</f>
        <v>300000</v>
      </c>
      <c r="K57" s="21">
        <f t="shared" si="28"/>
        <v>350000</v>
      </c>
      <c r="L57" s="21">
        <f t="shared" si="28"/>
        <v>400000</v>
      </c>
      <c r="M57" s="21">
        <f t="shared" si="28"/>
        <v>450000</v>
      </c>
      <c r="N57" s="21">
        <f t="shared" si="28"/>
        <v>500000</v>
      </c>
    </row>
    <row r="58" spans="1:15" ht="14.25" x14ac:dyDescent="0.45">
      <c r="B58" s="185"/>
      <c r="C58" s="191" t="s">
        <v>35</v>
      </c>
      <c r="D58" s="15" t="s">
        <v>43</v>
      </c>
      <c r="E58" s="16">
        <f>E52*E$15/$E$4</f>
        <v>0.05</v>
      </c>
      <c r="F58" s="16">
        <f>F52*F$15/$E$4-E58</f>
        <v>5.9999999999999984E-2</v>
      </c>
      <c r="G58" s="16">
        <f>G52*G$15/$E$4-F58-E58</f>
        <v>7.2000000000000092E-2</v>
      </c>
      <c r="H58" s="16">
        <f>H52*H$15/$E$4-G58-F58-E58</f>
        <v>8.6399999999999852E-2</v>
      </c>
      <c r="I58" s="16">
        <f>I52*I$15/$E$4-H58-G58-F58-E58</f>
        <v>0.1036800000000002</v>
      </c>
      <c r="J58" s="16">
        <f>J52*J$15/$E$4-I58-H58-G58-F58-E58</f>
        <v>0.1244159999999994</v>
      </c>
      <c r="K58" s="16">
        <f>K52*K$15/$E$4-J58-I58-H58-G58-F58-E58</f>
        <v>0.14929920000000074</v>
      </c>
      <c r="L58" s="16">
        <f>L52*L$15/$E$4-K58-J58-I58-H58-G58-F58-E58</f>
        <v>0.17915904000000027</v>
      </c>
      <c r="M58" s="16">
        <f>M52*M$15/$E$4-L58-K58-J58-I58-H58-G58-F58-E58</f>
        <v>0.21499084800000146</v>
      </c>
      <c r="N58" s="16">
        <f>N52*N$15/$E$4-M58-L58-K58-J58-I58-H58-G58-F58-E58</f>
        <v>0.25798901759999604</v>
      </c>
    </row>
    <row r="59" spans="1:15" ht="14.25" x14ac:dyDescent="0.45">
      <c r="B59" s="185"/>
      <c r="C59" s="192"/>
      <c r="D59" s="15" t="s">
        <v>44</v>
      </c>
      <c r="E59" s="17"/>
      <c r="F59" s="17"/>
      <c r="G59" s="17"/>
      <c r="H59" s="17"/>
      <c r="I59" s="17">
        <f>AVERAGE(E58:I58)</f>
        <v>7.4416000000000024E-2</v>
      </c>
      <c r="J59" s="17"/>
      <c r="K59" s="17"/>
      <c r="L59" s="17"/>
      <c r="M59" s="17"/>
      <c r="N59" s="17">
        <f>AVERAGE(E58:N58)</f>
        <v>0.12979341055999977</v>
      </c>
    </row>
    <row r="60" spans="1:15" ht="14.25" x14ac:dyDescent="0.45">
      <c r="B60" s="185"/>
      <c r="C60" s="193"/>
      <c r="D60" s="19" t="s">
        <v>45</v>
      </c>
      <c r="E60" s="22">
        <f>E62</f>
        <v>49999.999999999993</v>
      </c>
      <c r="F60" s="22">
        <f>F62-E62</f>
        <v>60000.000000000007</v>
      </c>
      <c r="G60" s="22">
        <f>G62-F62</f>
        <v>72000.000000000058</v>
      </c>
      <c r="H60" s="22">
        <f t="shared" ref="H60:N60" si="29">H62-G62</f>
        <v>86399.999999999825</v>
      </c>
      <c r="I60" s="22">
        <f t="shared" si="29"/>
        <v>103680.00000000023</v>
      </c>
      <c r="J60" s="22">
        <f>J62-I62</f>
        <v>124415.99999999942</v>
      </c>
      <c r="K60" s="22">
        <f t="shared" si="29"/>
        <v>149299.20000000088</v>
      </c>
      <c r="L60" s="22">
        <f t="shared" si="29"/>
        <v>179159.04000000015</v>
      </c>
      <c r="M60" s="22">
        <f t="shared" si="29"/>
        <v>214990.8480000014</v>
      </c>
      <c r="N60" s="22">
        <f t="shared" si="29"/>
        <v>257989.0175999963</v>
      </c>
    </row>
    <row r="61" spans="1:15" ht="15" customHeight="1" x14ac:dyDescent="0.45">
      <c r="B61" s="185"/>
      <c r="C61" s="193"/>
      <c r="D61" s="19" t="s">
        <v>47</v>
      </c>
      <c r="E61" s="22"/>
      <c r="F61" s="22"/>
      <c r="G61" s="22"/>
      <c r="H61" s="22"/>
      <c r="I61" s="22">
        <f>AVERAGE(E60:I60)</f>
        <v>74416.000000000029</v>
      </c>
      <c r="J61" s="22"/>
      <c r="K61" s="22"/>
      <c r="L61" s="22"/>
      <c r="M61" s="22"/>
      <c r="N61" s="22">
        <f>AVERAGE(E60:N60)</f>
        <v>129793.41055999983</v>
      </c>
    </row>
    <row r="62" spans="1:15" ht="14.25" x14ac:dyDescent="0.45">
      <c r="B62" s="186"/>
      <c r="C62" s="193"/>
      <c r="D62" s="19" t="s">
        <v>46</v>
      </c>
      <c r="E62" s="21">
        <f t="shared" ref="E62:N62" si="30">E54*E$15</f>
        <v>49999.999999999993</v>
      </c>
      <c r="F62" s="21">
        <f t="shared" si="30"/>
        <v>110000</v>
      </c>
      <c r="G62" s="21">
        <f t="shared" si="30"/>
        <v>182000.00000000006</v>
      </c>
      <c r="H62" s="21">
        <f t="shared" si="30"/>
        <v>268399.99999999988</v>
      </c>
      <c r="I62" s="21">
        <f t="shared" si="30"/>
        <v>372080.00000000012</v>
      </c>
      <c r="J62" s="21">
        <f t="shared" si="30"/>
        <v>496495.99999999953</v>
      </c>
      <c r="K62" s="21">
        <f t="shared" si="30"/>
        <v>645795.20000000042</v>
      </c>
      <c r="L62" s="21">
        <f t="shared" si="30"/>
        <v>824954.24000000057</v>
      </c>
      <c r="M62" s="21">
        <f t="shared" si="30"/>
        <v>1039945.088000002</v>
      </c>
      <c r="N62" s="21">
        <f t="shared" si="30"/>
        <v>1297934.1055999983</v>
      </c>
    </row>
    <row r="63" spans="1:15" ht="14.25" x14ac:dyDescent="0.45">
      <c r="A63" s="8"/>
      <c r="B63" s="3"/>
      <c r="C63" s="1"/>
      <c r="D63" s="43"/>
      <c r="E63" s="31"/>
      <c r="F63" s="31"/>
      <c r="G63" s="31"/>
      <c r="H63" s="31"/>
      <c r="I63" s="31"/>
      <c r="J63" s="31"/>
      <c r="K63" s="31"/>
      <c r="L63" s="31"/>
      <c r="M63" s="31"/>
      <c r="N63" s="31"/>
      <c r="O63" s="8"/>
    </row>
    <row r="64" spans="1:15" ht="14.25" x14ac:dyDescent="0.45">
      <c r="B64" s="189" t="s">
        <v>115</v>
      </c>
      <c r="C64" s="187" t="s">
        <v>21</v>
      </c>
      <c r="D64" s="180" t="str">
        <f>"10 BTC / "&amp;TEXT($E$4*10, "$###0.00,,")&amp;"M USD"</f>
        <v>10 BTC / $1.00M USD</v>
      </c>
      <c r="E64" s="174" t="s">
        <v>3</v>
      </c>
      <c r="F64" s="174" t="s">
        <v>4</v>
      </c>
      <c r="G64" s="174" t="s">
        <v>5</v>
      </c>
      <c r="H64" s="174" t="s">
        <v>6</v>
      </c>
      <c r="I64" s="174" t="s">
        <v>7</v>
      </c>
      <c r="J64" s="174" t="s">
        <v>8</v>
      </c>
      <c r="K64" s="174" t="s">
        <v>9</v>
      </c>
      <c r="L64" s="174" t="s">
        <v>10</v>
      </c>
      <c r="M64" s="174" t="s">
        <v>11</v>
      </c>
      <c r="N64" s="174" t="s">
        <v>12</v>
      </c>
    </row>
    <row r="65" spans="2:14" ht="14.25" x14ac:dyDescent="0.45">
      <c r="B65" s="190"/>
      <c r="C65" s="188"/>
      <c r="D65" s="181"/>
      <c r="E65" s="175"/>
      <c r="F65" s="175"/>
      <c r="G65" s="175"/>
      <c r="H65" s="175"/>
      <c r="I65" s="175"/>
      <c r="J65" s="175"/>
      <c r="K65" s="175"/>
      <c r="L65" s="175"/>
      <c r="M65" s="175"/>
      <c r="N65" s="175"/>
    </row>
    <row r="66" spans="2:14" ht="14.25" x14ac:dyDescent="0.45">
      <c r="B66" s="193" t="s">
        <v>16</v>
      </c>
      <c r="C66" s="192" t="s">
        <v>32</v>
      </c>
      <c r="D66" s="15" t="s">
        <v>58</v>
      </c>
      <c r="E66" s="16">
        <f>E$23</f>
        <v>0.16666666666666666</v>
      </c>
      <c r="F66" s="16">
        <f t="shared" ref="F66:N66" si="31">F$23</f>
        <v>0.13888888888888892</v>
      </c>
      <c r="G66" s="16">
        <f t="shared" si="31"/>
        <v>0.1157407407407407</v>
      </c>
      <c r="H66" s="16">
        <f t="shared" si="31"/>
        <v>9.6450617283950657E-2</v>
      </c>
      <c r="I66" s="16">
        <f t="shared" si="31"/>
        <v>8.0375514403292159E-2</v>
      </c>
      <c r="J66" s="16">
        <f t="shared" si="31"/>
        <v>6.6979595336076891E-2</v>
      </c>
      <c r="K66" s="16">
        <f t="shared" si="31"/>
        <v>5.581632944673065E-2</v>
      </c>
      <c r="L66" s="16">
        <f t="shared" si="31"/>
        <v>4.6513607872275542E-2</v>
      </c>
      <c r="M66" s="16">
        <f t="shared" si="31"/>
        <v>3.8761339893562896E-2</v>
      </c>
      <c r="N66" s="16">
        <f t="shared" si="31"/>
        <v>3.2301116577969191E-2</v>
      </c>
    </row>
    <row r="67" spans="2:14" ht="14.25" x14ac:dyDescent="0.45">
      <c r="B67" s="193"/>
      <c r="C67" s="192"/>
      <c r="D67" s="15" t="s">
        <v>59</v>
      </c>
      <c r="E67" s="16"/>
      <c r="F67" s="16"/>
      <c r="G67" s="16"/>
      <c r="H67" s="16"/>
      <c r="I67" s="80">
        <f>AVERAGE(E66:I66)</f>
        <v>0.11962448559670782</v>
      </c>
      <c r="J67" s="16"/>
      <c r="K67" s="16"/>
      <c r="L67" s="16"/>
      <c r="M67" s="16"/>
      <c r="N67" s="17">
        <f>AVERAGE(E66:N66)</f>
        <v>8.3849441711015424E-2</v>
      </c>
    </row>
    <row r="68" spans="2:14" ht="14.25" x14ac:dyDescent="0.45">
      <c r="B68" s="193"/>
      <c r="C68" s="192"/>
      <c r="D68" s="15" t="s">
        <v>42</v>
      </c>
      <c r="E68" s="16">
        <f>E$17*(E66/E$19)</f>
        <v>0.16666666666666666</v>
      </c>
      <c r="F68" s="16">
        <f t="shared" ref="F68:N68" si="32">F$17*(F66/F$19)</f>
        <v>0.30555555555555558</v>
      </c>
      <c r="G68" s="16">
        <f>G$17*(G66/G$19)</f>
        <v>0.42129629629629628</v>
      </c>
      <c r="H68" s="16">
        <f>H$17*(H66/H$19)</f>
        <v>0.51774691358024694</v>
      </c>
      <c r="I68" s="16">
        <f>I$17*(I66/I$19)</f>
        <v>0.5981224279835391</v>
      </c>
      <c r="J68" s="16">
        <f t="shared" si="32"/>
        <v>0.66510202331961599</v>
      </c>
      <c r="K68" s="16">
        <f t="shared" si="32"/>
        <v>0.72091835276634664</v>
      </c>
      <c r="L68" s="16">
        <f t="shared" si="32"/>
        <v>0.76743196063862218</v>
      </c>
      <c r="M68" s="16">
        <f t="shared" si="32"/>
        <v>0.80619330053218508</v>
      </c>
      <c r="N68" s="16">
        <f t="shared" si="32"/>
        <v>0.83849441711015427</v>
      </c>
    </row>
    <row r="69" spans="2:14" ht="14.25" customHeight="1" x14ac:dyDescent="0.45">
      <c r="B69" s="193"/>
      <c r="C69" s="193"/>
      <c r="D69" s="19" t="s">
        <v>45</v>
      </c>
      <c r="E69" s="20">
        <f>10*E66</f>
        <v>1.6666666666666665</v>
      </c>
      <c r="F69" s="20">
        <f t="shared" ref="F69:N69" si="33">10*F66</f>
        <v>1.3888888888888893</v>
      </c>
      <c r="G69" s="20">
        <f t="shared" si="33"/>
        <v>1.157407407407407</v>
      </c>
      <c r="H69" s="20">
        <f t="shared" si="33"/>
        <v>0.96450617283950657</v>
      </c>
      <c r="I69" s="20">
        <f t="shared" si="33"/>
        <v>0.80375514403292159</v>
      </c>
      <c r="J69" s="20">
        <f t="shared" si="33"/>
        <v>0.66979595336076891</v>
      </c>
      <c r="K69" s="20">
        <f t="shared" si="33"/>
        <v>0.5581632944673065</v>
      </c>
      <c r="L69" s="20">
        <f t="shared" si="33"/>
        <v>0.46513607872275542</v>
      </c>
      <c r="M69" s="20">
        <f t="shared" si="33"/>
        <v>0.38761339893562896</v>
      </c>
      <c r="N69" s="20">
        <f t="shared" si="33"/>
        <v>0.32301116577969191</v>
      </c>
    </row>
    <row r="70" spans="2:14" ht="14.25" x14ac:dyDescent="0.45">
      <c r="B70" s="193"/>
      <c r="C70" s="193"/>
      <c r="D70" s="19" t="s">
        <v>46</v>
      </c>
      <c r="E70" s="20">
        <f>10*E68</f>
        <v>1.6666666666666665</v>
      </c>
      <c r="F70" s="20">
        <f>10*F68</f>
        <v>3.0555555555555558</v>
      </c>
      <c r="G70" s="20">
        <f>10*G68</f>
        <v>4.2129629629629628</v>
      </c>
      <c r="H70" s="20">
        <f t="shared" ref="H70:N70" si="34">10*H68</f>
        <v>5.1774691358024691</v>
      </c>
      <c r="I70" s="20">
        <f t="shared" si="34"/>
        <v>5.9812242798353914</v>
      </c>
      <c r="J70" s="20">
        <f t="shared" si="34"/>
        <v>6.6510202331961601</v>
      </c>
      <c r="K70" s="20">
        <f t="shared" si="34"/>
        <v>7.2091835276634662</v>
      </c>
      <c r="L70" s="20">
        <f t="shared" si="34"/>
        <v>7.6743196063862218</v>
      </c>
      <c r="M70" s="20">
        <f t="shared" si="34"/>
        <v>8.0619330053218512</v>
      </c>
      <c r="N70" s="20">
        <f t="shared" si="34"/>
        <v>8.3849441711015427</v>
      </c>
    </row>
    <row r="71" spans="2:14" ht="14.25" x14ac:dyDescent="0.45">
      <c r="B71" s="193"/>
      <c r="C71" s="191" t="s">
        <v>36</v>
      </c>
      <c r="D71" s="15" t="s">
        <v>43</v>
      </c>
      <c r="E71" s="16">
        <f t="shared" ref="E71:N71" si="35">E66*E$15/$E$4</f>
        <v>0.2</v>
      </c>
      <c r="F71" s="16">
        <f t="shared" si="35"/>
        <v>0.20000000000000004</v>
      </c>
      <c r="G71" s="16">
        <f t="shared" si="35"/>
        <v>0.19999999999999993</v>
      </c>
      <c r="H71" s="16">
        <f t="shared" si="35"/>
        <v>0.20000000000000007</v>
      </c>
      <c r="I71" s="16">
        <f t="shared" si="35"/>
        <v>0.19999999999999993</v>
      </c>
      <c r="J71" s="16">
        <f t="shared" si="35"/>
        <v>0.20000000000000021</v>
      </c>
      <c r="K71" s="16">
        <f t="shared" si="35"/>
        <v>0.1999999999999999</v>
      </c>
      <c r="L71" s="16">
        <f t="shared" si="35"/>
        <v>0.1999999999999999</v>
      </c>
      <c r="M71" s="16">
        <f t="shared" si="35"/>
        <v>0.19999999999999959</v>
      </c>
      <c r="N71" s="16">
        <f t="shared" si="35"/>
        <v>0.20000000000000029</v>
      </c>
    </row>
    <row r="72" spans="2:14" ht="14.25" customHeight="1" x14ac:dyDescent="0.45">
      <c r="B72" s="193"/>
      <c r="C72" s="193"/>
      <c r="D72" s="19" t="s">
        <v>45</v>
      </c>
      <c r="E72" s="21">
        <f t="shared" ref="E72:N72" si="36">E69*E$15</f>
        <v>199999.99999999997</v>
      </c>
      <c r="F72" s="21">
        <f t="shared" si="36"/>
        <v>200000.00000000006</v>
      </c>
      <c r="G72" s="21">
        <f>G69*G$15</f>
        <v>199999.99999999994</v>
      </c>
      <c r="H72" s="21">
        <f>H69*H$15</f>
        <v>200000.00000000009</v>
      </c>
      <c r="I72" s="21">
        <f>I69*I$15</f>
        <v>199999.99999999994</v>
      </c>
      <c r="J72" s="21">
        <f t="shared" si="36"/>
        <v>200000.00000000023</v>
      </c>
      <c r="K72" s="21">
        <f t="shared" si="36"/>
        <v>199999.99999999988</v>
      </c>
      <c r="L72" s="21">
        <f t="shared" si="36"/>
        <v>199999.99999999988</v>
      </c>
      <c r="M72" s="21">
        <f t="shared" si="36"/>
        <v>199999.99999999959</v>
      </c>
      <c r="N72" s="21">
        <f t="shared" si="36"/>
        <v>200000.00000000026</v>
      </c>
    </row>
    <row r="73" spans="2:14" ht="14.25" x14ac:dyDescent="0.45">
      <c r="B73" s="193"/>
      <c r="C73" s="193"/>
      <c r="D73" s="19" t="s">
        <v>46</v>
      </c>
      <c r="E73" s="21">
        <f>E72</f>
        <v>199999.99999999997</v>
      </c>
      <c r="F73" s="21">
        <f>E73+F72</f>
        <v>400000</v>
      </c>
      <c r="G73" s="21">
        <f>F73+G72</f>
        <v>600000</v>
      </c>
      <c r="H73" s="21">
        <f t="shared" ref="H73:N73" si="37">G73+H72</f>
        <v>800000.00000000012</v>
      </c>
      <c r="I73" s="21">
        <f t="shared" si="37"/>
        <v>1000000</v>
      </c>
      <c r="J73" s="21">
        <f>I73+J72</f>
        <v>1200000.0000000002</v>
      </c>
      <c r="K73" s="21">
        <f t="shared" si="37"/>
        <v>1400000</v>
      </c>
      <c r="L73" s="21">
        <f t="shared" si="37"/>
        <v>1600000</v>
      </c>
      <c r="M73" s="21">
        <f t="shared" si="37"/>
        <v>1799999.9999999995</v>
      </c>
      <c r="N73" s="21">
        <f t="shared" si="37"/>
        <v>1999999.9999999998</v>
      </c>
    </row>
    <row r="74" spans="2:14" ht="14.25" x14ac:dyDescent="0.45">
      <c r="B74" s="193"/>
      <c r="C74" s="191" t="s">
        <v>35</v>
      </c>
      <c r="D74" s="15" t="s">
        <v>43</v>
      </c>
      <c r="E74" s="16">
        <f>E68*E$15/$E$4</f>
        <v>0.2</v>
      </c>
      <c r="F74" s="16">
        <f>F68*F$15/$E$4-E74</f>
        <v>0.24</v>
      </c>
      <c r="G74" s="16">
        <f>G68*G$15/$E$4-F74-E74</f>
        <v>0.28799999999999998</v>
      </c>
      <c r="H74" s="16">
        <f>H68*H$15/$E$4-G74-F74-E74</f>
        <v>0.34560000000000007</v>
      </c>
      <c r="I74" s="16">
        <f>I68*I$15/$E$4-H74-G74-F74-E74</f>
        <v>0.41471999999999992</v>
      </c>
      <c r="J74" s="16">
        <f>J68*J$15/$E$4-I74-H74-G74-F74-E74</f>
        <v>0.49766400000000005</v>
      </c>
      <c r="K74" s="16">
        <f>K68*K$15/$E$4-J74-I74-H74-G74-F74-E74</f>
        <v>0.59719680000000008</v>
      </c>
      <c r="L74" s="16">
        <f>L68*L$15/$E$4-K74-J74-I74-H74-G74-F74-E74</f>
        <v>0.71663615999999952</v>
      </c>
      <c r="M74" s="16">
        <f>M68*M$15/$E$4-L74-K74-J74-I74-H74-G74-F74-E74</f>
        <v>0.85996339200000027</v>
      </c>
      <c r="N74" s="16">
        <f>N68*N$15/$E$4-M74-L74-K74-J74-I74-H74-G74-F74-E74</f>
        <v>1.0319560704000008</v>
      </c>
    </row>
    <row r="75" spans="2:14" ht="14.25" x14ac:dyDescent="0.45">
      <c r="B75" s="193"/>
      <c r="C75" s="192"/>
      <c r="D75" s="15" t="s">
        <v>44</v>
      </c>
      <c r="E75" s="17"/>
      <c r="F75" s="17"/>
      <c r="G75" s="17"/>
      <c r="H75" s="17"/>
      <c r="I75" s="17">
        <f>AVERAGE(E74:I74)</f>
        <v>0.29766400000000004</v>
      </c>
      <c r="J75" s="17"/>
      <c r="K75" s="17"/>
      <c r="L75" s="17"/>
      <c r="M75" s="17"/>
      <c r="N75" s="17">
        <f>AVERAGE(E74:N74)</f>
        <v>0.51917364223999996</v>
      </c>
    </row>
    <row r="76" spans="2:14" ht="14.25" x14ac:dyDescent="0.45">
      <c r="B76" s="193"/>
      <c r="C76" s="193"/>
      <c r="D76" s="19" t="s">
        <v>45</v>
      </c>
      <c r="E76" s="22">
        <f>E78</f>
        <v>199999.99999999997</v>
      </c>
      <c r="F76" s="22">
        <f>F78-E78</f>
        <v>240000.00000000009</v>
      </c>
      <c r="G76" s="22">
        <f>G78-F78</f>
        <v>287999.99999999994</v>
      </c>
      <c r="H76" s="22">
        <f t="shared" ref="H76:N76" si="38">H78-G78</f>
        <v>345600</v>
      </c>
      <c r="I76" s="22">
        <f t="shared" si="38"/>
        <v>414720</v>
      </c>
      <c r="J76" s="22">
        <f>J78-I78</f>
        <v>497664.00000000047</v>
      </c>
      <c r="K76" s="22">
        <f t="shared" si="38"/>
        <v>597196.79999999981</v>
      </c>
      <c r="L76" s="22">
        <f t="shared" si="38"/>
        <v>716636.15999999968</v>
      </c>
      <c r="M76" s="22">
        <f t="shared" si="38"/>
        <v>859963.39199999999</v>
      </c>
      <c r="N76" s="22">
        <f t="shared" si="38"/>
        <v>1031956.0703999996</v>
      </c>
    </row>
    <row r="77" spans="2:14" ht="14.25" x14ac:dyDescent="0.45">
      <c r="B77" s="193"/>
      <c r="C77" s="193"/>
      <c r="D77" s="19" t="s">
        <v>47</v>
      </c>
      <c r="E77" s="22"/>
      <c r="F77" s="22"/>
      <c r="G77" s="22"/>
      <c r="H77" s="22"/>
      <c r="I77" s="22">
        <f>AVERAGE(E76:I76)</f>
        <v>297664</v>
      </c>
      <c r="J77" s="22"/>
      <c r="K77" s="22"/>
      <c r="L77" s="22"/>
      <c r="M77" s="22"/>
      <c r="N77" s="22">
        <f>AVERAGE(E76:N76)</f>
        <v>519173.64223999996</v>
      </c>
    </row>
    <row r="78" spans="2:14" ht="14.25" x14ac:dyDescent="0.45">
      <c r="B78" s="193"/>
      <c r="C78" s="193"/>
      <c r="D78" s="19" t="s">
        <v>46</v>
      </c>
      <c r="E78" s="21">
        <f t="shared" ref="E78:N78" si="39">E70*E$15</f>
        <v>199999.99999999997</v>
      </c>
      <c r="F78" s="21">
        <f t="shared" si="39"/>
        <v>440000.00000000006</v>
      </c>
      <c r="G78" s="21">
        <f>G70*G$15</f>
        <v>728000</v>
      </c>
      <c r="H78" s="21">
        <f>H70*H$15</f>
        <v>1073600</v>
      </c>
      <c r="I78" s="21">
        <f>I70*I$15</f>
        <v>1488320</v>
      </c>
      <c r="J78" s="21">
        <f t="shared" si="39"/>
        <v>1985984.0000000005</v>
      </c>
      <c r="K78" s="21">
        <f t="shared" si="39"/>
        <v>2583180.8000000003</v>
      </c>
      <c r="L78" s="21">
        <f t="shared" si="39"/>
        <v>3299816.96</v>
      </c>
      <c r="M78" s="21">
        <f t="shared" si="39"/>
        <v>4159780.352</v>
      </c>
      <c r="N78" s="21">
        <f t="shared" si="39"/>
        <v>5191736.4223999996</v>
      </c>
    </row>
    <row r="79" spans="2:14" ht="14.25" x14ac:dyDescent="0.45">
      <c r="B79" s="193" t="s">
        <v>137</v>
      </c>
      <c r="C79" s="192" t="s">
        <v>32</v>
      </c>
      <c r="D79" s="15" t="s">
        <v>43</v>
      </c>
      <c r="E79" s="16">
        <f>E$25</f>
        <v>3.6666666666666667E-2</v>
      </c>
      <c r="F79" s="16">
        <f t="shared" ref="F79:N79" si="40">F$25</f>
        <v>3.3888888888888885E-2</v>
      </c>
      <c r="G79" s="16">
        <f t="shared" si="40"/>
        <v>3.1574074074074074E-2</v>
      </c>
      <c r="H79" s="16">
        <f t="shared" si="40"/>
        <v>2.964506172839506E-2</v>
      </c>
      <c r="I79" s="16">
        <f t="shared" si="40"/>
        <v>2.8037551440329218E-2</v>
      </c>
      <c r="J79" s="16">
        <f t="shared" si="40"/>
        <v>2.6697959533607679E-2</v>
      </c>
      <c r="K79" s="16">
        <f t="shared" si="40"/>
        <v>2.5581632944673069E-2</v>
      </c>
      <c r="L79" s="16">
        <f t="shared" si="40"/>
        <v>2.4651360787227558E-2</v>
      </c>
      <c r="M79" s="16">
        <f t="shared" si="40"/>
        <v>2.3876133989356299E-2</v>
      </c>
      <c r="N79" s="16">
        <f t="shared" si="40"/>
        <v>2.3230111657796915E-2</v>
      </c>
    </row>
    <row r="80" spans="2:14" ht="14.25" x14ac:dyDescent="0.45">
      <c r="B80" s="193"/>
      <c r="C80" s="192"/>
      <c r="D80" s="15" t="s">
        <v>44</v>
      </c>
      <c r="E80" s="16"/>
      <c r="F80" s="16"/>
      <c r="G80" s="16"/>
      <c r="H80" s="16"/>
      <c r="I80" s="80">
        <f>AVERAGE(E79:I79)</f>
        <v>3.1962448559670779E-2</v>
      </c>
      <c r="J80" s="17"/>
      <c r="K80" s="17"/>
      <c r="L80" s="17"/>
      <c r="M80" s="17"/>
      <c r="N80" s="17">
        <f>AVERAGE(E79:N79)</f>
        <v>2.8384944171101545E-2</v>
      </c>
    </row>
    <row r="81" spans="2:14" ht="14.25" x14ac:dyDescent="0.45">
      <c r="B81" s="193"/>
      <c r="C81" s="192"/>
      <c r="D81" s="15" t="s">
        <v>42</v>
      </c>
      <c r="E81" s="16">
        <f>E$27</f>
        <v>3.6666666666666667E-2</v>
      </c>
      <c r="F81" s="16">
        <f t="shared" ref="F81:N81" si="41">F$27</f>
        <v>7.0555555555555552E-2</v>
      </c>
      <c r="G81" s="16">
        <f t="shared" si="41"/>
        <v>0.10212962962962963</v>
      </c>
      <c r="H81" s="16">
        <f t="shared" si="41"/>
        <v>0.13177469135802469</v>
      </c>
      <c r="I81" s="16">
        <f t="shared" si="41"/>
        <v>0.1598122427983539</v>
      </c>
      <c r="J81" s="16">
        <f t="shared" si="41"/>
        <v>0.18651020233196158</v>
      </c>
      <c r="K81" s="16">
        <f t="shared" si="41"/>
        <v>0.21209183527663467</v>
      </c>
      <c r="L81" s="16">
        <f t="shared" si="41"/>
        <v>0.23674319606386224</v>
      </c>
      <c r="M81" s="16">
        <f t="shared" si="41"/>
        <v>0.26061933005321852</v>
      </c>
      <c r="N81" s="16">
        <f t="shared" si="41"/>
        <v>0.28384944171101545</v>
      </c>
    </row>
    <row r="82" spans="2:14" ht="14.25" customHeight="1" x14ac:dyDescent="0.45">
      <c r="B82" s="193"/>
      <c r="C82" s="193"/>
      <c r="D82" s="19" t="s">
        <v>45</v>
      </c>
      <c r="E82" s="20">
        <f t="shared" ref="E82:N82" si="42">10*E79</f>
        <v>0.3666666666666667</v>
      </c>
      <c r="F82" s="20">
        <f t="shared" si="42"/>
        <v>0.33888888888888885</v>
      </c>
      <c r="G82" s="20">
        <f t="shared" si="42"/>
        <v>0.31574074074074077</v>
      </c>
      <c r="H82" s="20">
        <f t="shared" si="42"/>
        <v>0.29645061728395061</v>
      </c>
      <c r="I82" s="20">
        <f t="shared" si="42"/>
        <v>0.28037551440329217</v>
      </c>
      <c r="J82" s="20">
        <f t="shared" si="42"/>
        <v>0.26697959533607679</v>
      </c>
      <c r="K82" s="20">
        <f t="shared" si="42"/>
        <v>0.25581632944673072</v>
      </c>
      <c r="L82" s="20">
        <f t="shared" si="42"/>
        <v>0.24651360787227558</v>
      </c>
      <c r="M82" s="20">
        <f t="shared" si="42"/>
        <v>0.23876133989356299</v>
      </c>
      <c r="N82" s="20">
        <f t="shared" si="42"/>
        <v>0.23230111657796915</v>
      </c>
    </row>
    <row r="83" spans="2:14" ht="14.25" x14ac:dyDescent="0.45">
      <c r="B83" s="193"/>
      <c r="C83" s="193"/>
      <c r="D83" s="19" t="s">
        <v>46</v>
      </c>
      <c r="E83" s="20">
        <f>10*E81</f>
        <v>0.3666666666666667</v>
      </c>
      <c r="F83" s="20">
        <f t="shared" ref="F83:N83" si="43">10*F81</f>
        <v>0.70555555555555549</v>
      </c>
      <c r="G83" s="20">
        <f t="shared" si="43"/>
        <v>1.0212962962962964</v>
      </c>
      <c r="H83" s="20">
        <f t="shared" si="43"/>
        <v>1.3177469135802469</v>
      </c>
      <c r="I83" s="20">
        <f t="shared" si="43"/>
        <v>1.5981224279835391</v>
      </c>
      <c r="J83" s="20">
        <f t="shared" si="43"/>
        <v>1.8651020233196158</v>
      </c>
      <c r="K83" s="20">
        <f t="shared" si="43"/>
        <v>2.1209183527663464</v>
      </c>
      <c r="L83" s="20">
        <f t="shared" si="43"/>
        <v>2.3674319606386223</v>
      </c>
      <c r="M83" s="20">
        <f t="shared" si="43"/>
        <v>2.6061933005321851</v>
      </c>
      <c r="N83" s="20">
        <f t="shared" si="43"/>
        <v>2.8384944171101543</v>
      </c>
    </row>
    <row r="84" spans="2:14" ht="14.25" x14ac:dyDescent="0.45">
      <c r="B84" s="193"/>
      <c r="C84" s="191" t="s">
        <v>36</v>
      </c>
      <c r="D84" s="15" t="s">
        <v>43</v>
      </c>
      <c r="E84" s="16">
        <f>E79*E$15/$E$4</f>
        <v>4.3999999999999997E-2</v>
      </c>
      <c r="F84" s="16">
        <f t="shared" ref="F84:N84" si="44">F79*F$15/$E$4</f>
        <v>4.8799999999999989E-2</v>
      </c>
      <c r="G84" s="16">
        <f t="shared" si="44"/>
        <v>5.4559999999999997E-2</v>
      </c>
      <c r="H84" s="16">
        <f t="shared" si="44"/>
        <v>6.1471999999999999E-2</v>
      </c>
      <c r="I84" s="16">
        <f t="shared" si="44"/>
        <v>6.9766400000000006E-2</v>
      </c>
      <c r="J84" s="16">
        <f t="shared" si="44"/>
        <v>7.9719680000000001E-2</v>
      </c>
      <c r="K84" s="16">
        <f t="shared" si="44"/>
        <v>9.1663616000000003E-2</v>
      </c>
      <c r="L84" s="16">
        <f t="shared" si="44"/>
        <v>0.1059963392</v>
      </c>
      <c r="M84" s="16">
        <f t="shared" si="44"/>
        <v>0.12319560704000002</v>
      </c>
      <c r="N84" s="16">
        <f t="shared" si="44"/>
        <v>0.14383472844799999</v>
      </c>
    </row>
    <row r="85" spans="2:14" ht="14.25" x14ac:dyDescent="0.45">
      <c r="B85" s="193"/>
      <c r="C85" s="192"/>
      <c r="D85" s="15" t="s">
        <v>44</v>
      </c>
      <c r="E85" s="16"/>
      <c r="F85" s="16"/>
      <c r="G85" s="16"/>
      <c r="H85" s="16"/>
      <c r="I85" s="17">
        <f>AVERAGE(E84:I84)</f>
        <v>5.5719680000000008E-2</v>
      </c>
      <c r="J85" s="17"/>
      <c r="K85" s="17"/>
      <c r="L85" s="17"/>
      <c r="M85" s="17"/>
      <c r="N85" s="17">
        <f>AVERAGE(E84:N84)</f>
        <v>8.2300837068800009E-2</v>
      </c>
    </row>
    <row r="86" spans="2:14" ht="14.25" x14ac:dyDescent="0.45">
      <c r="B86" s="193"/>
      <c r="C86" s="193"/>
      <c r="D86" s="19" t="s">
        <v>45</v>
      </c>
      <c r="E86" s="23">
        <f t="shared" ref="E86:F86" si="45">E82*E$15</f>
        <v>44000</v>
      </c>
      <c r="F86" s="23">
        <f t="shared" si="45"/>
        <v>48799.999999999993</v>
      </c>
      <c r="G86" s="23">
        <f>G82*G$15</f>
        <v>54560.000000000007</v>
      </c>
      <c r="H86" s="23">
        <f>H82*H$15</f>
        <v>61472</v>
      </c>
      <c r="I86" s="23">
        <f>I82*I$15</f>
        <v>69766.399999999994</v>
      </c>
      <c r="J86" s="23">
        <f t="shared" ref="J86:N86" si="46">J82*J$15</f>
        <v>79719.679999999993</v>
      </c>
      <c r="K86" s="23">
        <f t="shared" si="46"/>
        <v>91663.616000000024</v>
      </c>
      <c r="L86" s="23">
        <f t="shared" si="46"/>
        <v>105996.3392</v>
      </c>
      <c r="M86" s="23">
        <f t="shared" si="46"/>
        <v>123195.60704</v>
      </c>
      <c r="N86" s="23">
        <f t="shared" si="46"/>
        <v>143834.72844799998</v>
      </c>
    </row>
    <row r="87" spans="2:14" ht="14.25" customHeight="1" x14ac:dyDescent="0.45">
      <c r="B87" s="193"/>
      <c r="C87" s="193"/>
      <c r="D87" s="19" t="s">
        <v>47</v>
      </c>
      <c r="E87" s="24"/>
      <c r="F87" s="24"/>
      <c r="G87" s="24"/>
      <c r="H87" s="24"/>
      <c r="I87" s="23">
        <f>AVERAGE(E86:I86)</f>
        <v>55719.680000000008</v>
      </c>
      <c r="J87" s="23"/>
      <c r="K87" s="23"/>
      <c r="L87" s="23"/>
      <c r="M87" s="23"/>
      <c r="N87" s="23">
        <f>AVERAGE(E86:N86)</f>
        <v>82300.8370688</v>
      </c>
    </row>
    <row r="88" spans="2:14" ht="14.25" x14ac:dyDescent="0.45">
      <c r="B88" s="193"/>
      <c r="C88" s="193"/>
      <c r="D88" s="19" t="s">
        <v>46</v>
      </c>
      <c r="E88" s="24">
        <f>E86</f>
        <v>44000</v>
      </c>
      <c r="F88" s="24">
        <f t="shared" ref="F88" si="47">E88+F86</f>
        <v>92800</v>
      </c>
      <c r="G88" s="24">
        <f>F88+G86</f>
        <v>147360</v>
      </c>
      <c r="H88" s="24">
        <f t="shared" ref="H88:I88" si="48">G88+H86</f>
        <v>208832</v>
      </c>
      <c r="I88" s="24">
        <f t="shared" si="48"/>
        <v>278598.40000000002</v>
      </c>
      <c r="J88" s="24">
        <f>I88+J86</f>
        <v>358318.08000000002</v>
      </c>
      <c r="K88" s="24">
        <f t="shared" ref="K88:N88" si="49">J88+K86</f>
        <v>449981.69600000005</v>
      </c>
      <c r="L88" s="24">
        <f t="shared" si="49"/>
        <v>555978.03520000004</v>
      </c>
      <c r="M88" s="24">
        <f t="shared" si="49"/>
        <v>679173.64224000007</v>
      </c>
      <c r="N88" s="24">
        <f t="shared" si="49"/>
        <v>823008.370688</v>
      </c>
    </row>
    <row r="89" spans="2:14" ht="14.25" x14ac:dyDescent="0.45">
      <c r="B89" s="193"/>
      <c r="C89" s="191" t="s">
        <v>35</v>
      </c>
      <c r="D89" s="15" t="s">
        <v>43</v>
      </c>
      <c r="E89" s="16">
        <f>E81*E$15/$E$4</f>
        <v>4.3999999999999997E-2</v>
      </c>
      <c r="F89" s="16">
        <f>F81*F$15/$E$4-E89</f>
        <v>5.7599999999999998E-2</v>
      </c>
      <c r="G89" s="16">
        <f>G81*G$15/$E$4-F89-E89</f>
        <v>7.4880000000000002E-2</v>
      </c>
      <c r="H89" s="16">
        <f>H81*H$15/$E$4-G89-F89-E89</f>
        <v>9.6768000000000007E-2</v>
      </c>
      <c r="I89" s="16">
        <f>I81*I$15/$E$4-H89-G89-F89-E89</f>
        <v>0.12441600000000001</v>
      </c>
      <c r="J89" s="16">
        <f>J81*J$15/$E$4-I89-H89-G89-F89-E89</f>
        <v>0.15925248000000003</v>
      </c>
      <c r="K89" s="16">
        <f>K81*K$15/$E$4-J89-I89-H89-G89-F89-E89</f>
        <v>0.20304691200000002</v>
      </c>
      <c r="L89" s="16">
        <f>L81*L$15/$E$4-K89-J89-I89-H89-G89-F89-E89</f>
        <v>0.25798901760000009</v>
      </c>
      <c r="M89" s="16">
        <f>M81*M$15/$E$4-L89-K89-J89-I89-H89-G89-F89-E89</f>
        <v>0.32678608896000005</v>
      </c>
      <c r="N89" s="16">
        <f>N81*N$15/$E$4-M89-L89-K89-J89-I89-H89-G89-F89-E89</f>
        <v>0.41278242815999983</v>
      </c>
    </row>
    <row r="90" spans="2:14" ht="14.25" x14ac:dyDescent="0.45">
      <c r="B90" s="193"/>
      <c r="C90" s="192"/>
      <c r="D90" s="15" t="s">
        <v>44</v>
      </c>
      <c r="E90" s="17"/>
      <c r="F90" s="17"/>
      <c r="G90" s="17"/>
      <c r="H90" s="17"/>
      <c r="I90" s="17">
        <f>AVERAGE(E89:I89)</f>
        <v>7.9532800000000001E-2</v>
      </c>
      <c r="J90" s="17"/>
      <c r="K90" s="17"/>
      <c r="L90" s="17"/>
      <c r="M90" s="17"/>
      <c r="N90" s="17">
        <f>AVERAGE(E89:N89)</f>
        <v>0.17575209267200001</v>
      </c>
    </row>
    <row r="91" spans="2:14" ht="14.25" x14ac:dyDescent="0.45">
      <c r="B91" s="193"/>
      <c r="C91" s="193"/>
      <c r="D91" s="19" t="s">
        <v>45</v>
      </c>
      <c r="E91" s="23">
        <f>E93</f>
        <v>44000</v>
      </c>
      <c r="F91" s="23">
        <f>F93-E93</f>
        <v>57599.999999999985</v>
      </c>
      <c r="G91" s="23">
        <f>G93-F93</f>
        <v>74880.000000000015</v>
      </c>
      <c r="H91" s="23">
        <f>H93-G93</f>
        <v>96768</v>
      </c>
      <c r="I91" s="23">
        <f>I93-H93</f>
        <v>124416</v>
      </c>
      <c r="J91" s="23">
        <f>J93-I93</f>
        <v>159252.47999999998</v>
      </c>
      <c r="K91" s="23">
        <f t="shared" ref="K91:N91" si="50">K93-J93</f>
        <v>203046.91200000001</v>
      </c>
      <c r="L91" s="23">
        <f t="shared" si="50"/>
        <v>257989.01760000002</v>
      </c>
      <c r="M91" s="23">
        <f t="shared" si="50"/>
        <v>326786.08895999996</v>
      </c>
      <c r="N91" s="23">
        <f t="shared" si="50"/>
        <v>412782.42815999989</v>
      </c>
    </row>
    <row r="92" spans="2:14" ht="14.25" x14ac:dyDescent="0.45">
      <c r="B92" s="193"/>
      <c r="C92" s="193"/>
      <c r="D92" s="19" t="s">
        <v>47</v>
      </c>
      <c r="E92" s="23"/>
      <c r="F92" s="23"/>
      <c r="G92" s="23"/>
      <c r="H92" s="23"/>
      <c r="I92" s="23">
        <f>AVERAGE(E91:I91)</f>
        <v>79532.800000000003</v>
      </c>
      <c r="J92" s="23"/>
      <c r="K92" s="23"/>
      <c r="L92" s="23"/>
      <c r="M92" s="23"/>
      <c r="N92" s="23">
        <f>AVERAGE(E91:N91)</f>
        <v>175752.092672</v>
      </c>
    </row>
    <row r="93" spans="2:14" ht="14.25" x14ac:dyDescent="0.45">
      <c r="B93" s="193"/>
      <c r="C93" s="193"/>
      <c r="D93" s="19" t="s">
        <v>46</v>
      </c>
      <c r="E93" s="24">
        <f t="shared" ref="E93:F93" si="51">E83*E$15</f>
        <v>44000</v>
      </c>
      <c r="F93" s="24">
        <f t="shared" si="51"/>
        <v>101599.99999999999</v>
      </c>
      <c r="G93" s="24">
        <f>G83*G$15</f>
        <v>176480</v>
      </c>
      <c r="H93" s="24">
        <f>H83*H$15</f>
        <v>273248</v>
      </c>
      <c r="I93" s="24">
        <f>I83*I$15</f>
        <v>397664</v>
      </c>
      <c r="J93" s="24">
        <f t="shared" ref="J93:N93" si="52">J83*J$15</f>
        <v>556916.47999999998</v>
      </c>
      <c r="K93" s="24">
        <f t="shared" si="52"/>
        <v>759963.39199999999</v>
      </c>
      <c r="L93" s="24">
        <f t="shared" si="52"/>
        <v>1017952.4096</v>
      </c>
      <c r="M93" s="24">
        <f t="shared" si="52"/>
        <v>1344738.49856</v>
      </c>
      <c r="N93" s="24">
        <f t="shared" si="52"/>
        <v>1757520.9267199999</v>
      </c>
    </row>
    <row r="94" spans="2:14" ht="14.25" x14ac:dyDescent="0.45">
      <c r="B94" s="193" t="s">
        <v>17</v>
      </c>
      <c r="C94" s="192" t="s">
        <v>32</v>
      </c>
      <c r="D94" s="15" t="s">
        <v>43</v>
      </c>
      <c r="E94" s="16">
        <f>E$28</f>
        <v>1.8333333333333333E-2</v>
      </c>
      <c r="F94" s="16">
        <f t="shared" ref="F94:N94" si="53">F$28</f>
        <v>1.6944444444444443E-2</v>
      </c>
      <c r="G94" s="16">
        <f t="shared" si="53"/>
        <v>1.5787037037037037E-2</v>
      </c>
      <c r="H94" s="16">
        <f t="shared" si="53"/>
        <v>1.482253086419753E-2</v>
      </c>
      <c r="I94" s="16">
        <f t="shared" si="53"/>
        <v>1.4018775720164609E-2</v>
      </c>
      <c r="J94" s="16">
        <f t="shared" si="53"/>
        <v>1.334897976680384E-2</v>
      </c>
      <c r="K94" s="16">
        <f t="shared" si="53"/>
        <v>1.2790816472336534E-2</v>
      </c>
      <c r="L94" s="16">
        <f t="shared" si="53"/>
        <v>1.2325680393613779E-2</v>
      </c>
      <c r="M94" s="16">
        <f t="shared" si="53"/>
        <v>1.193806699467815E-2</v>
      </c>
      <c r="N94" s="16">
        <f t="shared" si="53"/>
        <v>1.1615055828898458E-2</v>
      </c>
    </row>
    <row r="95" spans="2:14" ht="14.25" x14ac:dyDescent="0.45">
      <c r="B95" s="193"/>
      <c r="C95" s="192"/>
      <c r="D95" s="15" t="s">
        <v>44</v>
      </c>
      <c r="E95" s="16"/>
      <c r="F95" s="16"/>
      <c r="G95" s="16"/>
      <c r="H95" s="16"/>
      <c r="I95" s="80">
        <f>AVERAGE(E94:I94)</f>
        <v>1.598122427983539E-2</v>
      </c>
      <c r="J95" s="17"/>
      <c r="K95" s="17"/>
      <c r="L95" s="17"/>
      <c r="M95" s="17"/>
      <c r="N95" s="17">
        <f>AVERAGE(E94:N94)</f>
        <v>1.4192472085550772E-2</v>
      </c>
    </row>
    <row r="96" spans="2:14" ht="14.25" x14ac:dyDescent="0.45">
      <c r="B96" s="193"/>
      <c r="C96" s="192"/>
      <c r="D96" s="15" t="s">
        <v>42</v>
      </c>
      <c r="E96" s="16">
        <f t="shared" ref="E96:N96" si="54">E$30</f>
        <v>1.8333333333333333E-2</v>
      </c>
      <c r="F96" s="16">
        <f t="shared" si="54"/>
        <v>3.5277777777777776E-2</v>
      </c>
      <c r="G96" s="16">
        <f t="shared" si="54"/>
        <v>5.1064814814814813E-2</v>
      </c>
      <c r="H96" s="16">
        <f t="shared" si="54"/>
        <v>6.5887345679012346E-2</v>
      </c>
      <c r="I96" s="16">
        <f t="shared" si="54"/>
        <v>7.9906121399176952E-2</v>
      </c>
      <c r="J96" s="16">
        <f t="shared" si="54"/>
        <v>9.3255101165980792E-2</v>
      </c>
      <c r="K96" s="16">
        <f t="shared" si="54"/>
        <v>0.10604591763831733</v>
      </c>
      <c r="L96" s="16">
        <f t="shared" si="54"/>
        <v>0.11837159803193112</v>
      </c>
      <c r="M96" s="16">
        <f t="shared" si="54"/>
        <v>0.13030966502660926</v>
      </c>
      <c r="N96" s="16">
        <f t="shared" si="54"/>
        <v>0.14192472085550772</v>
      </c>
    </row>
    <row r="97" spans="2:14" ht="14.25" customHeight="1" x14ac:dyDescent="0.45">
      <c r="B97" s="193"/>
      <c r="C97" s="193"/>
      <c r="D97" s="19" t="s">
        <v>45</v>
      </c>
      <c r="E97" s="20">
        <f t="shared" ref="E97:N97" si="55">10*E94</f>
        <v>0.18333333333333335</v>
      </c>
      <c r="F97" s="20">
        <f t="shared" si="55"/>
        <v>0.16944444444444443</v>
      </c>
      <c r="G97" s="20">
        <f t="shared" si="55"/>
        <v>0.15787037037037038</v>
      </c>
      <c r="H97" s="20">
        <f t="shared" si="55"/>
        <v>0.14822530864197531</v>
      </c>
      <c r="I97" s="20">
        <f t="shared" si="55"/>
        <v>0.14018775720164608</v>
      </c>
      <c r="J97" s="20">
        <f t="shared" si="55"/>
        <v>0.1334897976680384</v>
      </c>
      <c r="K97" s="20">
        <f t="shared" si="55"/>
        <v>0.12790816472336536</v>
      </c>
      <c r="L97" s="20">
        <f t="shared" si="55"/>
        <v>0.12325680393613779</v>
      </c>
      <c r="M97" s="20">
        <f t="shared" si="55"/>
        <v>0.1193806699467815</v>
      </c>
      <c r="N97" s="20">
        <f t="shared" si="55"/>
        <v>0.11615055828898457</v>
      </c>
    </row>
    <row r="98" spans="2:14" ht="14.25" x14ac:dyDescent="0.45">
      <c r="B98" s="193"/>
      <c r="C98" s="193"/>
      <c r="D98" s="19" t="s">
        <v>46</v>
      </c>
      <c r="E98" s="20">
        <f>10*E96</f>
        <v>0.18333333333333335</v>
      </c>
      <c r="F98" s="20">
        <f t="shared" ref="F98:N98" si="56">10*F96</f>
        <v>0.35277777777777775</v>
      </c>
      <c r="G98" s="20">
        <f t="shared" si="56"/>
        <v>0.51064814814814818</v>
      </c>
      <c r="H98" s="20">
        <f t="shared" si="56"/>
        <v>0.65887345679012344</v>
      </c>
      <c r="I98" s="20">
        <f t="shared" si="56"/>
        <v>0.79906121399176955</v>
      </c>
      <c r="J98" s="20">
        <f t="shared" si="56"/>
        <v>0.93255101165980792</v>
      </c>
      <c r="K98" s="20">
        <f t="shared" si="56"/>
        <v>1.0604591763831732</v>
      </c>
      <c r="L98" s="20">
        <f t="shared" si="56"/>
        <v>1.1837159803193111</v>
      </c>
      <c r="M98" s="20">
        <f t="shared" si="56"/>
        <v>1.3030966502660926</v>
      </c>
      <c r="N98" s="20">
        <f t="shared" si="56"/>
        <v>1.4192472085550771</v>
      </c>
    </row>
    <row r="99" spans="2:14" ht="14.25" x14ac:dyDescent="0.45">
      <c r="B99" s="193"/>
      <c r="C99" s="191" t="s">
        <v>36</v>
      </c>
      <c r="D99" s="15" t="s">
        <v>43</v>
      </c>
      <c r="E99" s="16">
        <f t="shared" ref="E99:N99" si="57">E94*E$15/$E$4</f>
        <v>2.1999999999999999E-2</v>
      </c>
      <c r="F99" s="16">
        <f t="shared" si="57"/>
        <v>2.4399999999999995E-2</v>
      </c>
      <c r="G99" s="16">
        <f t="shared" si="57"/>
        <v>2.7279999999999999E-2</v>
      </c>
      <c r="H99" s="16">
        <f t="shared" si="57"/>
        <v>3.0735999999999999E-2</v>
      </c>
      <c r="I99" s="16">
        <f t="shared" si="57"/>
        <v>3.4883200000000003E-2</v>
      </c>
      <c r="J99" s="16">
        <f t="shared" si="57"/>
        <v>3.9859840000000001E-2</v>
      </c>
      <c r="K99" s="16">
        <f t="shared" si="57"/>
        <v>4.5831808000000002E-2</v>
      </c>
      <c r="L99" s="16">
        <f t="shared" si="57"/>
        <v>5.2998169599999999E-2</v>
      </c>
      <c r="M99" s="16">
        <f t="shared" si="57"/>
        <v>6.1597803520000008E-2</v>
      </c>
      <c r="N99" s="16">
        <f t="shared" si="57"/>
        <v>7.1917364223999997E-2</v>
      </c>
    </row>
    <row r="100" spans="2:14" ht="14.25" x14ac:dyDescent="0.45">
      <c r="B100" s="193"/>
      <c r="C100" s="192"/>
      <c r="D100" s="15" t="s">
        <v>44</v>
      </c>
      <c r="E100" s="16"/>
      <c r="F100" s="16"/>
      <c r="G100" s="16"/>
      <c r="H100" s="16"/>
      <c r="I100" s="17">
        <f>AVERAGE(E99:I99)</f>
        <v>2.7859840000000004E-2</v>
      </c>
      <c r="J100" s="17"/>
      <c r="K100" s="17"/>
      <c r="L100" s="17"/>
      <c r="M100" s="17"/>
      <c r="N100" s="17">
        <f>AVERAGE(E99:N99)</f>
        <v>4.1150418534400005E-2</v>
      </c>
    </row>
    <row r="101" spans="2:14" ht="14.25" x14ac:dyDescent="0.45">
      <c r="B101" s="193"/>
      <c r="C101" s="193"/>
      <c r="D101" s="19" t="s">
        <v>45</v>
      </c>
      <c r="E101" s="23">
        <f t="shared" ref="E101:N101" si="58">E97*E$15</f>
        <v>22000</v>
      </c>
      <c r="F101" s="23">
        <f t="shared" si="58"/>
        <v>24399.999999999996</v>
      </c>
      <c r="G101" s="23">
        <f>G97*G$15</f>
        <v>27280.000000000004</v>
      </c>
      <c r="H101" s="23">
        <f>H97*H$15</f>
        <v>30736</v>
      </c>
      <c r="I101" s="23">
        <f>I97*I$15</f>
        <v>34883.199999999997</v>
      </c>
      <c r="J101" s="23">
        <f t="shared" si="58"/>
        <v>39859.839999999997</v>
      </c>
      <c r="K101" s="23">
        <f t="shared" si="58"/>
        <v>45831.808000000012</v>
      </c>
      <c r="L101" s="23">
        <f t="shared" si="58"/>
        <v>52998.169600000001</v>
      </c>
      <c r="M101" s="23">
        <f t="shared" si="58"/>
        <v>61597.803520000001</v>
      </c>
      <c r="N101" s="23">
        <f t="shared" si="58"/>
        <v>71917.36422399999</v>
      </c>
    </row>
    <row r="102" spans="2:14" ht="14.25" customHeight="1" x14ac:dyDescent="0.45">
      <c r="B102" s="193"/>
      <c r="C102" s="193"/>
      <c r="D102" s="19" t="s">
        <v>47</v>
      </c>
      <c r="E102" s="24"/>
      <c r="F102" s="24"/>
      <c r="G102" s="24"/>
      <c r="H102" s="24"/>
      <c r="I102" s="23">
        <f>AVERAGE(E101:I101)</f>
        <v>27859.840000000004</v>
      </c>
      <c r="J102" s="23"/>
      <c r="K102" s="23"/>
      <c r="L102" s="23"/>
      <c r="M102" s="23"/>
      <c r="N102" s="23">
        <f>AVERAGE(E101:N101)</f>
        <v>41150.4185344</v>
      </c>
    </row>
    <row r="103" spans="2:14" ht="14.25" x14ac:dyDescent="0.45">
      <c r="B103" s="193"/>
      <c r="C103" s="193"/>
      <c r="D103" s="19" t="s">
        <v>46</v>
      </c>
      <c r="E103" s="24">
        <f>E101</f>
        <v>22000</v>
      </c>
      <c r="F103" s="24">
        <f t="shared" ref="F103:N103" si="59">E103+F101</f>
        <v>46400</v>
      </c>
      <c r="G103" s="24">
        <f>F103+G101</f>
        <v>73680</v>
      </c>
      <c r="H103" s="24">
        <f t="shared" si="59"/>
        <v>104416</v>
      </c>
      <c r="I103" s="24">
        <f t="shared" si="59"/>
        <v>139299.20000000001</v>
      </c>
      <c r="J103" s="24">
        <f>I103+J101</f>
        <v>179159.04000000001</v>
      </c>
      <c r="K103" s="24">
        <f t="shared" si="59"/>
        <v>224990.84800000003</v>
      </c>
      <c r="L103" s="24">
        <f t="shared" si="59"/>
        <v>277989.01760000002</v>
      </c>
      <c r="M103" s="24">
        <f t="shared" si="59"/>
        <v>339586.82112000004</v>
      </c>
      <c r="N103" s="24">
        <f t="shared" si="59"/>
        <v>411504.185344</v>
      </c>
    </row>
    <row r="104" spans="2:14" ht="14.25" x14ac:dyDescent="0.45">
      <c r="B104" s="193"/>
      <c r="C104" s="191" t="s">
        <v>35</v>
      </c>
      <c r="D104" s="15" t="s">
        <v>43</v>
      </c>
      <c r="E104" s="16">
        <f>E96*E$15/$E$4</f>
        <v>2.1999999999999999E-2</v>
      </c>
      <c r="F104" s="16">
        <f>F96*F$15/$E$4-E104</f>
        <v>2.8799999999999999E-2</v>
      </c>
      <c r="G104" s="16">
        <f>G96*G$15/$E$4-F104-E104</f>
        <v>3.7440000000000001E-2</v>
      </c>
      <c r="H104" s="16">
        <f>H96*H$15/$E$4-G104-F104-E104</f>
        <v>4.8384000000000003E-2</v>
      </c>
      <c r="I104" s="16">
        <f>I96*I$15/$E$4-H104-G104-F104-E104</f>
        <v>6.2208000000000006E-2</v>
      </c>
      <c r="J104" s="16">
        <f>J96*J$15/$E$4-I104-H104-G104-F104-E104</f>
        <v>7.9626240000000015E-2</v>
      </c>
      <c r="K104" s="16">
        <f>K96*K$15/$E$4-J104-I104-H104-G104-F104-E104</f>
        <v>0.10152345600000001</v>
      </c>
      <c r="L104" s="16">
        <f>L96*L$15/$E$4-K104-J104-I104-H104-G104-F104-E104</f>
        <v>0.12899450880000005</v>
      </c>
      <c r="M104" s="16">
        <f>M96*M$15/$E$4-L104-K104-J104-I104-H104-G104-F104-E104</f>
        <v>0.16339304448000003</v>
      </c>
      <c r="N104" s="16">
        <f>N96*N$15/$E$4-M104-L104-K104-J104-I104-H104-G104-F104-E104</f>
        <v>0.20639121407999991</v>
      </c>
    </row>
    <row r="105" spans="2:14" ht="14.25" x14ac:dyDescent="0.45">
      <c r="B105" s="193"/>
      <c r="C105" s="192"/>
      <c r="D105" s="15" t="s">
        <v>44</v>
      </c>
      <c r="E105" s="17"/>
      <c r="F105" s="17"/>
      <c r="G105" s="17"/>
      <c r="H105" s="17"/>
      <c r="I105" s="17">
        <f>AVERAGE(E104:I104)</f>
        <v>3.97664E-2</v>
      </c>
      <c r="J105" s="17"/>
      <c r="K105" s="17"/>
      <c r="L105" s="17"/>
      <c r="M105" s="17"/>
      <c r="N105" s="17">
        <f>AVERAGE(E104:N104)</f>
        <v>8.7876046336000005E-2</v>
      </c>
    </row>
    <row r="106" spans="2:14" ht="14.25" x14ac:dyDescent="0.45">
      <c r="B106" s="193"/>
      <c r="C106" s="193"/>
      <c r="D106" s="19" t="s">
        <v>45</v>
      </c>
      <c r="E106" s="23">
        <f>E108</f>
        <v>22000</v>
      </c>
      <c r="F106" s="23">
        <f>F108-E108</f>
        <v>28799.999999999993</v>
      </c>
      <c r="G106" s="23">
        <f>G108-F108</f>
        <v>37440.000000000007</v>
      </c>
      <c r="H106" s="23">
        <f>H108-G108</f>
        <v>48384</v>
      </c>
      <c r="I106" s="23">
        <f>I108-H108</f>
        <v>62208</v>
      </c>
      <c r="J106" s="23">
        <f>J108-I108</f>
        <v>79626.239999999991</v>
      </c>
      <c r="K106" s="23">
        <f t="shared" ref="K106:N106" si="60">K108-J108</f>
        <v>101523.45600000001</v>
      </c>
      <c r="L106" s="23">
        <f t="shared" si="60"/>
        <v>128994.50880000001</v>
      </c>
      <c r="M106" s="23">
        <f t="shared" si="60"/>
        <v>163393.04447999998</v>
      </c>
      <c r="N106" s="23">
        <f t="shared" si="60"/>
        <v>206391.21407999995</v>
      </c>
    </row>
    <row r="107" spans="2:14" ht="15" customHeight="1" x14ac:dyDescent="0.45">
      <c r="B107" s="193"/>
      <c r="C107" s="193"/>
      <c r="D107" s="19" t="s">
        <v>47</v>
      </c>
      <c r="E107" s="23"/>
      <c r="F107" s="23"/>
      <c r="G107" s="23"/>
      <c r="H107" s="23"/>
      <c r="I107" s="23">
        <f>AVERAGE(E106:I106)</f>
        <v>39766.400000000001</v>
      </c>
      <c r="J107" s="23"/>
      <c r="K107" s="23"/>
      <c r="L107" s="23"/>
      <c r="M107" s="23"/>
      <c r="N107" s="23">
        <f>AVERAGE(E106:N106)</f>
        <v>87876.046335999999</v>
      </c>
    </row>
    <row r="108" spans="2:14" ht="14.25" x14ac:dyDescent="0.45">
      <c r="B108" s="193"/>
      <c r="C108" s="193"/>
      <c r="D108" s="19" t="s">
        <v>46</v>
      </c>
      <c r="E108" s="24">
        <f t="shared" ref="E108:N108" si="61">E98*E$15</f>
        <v>22000</v>
      </c>
      <c r="F108" s="24">
        <f t="shared" si="61"/>
        <v>50799.999999999993</v>
      </c>
      <c r="G108" s="24">
        <f>G98*G$15</f>
        <v>88240</v>
      </c>
      <c r="H108" s="24">
        <f>H98*H$15</f>
        <v>136624</v>
      </c>
      <c r="I108" s="24">
        <f>I98*I$15</f>
        <v>198832</v>
      </c>
      <c r="J108" s="24">
        <f t="shared" si="61"/>
        <v>278458.23999999999</v>
      </c>
      <c r="K108" s="24">
        <f t="shared" si="61"/>
        <v>379981.696</v>
      </c>
      <c r="L108" s="24">
        <f t="shared" si="61"/>
        <v>508976.20480000001</v>
      </c>
      <c r="M108" s="24">
        <f t="shared" si="61"/>
        <v>672369.24927999999</v>
      </c>
      <c r="N108" s="24">
        <f t="shared" si="61"/>
        <v>878760.46335999994</v>
      </c>
    </row>
    <row r="109" spans="2:14" ht="14.25" x14ac:dyDescent="0.45">
      <c r="B109" s="193" t="s">
        <v>18</v>
      </c>
      <c r="C109" s="192" t="s">
        <v>32</v>
      </c>
      <c r="D109" s="15" t="s">
        <v>43</v>
      </c>
      <c r="E109" s="16">
        <f>E66+E79+E94-E34-E50</f>
        <v>8.416666666666664E-2</v>
      </c>
      <c r="F109" s="16">
        <f t="shared" ref="F109:N109" si="62">F66+F79+F94-F34-F50</f>
        <v>7.5138888888888908E-2</v>
      </c>
      <c r="G109" s="16">
        <f t="shared" si="62"/>
        <v>6.7615740740740712E-2</v>
      </c>
      <c r="H109" s="16">
        <f t="shared" si="62"/>
        <v>6.1346450617283985E-2</v>
      </c>
      <c r="I109" s="16">
        <f t="shared" si="62"/>
        <v>5.6122042181069927E-2</v>
      </c>
      <c r="J109" s="16">
        <f t="shared" si="62"/>
        <v>5.1768368484225051E-2</v>
      </c>
      <c r="K109" s="16">
        <f t="shared" si="62"/>
        <v>4.8140307070187439E-2</v>
      </c>
      <c r="L109" s="16">
        <f t="shared" si="62"/>
        <v>4.5116922558489529E-2</v>
      </c>
      <c r="M109" s="16">
        <f t="shared" si="62"/>
        <v>4.2597435465407896E-2</v>
      </c>
      <c r="N109" s="16">
        <f t="shared" si="62"/>
        <v>4.0497862887840019E-2</v>
      </c>
    </row>
    <row r="110" spans="2:14" ht="14.25" x14ac:dyDescent="0.45">
      <c r="B110" s="193"/>
      <c r="C110" s="192"/>
      <c r="D110" s="15" t="s">
        <v>44</v>
      </c>
      <c r="E110" s="16"/>
      <c r="F110" s="16"/>
      <c r="G110" s="16"/>
      <c r="H110" s="16"/>
      <c r="I110" s="38">
        <f>AVERAGE(E109:I109)</f>
        <v>6.8877957818930038E-2</v>
      </c>
      <c r="J110" s="16"/>
      <c r="K110" s="16"/>
      <c r="L110" s="16"/>
      <c r="M110" s="16"/>
      <c r="N110" s="17">
        <f>AVERAGE(E109:N109)</f>
        <v>5.7251068556080018E-2</v>
      </c>
    </row>
    <row r="111" spans="2:14" ht="14.25" x14ac:dyDescent="0.45">
      <c r="B111" s="193"/>
      <c r="C111" s="192"/>
      <c r="D111" s="15" t="s">
        <v>42</v>
      </c>
      <c r="E111" s="16">
        <f>E68+E81+E96-E36-E52</f>
        <v>8.416666666666664E-2</v>
      </c>
      <c r="F111" s="16">
        <f t="shared" ref="F111:N111" si="63">F68+F81+F96-F36-F52</f>
        <v>0.15930555555555564</v>
      </c>
      <c r="G111" s="16">
        <f t="shared" si="63"/>
        <v>0.2269212962962962</v>
      </c>
      <c r="H111" s="16">
        <f t="shared" si="63"/>
        <v>0.28826774691358037</v>
      </c>
      <c r="I111" s="16">
        <f t="shared" si="63"/>
        <v>0.34438978909465007</v>
      </c>
      <c r="J111" s="16">
        <f t="shared" si="63"/>
        <v>0.39615815757887585</v>
      </c>
      <c r="K111" s="16">
        <f t="shared" si="63"/>
        <v>0.44429846464906231</v>
      </c>
      <c r="L111" s="16">
        <f t="shared" si="63"/>
        <v>0.48941538720755184</v>
      </c>
      <c r="M111" s="16">
        <f t="shared" si="63"/>
        <v>0.53201282267295891</v>
      </c>
      <c r="N111" s="16">
        <f t="shared" si="63"/>
        <v>0.57251068556080087</v>
      </c>
    </row>
    <row r="112" spans="2:14" ht="14.25" x14ac:dyDescent="0.45">
      <c r="B112" s="193"/>
      <c r="C112" s="193"/>
      <c r="D112" s="19" t="s">
        <v>45</v>
      </c>
      <c r="E112" s="20">
        <f>10*E109</f>
        <v>0.84166666666666634</v>
      </c>
      <c r="F112" s="20">
        <f t="shared" ref="F112:N112" si="64">10*F109</f>
        <v>0.75138888888888911</v>
      </c>
      <c r="G112" s="20">
        <f t="shared" si="64"/>
        <v>0.67615740740740715</v>
      </c>
      <c r="H112" s="20">
        <f t="shared" si="64"/>
        <v>0.61346450617283987</v>
      </c>
      <c r="I112" s="20">
        <f t="shared" si="64"/>
        <v>0.56122042181069931</v>
      </c>
      <c r="J112" s="20">
        <f t="shared" si="64"/>
        <v>0.51768368484225047</v>
      </c>
      <c r="K112" s="20">
        <f t="shared" si="64"/>
        <v>0.48140307070187438</v>
      </c>
      <c r="L112" s="20">
        <f t="shared" si="64"/>
        <v>0.45116922558489531</v>
      </c>
      <c r="M112" s="20">
        <f t="shared" si="64"/>
        <v>0.42597435465407896</v>
      </c>
      <c r="N112" s="20">
        <f t="shared" si="64"/>
        <v>0.40497862887840019</v>
      </c>
    </row>
    <row r="113" spans="1:15" ht="14.25" x14ac:dyDescent="0.45">
      <c r="B113" s="193"/>
      <c r="C113" s="193"/>
      <c r="D113" s="19" t="s">
        <v>46</v>
      </c>
      <c r="E113" s="20">
        <f>10*E111</f>
        <v>0.84166666666666634</v>
      </c>
      <c r="F113" s="20">
        <f>10*F111</f>
        <v>1.5930555555555563</v>
      </c>
      <c r="G113" s="20">
        <f>10*G111</f>
        <v>2.2692129629629623</v>
      </c>
      <c r="H113" s="20">
        <f t="shared" ref="H113:N113" si="65">10*H111</f>
        <v>2.8826774691358037</v>
      </c>
      <c r="I113" s="20">
        <f t="shared" si="65"/>
        <v>3.4438978909465008</v>
      </c>
      <c r="J113" s="20">
        <f t="shared" si="65"/>
        <v>3.9615815757887587</v>
      </c>
      <c r="K113" s="20">
        <f t="shared" si="65"/>
        <v>4.4429846464906229</v>
      </c>
      <c r="L113" s="20">
        <f t="shared" si="65"/>
        <v>4.8941538720755187</v>
      </c>
      <c r="M113" s="20">
        <f t="shared" si="65"/>
        <v>5.3201282267295893</v>
      </c>
      <c r="N113" s="20">
        <f t="shared" si="65"/>
        <v>5.7251068556080087</v>
      </c>
    </row>
    <row r="114" spans="1:15" ht="14.25" x14ac:dyDescent="0.45">
      <c r="B114" s="193"/>
      <c r="C114" s="191" t="s">
        <v>36</v>
      </c>
      <c r="D114" s="15" t="s">
        <v>43</v>
      </c>
      <c r="E114" s="16">
        <f>E71+E84+E99-E39-E55</f>
        <v>0.10100000000000002</v>
      </c>
      <c r="F114" s="16">
        <f t="shared" ref="F114:N114" si="66">F71+F84+F99-F39-F55</f>
        <v>0.1082</v>
      </c>
      <c r="G114" s="16">
        <f t="shared" si="66"/>
        <v>0.11683999999999987</v>
      </c>
      <c r="H114" s="16">
        <f t="shared" si="66"/>
        <v>0.12720800000000004</v>
      </c>
      <c r="I114" s="16">
        <f t="shared" si="66"/>
        <v>0.13964959999999998</v>
      </c>
      <c r="J114" s="16">
        <f t="shared" si="66"/>
        <v>0.15457952000000019</v>
      </c>
      <c r="K114" s="16">
        <f t="shared" si="66"/>
        <v>0.1724954239999999</v>
      </c>
      <c r="L114" s="16">
        <f t="shared" si="66"/>
        <v>0.19399450879999991</v>
      </c>
      <c r="M114" s="16">
        <f t="shared" si="66"/>
        <v>0.21979341055999962</v>
      </c>
      <c r="N114" s="16">
        <f t="shared" si="66"/>
        <v>0.25075209267200033</v>
      </c>
    </row>
    <row r="115" spans="1:15" ht="14.25" x14ac:dyDescent="0.45">
      <c r="B115" s="193"/>
      <c r="C115" s="192"/>
      <c r="D115" s="15" t="s">
        <v>44</v>
      </c>
      <c r="E115" s="16"/>
      <c r="F115" s="16"/>
      <c r="G115" s="16"/>
      <c r="H115" s="16"/>
      <c r="I115" s="17">
        <f>AVERAGE(E114:I114)</f>
        <v>0.11857951999999998</v>
      </c>
      <c r="J115" s="17"/>
      <c r="K115" s="17"/>
      <c r="L115" s="17"/>
      <c r="M115" s="17"/>
      <c r="N115" s="17">
        <f>AVERAGE(E114:N114)</f>
        <v>0.1584512556032</v>
      </c>
    </row>
    <row r="116" spans="1:15" ht="14.25" x14ac:dyDescent="0.45">
      <c r="B116" s="193"/>
      <c r="C116" s="193"/>
      <c r="D116" s="19" t="s">
        <v>45</v>
      </c>
      <c r="E116" s="22">
        <f t="shared" ref="E116:N116" si="67">E112*E$15</f>
        <v>100999.99999999996</v>
      </c>
      <c r="F116" s="22">
        <f t="shared" si="67"/>
        <v>108200.00000000003</v>
      </c>
      <c r="G116" s="22">
        <f>G112*G$15</f>
        <v>116839.99999999996</v>
      </c>
      <c r="H116" s="22">
        <f>H112*H$15</f>
        <v>127208.00000000007</v>
      </c>
      <c r="I116" s="22">
        <f>I112*I$15</f>
        <v>139649.59999999992</v>
      </c>
      <c r="J116" s="22">
        <f t="shared" si="67"/>
        <v>154579.52000000025</v>
      </c>
      <c r="K116" s="22">
        <f t="shared" si="67"/>
        <v>172495.42399999988</v>
      </c>
      <c r="L116" s="22">
        <f t="shared" si="67"/>
        <v>193994.50879999987</v>
      </c>
      <c r="M116" s="22">
        <f t="shared" si="67"/>
        <v>219793.41055999964</v>
      </c>
      <c r="N116" s="22">
        <f t="shared" si="67"/>
        <v>250752.09267200029</v>
      </c>
    </row>
    <row r="117" spans="1:15" ht="14.25" x14ac:dyDescent="0.45">
      <c r="B117" s="193"/>
      <c r="C117" s="193"/>
      <c r="D117" s="19" t="s">
        <v>47</v>
      </c>
      <c r="E117" s="21"/>
      <c r="F117" s="21"/>
      <c r="G117" s="21"/>
      <c r="H117" s="21"/>
      <c r="I117" s="22">
        <f>AVERAGE(E116:I116)</f>
        <v>118579.51999999997</v>
      </c>
      <c r="J117" s="22"/>
      <c r="K117" s="22"/>
      <c r="L117" s="22"/>
      <c r="M117" s="22"/>
      <c r="N117" s="22">
        <f>AVERAGE(E116:N116)</f>
        <v>158451.25560319997</v>
      </c>
    </row>
    <row r="118" spans="1:15" ht="14.25" x14ac:dyDescent="0.45">
      <c r="B118" s="193"/>
      <c r="C118" s="193"/>
      <c r="D118" s="19" t="s">
        <v>46</v>
      </c>
      <c r="E118" s="21">
        <f>E116</f>
        <v>100999.99999999996</v>
      </c>
      <c r="F118" s="21">
        <f t="shared" ref="F118:N118" si="68">E118+F116</f>
        <v>209200</v>
      </c>
      <c r="G118" s="21">
        <f>F118+G116</f>
        <v>326039.99999999994</v>
      </c>
      <c r="H118" s="21">
        <f t="shared" si="68"/>
        <v>453248</v>
      </c>
      <c r="I118" s="21">
        <f t="shared" si="68"/>
        <v>592897.59999999986</v>
      </c>
      <c r="J118" s="21">
        <f>I118+J116</f>
        <v>747477.12000000011</v>
      </c>
      <c r="K118" s="21">
        <f t="shared" si="68"/>
        <v>919972.54399999999</v>
      </c>
      <c r="L118" s="21">
        <f t="shared" si="68"/>
        <v>1113967.0527999999</v>
      </c>
      <c r="M118" s="21">
        <f t="shared" si="68"/>
        <v>1333760.4633599995</v>
      </c>
      <c r="N118" s="21">
        <f t="shared" si="68"/>
        <v>1584512.5560319996</v>
      </c>
    </row>
    <row r="119" spans="1:15" ht="15" customHeight="1" x14ac:dyDescent="0.45">
      <c r="B119" s="193"/>
      <c r="C119" s="191" t="s">
        <v>35</v>
      </c>
      <c r="D119" s="15" t="s">
        <v>43</v>
      </c>
      <c r="E119" s="16">
        <f>E74+E89+E104-E42-E58</f>
        <v>0.10100000000000002</v>
      </c>
      <c r="F119" s="16">
        <f t="shared" ref="F119:N119" si="69">F74+F89+F104-F42-F58</f>
        <v>0.12840000000000001</v>
      </c>
      <c r="G119" s="16">
        <f t="shared" si="69"/>
        <v>0.16271999999999973</v>
      </c>
      <c r="H119" s="16">
        <f t="shared" si="69"/>
        <v>0.20563200000000048</v>
      </c>
      <c r="I119" s="16">
        <f t="shared" si="69"/>
        <v>0.25919999999999938</v>
      </c>
      <c r="J119" s="16">
        <f t="shared" si="69"/>
        <v>0.32596992000000219</v>
      </c>
      <c r="K119" s="16">
        <f t="shared" si="69"/>
        <v>0.40907980799999721</v>
      </c>
      <c r="L119" s="16">
        <f t="shared" si="69"/>
        <v>0.51239485439999943</v>
      </c>
      <c r="M119" s="16">
        <f t="shared" si="69"/>
        <v>0.64067272703999512</v>
      </c>
      <c r="N119" s="16">
        <f t="shared" si="69"/>
        <v>0.79976595456001343</v>
      </c>
    </row>
    <row r="120" spans="1:15" ht="15" customHeight="1" x14ac:dyDescent="0.45">
      <c r="B120" s="193"/>
      <c r="C120" s="192"/>
      <c r="D120" s="15" t="s">
        <v>44</v>
      </c>
      <c r="E120" s="17"/>
      <c r="F120" s="17"/>
      <c r="G120" s="17"/>
      <c r="H120" s="17"/>
      <c r="I120" s="17">
        <f>AVERAGE(E119:I119)</f>
        <v>0.17139039999999994</v>
      </c>
      <c r="J120" s="17"/>
      <c r="K120" s="17"/>
      <c r="L120" s="17"/>
      <c r="M120" s="17"/>
      <c r="N120" s="17">
        <f>AVERAGE(E119:N119)</f>
        <v>0.35448352640000075</v>
      </c>
    </row>
    <row r="121" spans="1:15" ht="15" customHeight="1" x14ac:dyDescent="0.45">
      <c r="B121" s="193"/>
      <c r="C121" s="193"/>
      <c r="D121" s="19" t="s">
        <v>45</v>
      </c>
      <c r="E121" s="22">
        <f>E123</f>
        <v>100999.99999999996</v>
      </c>
      <c r="F121" s="22">
        <f>F123-E123</f>
        <v>128400.00000000016</v>
      </c>
      <c r="G121" s="22">
        <f>G123-F123</f>
        <v>162719.99999999977</v>
      </c>
      <c r="H121" s="22">
        <f t="shared" ref="H121:N121" si="70">H123-G123</f>
        <v>205632.00000000035</v>
      </c>
      <c r="I121" s="22">
        <f t="shared" si="70"/>
        <v>259199.99999999942</v>
      </c>
      <c r="J121" s="22">
        <f>J123-I123</f>
        <v>325969.9200000026</v>
      </c>
      <c r="K121" s="22">
        <f t="shared" si="70"/>
        <v>409079.80799999647</v>
      </c>
      <c r="L121" s="22">
        <f t="shared" si="70"/>
        <v>512394.8543999996</v>
      </c>
      <c r="M121" s="22">
        <f t="shared" si="70"/>
        <v>640672.72703999514</v>
      </c>
      <c r="N121" s="22">
        <f t="shared" si="70"/>
        <v>799765.95456001069</v>
      </c>
    </row>
    <row r="122" spans="1:15" ht="15" customHeight="1" x14ac:dyDescent="0.45">
      <c r="A122" s="8"/>
      <c r="B122" s="193"/>
      <c r="C122" s="193"/>
      <c r="D122" s="19" t="s">
        <v>47</v>
      </c>
      <c r="E122" s="22"/>
      <c r="F122" s="22"/>
      <c r="G122" s="22"/>
      <c r="H122" s="22"/>
      <c r="I122" s="22">
        <f>AVERAGE(E121:I121)</f>
        <v>171390.39999999994</v>
      </c>
      <c r="J122" s="22"/>
      <c r="K122" s="22"/>
      <c r="L122" s="22"/>
      <c r="M122" s="22"/>
      <c r="N122" s="22">
        <f>AVERAGE(E121:N121)</f>
        <v>354483.52640000044</v>
      </c>
      <c r="O122" s="8"/>
    </row>
    <row r="123" spans="1:15" ht="15" customHeight="1" x14ac:dyDescent="0.45">
      <c r="B123" s="193"/>
      <c r="C123" s="193"/>
      <c r="D123" s="19" t="s">
        <v>46</v>
      </c>
      <c r="E123" s="21">
        <f t="shared" ref="E123:N123" si="71">E113*E$15</f>
        <v>100999.99999999996</v>
      </c>
      <c r="F123" s="21">
        <f t="shared" si="71"/>
        <v>229400.00000000012</v>
      </c>
      <c r="G123" s="21">
        <f>G113*G$15</f>
        <v>392119.99999999988</v>
      </c>
      <c r="H123" s="21">
        <f>H113*H$15</f>
        <v>597752.00000000023</v>
      </c>
      <c r="I123" s="21">
        <f>I113*I$15</f>
        <v>856951.99999999965</v>
      </c>
      <c r="J123" s="21">
        <f t="shared" si="71"/>
        <v>1182921.9200000023</v>
      </c>
      <c r="K123" s="21">
        <f t="shared" si="71"/>
        <v>1592001.7279999987</v>
      </c>
      <c r="L123" s="21">
        <f t="shared" si="71"/>
        <v>2104396.5823999983</v>
      </c>
      <c r="M123" s="21">
        <f t="shared" si="71"/>
        <v>2745069.3094399935</v>
      </c>
      <c r="N123" s="21">
        <f t="shared" si="71"/>
        <v>3544835.2640000042</v>
      </c>
    </row>
    <row r="124" spans="1:15" ht="15" customHeight="1" x14ac:dyDescent="0.45">
      <c r="B124" s="1"/>
      <c r="C124" s="1"/>
      <c r="D124" s="40"/>
      <c r="E124" s="10"/>
      <c r="F124" s="10"/>
      <c r="G124" s="10"/>
      <c r="H124" s="10"/>
      <c r="I124" s="10"/>
      <c r="J124" s="10"/>
      <c r="K124" s="10"/>
      <c r="L124" s="10"/>
      <c r="M124" s="10"/>
      <c r="N124" s="10"/>
    </row>
    <row r="125" spans="1:15" ht="15" customHeight="1" x14ac:dyDescent="0.45">
      <c r="B125" s="176" t="s">
        <v>116</v>
      </c>
      <c r="C125" s="178" t="s">
        <v>55</v>
      </c>
      <c r="D125" s="178" t="s">
        <v>54</v>
      </c>
      <c r="E125" s="174" t="s">
        <v>3</v>
      </c>
      <c r="F125" s="174" t="s">
        <v>4</v>
      </c>
      <c r="G125" s="174" t="s">
        <v>5</v>
      </c>
      <c r="H125" s="174" t="s">
        <v>6</v>
      </c>
      <c r="I125" s="174" t="s">
        <v>7</v>
      </c>
      <c r="J125" s="174" t="s">
        <v>8</v>
      </c>
      <c r="K125" s="174" t="s">
        <v>9</v>
      </c>
      <c r="L125" s="174" t="s">
        <v>10</v>
      </c>
      <c r="M125" s="174" t="s">
        <v>11</v>
      </c>
      <c r="N125" s="174" t="s">
        <v>12</v>
      </c>
    </row>
    <row r="126" spans="1:15" ht="15" customHeight="1" x14ac:dyDescent="0.45">
      <c r="B126" s="177"/>
      <c r="C126" s="179"/>
      <c r="D126" s="179"/>
      <c r="E126" s="175"/>
      <c r="F126" s="175"/>
      <c r="G126" s="175"/>
      <c r="H126" s="175"/>
      <c r="I126" s="175"/>
      <c r="J126" s="175"/>
      <c r="K126" s="175"/>
      <c r="L126" s="175"/>
      <c r="M126" s="175"/>
      <c r="N126" s="175"/>
    </row>
    <row r="127" spans="1:15" ht="15" customHeight="1" x14ac:dyDescent="0.45">
      <c r="B127" s="184" t="s">
        <v>137</v>
      </c>
      <c r="C127" s="182">
        <v>20000</v>
      </c>
      <c r="D127" s="44" t="s">
        <v>19</v>
      </c>
      <c r="E127" s="27">
        <f t="shared" ref="E127:N127" si="72">E$53/10*$C127/(2+$E$11)</f>
        <v>416.66666666666663</v>
      </c>
      <c r="F127" s="27">
        <f t="shared" si="72"/>
        <v>347.22222222222223</v>
      </c>
      <c r="G127" s="27">
        <f t="shared" si="72"/>
        <v>289.35185185185185</v>
      </c>
      <c r="H127" s="27">
        <f t="shared" si="72"/>
        <v>241.12654320987653</v>
      </c>
      <c r="I127" s="27">
        <f t="shared" si="72"/>
        <v>200.93878600823047</v>
      </c>
      <c r="J127" s="27">
        <f t="shared" si="72"/>
        <v>167.44898834019202</v>
      </c>
      <c r="K127" s="27">
        <f t="shared" si="72"/>
        <v>139.54082361682669</v>
      </c>
      <c r="L127" s="27">
        <f t="shared" si="72"/>
        <v>116.28401968068893</v>
      </c>
      <c r="M127" s="27">
        <f t="shared" si="72"/>
        <v>96.903349733907433</v>
      </c>
      <c r="N127" s="27">
        <f t="shared" si="72"/>
        <v>80.752791444922877</v>
      </c>
    </row>
    <row r="128" spans="1:15" ht="15" customHeight="1" x14ac:dyDescent="0.45">
      <c r="B128" s="185"/>
      <c r="C128" s="182"/>
      <c r="D128" s="19" t="s">
        <v>22</v>
      </c>
      <c r="E128" s="27"/>
      <c r="F128" s="27"/>
      <c r="G128" s="27"/>
      <c r="H128" s="27"/>
      <c r="I128" s="28">
        <f>AVERAGE(E127:I127)</f>
        <v>299.06121399176953</v>
      </c>
      <c r="J128" s="27"/>
      <c r="K128" s="27"/>
      <c r="L128" s="27"/>
      <c r="M128" s="27"/>
      <c r="N128" s="27">
        <f>AVERAGE(E127:N127)</f>
        <v>209.62360427753856</v>
      </c>
    </row>
    <row r="129" spans="2:14" ht="15" customHeight="1" x14ac:dyDescent="0.45">
      <c r="B129" s="185"/>
      <c r="C129" s="182"/>
      <c r="D129" s="19" t="s">
        <v>41</v>
      </c>
      <c r="E129" s="27">
        <f t="shared" ref="E129:N129" si="73">E$54/10*$C127/(2+$E$11)</f>
        <v>416.66666666666663</v>
      </c>
      <c r="F129" s="27">
        <f t="shared" si="73"/>
        <v>763.8888888888888</v>
      </c>
      <c r="G129" s="27">
        <f t="shared" si="73"/>
        <v>1053.2407407407411</v>
      </c>
      <c r="H129" s="27">
        <f t="shared" si="73"/>
        <v>1294.3672839506169</v>
      </c>
      <c r="I129" s="28">
        <f t="shared" si="73"/>
        <v>1495.3060699588482</v>
      </c>
      <c r="J129" s="27">
        <f t="shared" si="73"/>
        <v>1662.755058299038</v>
      </c>
      <c r="K129" s="27">
        <f t="shared" si="73"/>
        <v>1802.2958819158675</v>
      </c>
      <c r="L129" s="27">
        <f t="shared" si="73"/>
        <v>1918.5799015965567</v>
      </c>
      <c r="M129" s="27">
        <f t="shared" si="73"/>
        <v>2015.4832513304668</v>
      </c>
      <c r="N129" s="27">
        <f t="shared" si="73"/>
        <v>2096.2360427753829</v>
      </c>
    </row>
    <row r="130" spans="2:14" ht="15" customHeight="1" x14ac:dyDescent="0.45">
      <c r="B130" s="185"/>
      <c r="C130" s="182">
        <v>400000</v>
      </c>
      <c r="D130" s="44" t="s">
        <v>19</v>
      </c>
      <c r="E130" s="27">
        <f t="shared" ref="E130:N130" si="74">E$53/10*$C130/(2+$E$11)</f>
        <v>8333.3333333333321</v>
      </c>
      <c r="F130" s="27">
        <f t="shared" si="74"/>
        <v>6944.4444444444443</v>
      </c>
      <c r="G130" s="27">
        <f t="shared" si="74"/>
        <v>5787.0370370370374</v>
      </c>
      <c r="H130" s="27">
        <f t="shared" si="74"/>
        <v>4822.5308641975307</v>
      </c>
      <c r="I130" s="27">
        <f t="shared" si="74"/>
        <v>4018.7757201646095</v>
      </c>
      <c r="J130" s="27">
        <f t="shared" si="74"/>
        <v>3348.9797668038404</v>
      </c>
      <c r="K130" s="27">
        <f t="shared" si="74"/>
        <v>2790.8164723365335</v>
      </c>
      <c r="L130" s="27">
        <f t="shared" si="74"/>
        <v>2325.6803936137785</v>
      </c>
      <c r="M130" s="27">
        <f t="shared" si="74"/>
        <v>1938.0669946781486</v>
      </c>
      <c r="N130" s="27">
        <f t="shared" si="74"/>
        <v>1615.0558288984575</v>
      </c>
    </row>
    <row r="131" spans="2:14" ht="15" customHeight="1" x14ac:dyDescent="0.45">
      <c r="B131" s="185"/>
      <c r="C131" s="182"/>
      <c r="D131" s="19" t="s">
        <v>22</v>
      </c>
      <c r="E131" s="27"/>
      <c r="F131" s="27"/>
      <c r="G131" s="27"/>
      <c r="H131" s="27"/>
      <c r="I131" s="28">
        <f>AVERAGE(E130:I130)</f>
        <v>5981.2242798353909</v>
      </c>
      <c r="J131" s="27"/>
      <c r="K131" s="27"/>
      <c r="L131" s="27"/>
      <c r="M131" s="27"/>
      <c r="N131" s="27">
        <f>AVERAGE(E130:N130)</f>
        <v>4192.4720855507712</v>
      </c>
    </row>
    <row r="132" spans="2:14" ht="15" customHeight="1" x14ac:dyDescent="0.45">
      <c r="B132" s="185"/>
      <c r="C132" s="182"/>
      <c r="D132" s="19" t="s">
        <v>41</v>
      </c>
      <c r="E132" s="27">
        <f t="shared" ref="E132:N132" si="75">E$54/10*$C130/(2+$E$11)</f>
        <v>8333.3333333333321</v>
      </c>
      <c r="F132" s="27">
        <f t="shared" si="75"/>
        <v>15277.777777777776</v>
      </c>
      <c r="G132" s="27">
        <f t="shared" si="75"/>
        <v>21064.814814814821</v>
      </c>
      <c r="H132" s="27">
        <f t="shared" si="75"/>
        <v>25887.345679012335</v>
      </c>
      <c r="I132" s="28">
        <f t="shared" si="75"/>
        <v>29906.121399176965</v>
      </c>
      <c r="J132" s="27">
        <f t="shared" si="75"/>
        <v>33255.101165980763</v>
      </c>
      <c r="K132" s="27">
        <f t="shared" si="75"/>
        <v>36045.917638317347</v>
      </c>
      <c r="L132" s="27">
        <f t="shared" si="75"/>
        <v>38371.598031931135</v>
      </c>
      <c r="M132" s="27">
        <f t="shared" si="75"/>
        <v>40309.665026609335</v>
      </c>
      <c r="N132" s="27">
        <f t="shared" si="75"/>
        <v>41924.720855507658</v>
      </c>
    </row>
    <row r="133" spans="2:14" ht="15" customHeight="1" x14ac:dyDescent="0.45">
      <c r="B133" s="185"/>
      <c r="C133" s="183">
        <v>1000000</v>
      </c>
      <c r="D133" s="15" t="s">
        <v>19</v>
      </c>
      <c r="E133" s="29">
        <f t="shared" ref="E133:N133" si="76">E$53/10*$C133/(2+$E$11)</f>
        <v>20833.333333333332</v>
      </c>
      <c r="F133" s="29">
        <f t="shared" si="76"/>
        <v>17361.111111111113</v>
      </c>
      <c r="G133" s="29">
        <f t="shared" si="76"/>
        <v>14467.592592592593</v>
      </c>
      <c r="H133" s="29">
        <f t="shared" si="76"/>
        <v>12056.327160493827</v>
      </c>
      <c r="I133" s="29">
        <f t="shared" si="76"/>
        <v>10046.939300411523</v>
      </c>
      <c r="J133" s="29">
        <f t="shared" si="76"/>
        <v>8372.4494170096004</v>
      </c>
      <c r="K133" s="29">
        <f t="shared" si="76"/>
        <v>6977.0411808413337</v>
      </c>
      <c r="L133" s="29">
        <f t="shared" si="76"/>
        <v>5814.2009840344463</v>
      </c>
      <c r="M133" s="29">
        <f t="shared" si="76"/>
        <v>4845.1674866953717</v>
      </c>
      <c r="N133" s="29">
        <f t="shared" si="76"/>
        <v>4037.6395722461439</v>
      </c>
    </row>
    <row r="134" spans="2:14" ht="15" customHeight="1" x14ac:dyDescent="0.45">
      <c r="B134" s="185"/>
      <c r="C134" s="183"/>
      <c r="D134" s="15" t="s">
        <v>22</v>
      </c>
      <c r="E134" s="29"/>
      <c r="F134" s="29"/>
      <c r="G134" s="29"/>
      <c r="H134" s="29"/>
      <c r="I134" s="30">
        <f>AVERAGE(E133:I133)</f>
        <v>14953.060699588477</v>
      </c>
      <c r="J134" s="29"/>
      <c r="K134" s="29"/>
      <c r="L134" s="29"/>
      <c r="M134" s="29"/>
      <c r="N134" s="29">
        <f>AVERAGE(E133:N133)</f>
        <v>10481.180213876927</v>
      </c>
    </row>
    <row r="135" spans="2:14" ht="15" customHeight="1" x14ac:dyDescent="0.45">
      <c r="B135" s="186"/>
      <c r="C135" s="183"/>
      <c r="D135" s="15" t="s">
        <v>41</v>
      </c>
      <c r="E135" s="29">
        <f t="shared" ref="E135:N135" si="77">E$54/10*$C133/(2+$E$11)</f>
        <v>20833.333333333332</v>
      </c>
      <c r="F135" s="29">
        <f t="shared" si="77"/>
        <v>38194.444444444438</v>
      </c>
      <c r="G135" s="29">
        <f t="shared" si="77"/>
        <v>52662.037037037058</v>
      </c>
      <c r="H135" s="29">
        <f t="shared" si="77"/>
        <v>64718.364197530842</v>
      </c>
      <c r="I135" s="30">
        <f t="shared" si="77"/>
        <v>74765.303497942412</v>
      </c>
      <c r="J135" s="29">
        <f t="shared" si="77"/>
        <v>83137.752914951896</v>
      </c>
      <c r="K135" s="29">
        <f t="shared" si="77"/>
        <v>90114.794095793375</v>
      </c>
      <c r="L135" s="29">
        <f t="shared" si="77"/>
        <v>95928.995079827844</v>
      </c>
      <c r="M135" s="29">
        <f t="shared" si="77"/>
        <v>100774.16256652334</v>
      </c>
      <c r="N135" s="29">
        <f t="shared" si="77"/>
        <v>104811.80213876914</v>
      </c>
    </row>
    <row r="136" spans="2:14" ht="15" customHeight="1" x14ac:dyDescent="0.45">
      <c r="B136" s="3"/>
      <c r="C136" s="1"/>
      <c r="D136" s="40"/>
      <c r="E136" s="10"/>
      <c r="F136" s="10"/>
      <c r="G136" s="10"/>
      <c r="H136" s="10"/>
      <c r="I136" s="10"/>
      <c r="J136" s="10"/>
      <c r="K136" s="10"/>
      <c r="L136" s="10"/>
      <c r="M136" s="10"/>
      <c r="N136" s="10"/>
    </row>
  </sheetData>
  <mergeCells count="105">
    <mergeCell ref="K125:K126"/>
    <mergeCell ref="L125:L126"/>
    <mergeCell ref="M125:M126"/>
    <mergeCell ref="N125:N126"/>
    <mergeCell ref="B94:B108"/>
    <mergeCell ref="C94:C98"/>
    <mergeCell ref="C99:C103"/>
    <mergeCell ref="C104:C108"/>
    <mergeCell ref="B109:B123"/>
    <mergeCell ref="C109:C113"/>
    <mergeCell ref="B125:B126"/>
    <mergeCell ref="C125:C126"/>
    <mergeCell ref="D125:D126"/>
    <mergeCell ref="E125:E126"/>
    <mergeCell ref="F125:F126"/>
    <mergeCell ref="G125:G126"/>
    <mergeCell ref="H125:H126"/>
    <mergeCell ref="I125:I126"/>
    <mergeCell ref="J125:J126"/>
    <mergeCell ref="B127:B135"/>
    <mergeCell ref="C127:C129"/>
    <mergeCell ref="C130:C132"/>
    <mergeCell ref="C133:C135"/>
    <mergeCell ref="D64:D65"/>
    <mergeCell ref="E64:E65"/>
    <mergeCell ref="F64:F65"/>
    <mergeCell ref="H64:H65"/>
    <mergeCell ref="I64:I65"/>
    <mergeCell ref="C74:C78"/>
    <mergeCell ref="B79:B93"/>
    <mergeCell ref="C79:C83"/>
    <mergeCell ref="C84:C88"/>
    <mergeCell ref="C89:C93"/>
    <mergeCell ref="B66:B78"/>
    <mergeCell ref="J64:J65"/>
    <mergeCell ref="K64:K65"/>
    <mergeCell ref="L64:L65"/>
    <mergeCell ref="M64:M65"/>
    <mergeCell ref="C114:C118"/>
    <mergeCell ref="C119:C123"/>
    <mergeCell ref="M48:M49"/>
    <mergeCell ref="N48:N49"/>
    <mergeCell ref="I48:I49"/>
    <mergeCell ref="J48:J49"/>
    <mergeCell ref="K48:K49"/>
    <mergeCell ref="L48:L49"/>
    <mergeCell ref="G64:G65"/>
    <mergeCell ref="D48:D49"/>
    <mergeCell ref="E48:E49"/>
    <mergeCell ref="F48:F49"/>
    <mergeCell ref="G48:G49"/>
    <mergeCell ref="H48:H49"/>
    <mergeCell ref="C50:C54"/>
    <mergeCell ref="C55:C57"/>
    <mergeCell ref="C58:C62"/>
    <mergeCell ref="N64:N65"/>
    <mergeCell ref="C66:C70"/>
    <mergeCell ref="C71:C73"/>
    <mergeCell ref="M32:M33"/>
    <mergeCell ref="N32:N33"/>
    <mergeCell ref="B15:B16"/>
    <mergeCell ref="C15:C16"/>
    <mergeCell ref="B17:B24"/>
    <mergeCell ref="C17:C24"/>
    <mergeCell ref="B25:B27"/>
    <mergeCell ref="C25:C27"/>
    <mergeCell ref="B28:B30"/>
    <mergeCell ref="C28:C30"/>
    <mergeCell ref="D32:D33"/>
    <mergeCell ref="E32:E33"/>
    <mergeCell ref="F32:F33"/>
    <mergeCell ref="G32:G33"/>
    <mergeCell ref="H32:H33"/>
    <mergeCell ref="I32:I33"/>
    <mergeCell ref="J32:J33"/>
    <mergeCell ref="K32:K33"/>
    <mergeCell ref="L32:L33"/>
    <mergeCell ref="B32:B33"/>
    <mergeCell ref="C32:C33"/>
    <mergeCell ref="B34:B46"/>
    <mergeCell ref="C34:C38"/>
    <mergeCell ref="C39:C41"/>
    <mergeCell ref="C42:C46"/>
    <mergeCell ref="B48:B49"/>
    <mergeCell ref="C48:C49"/>
    <mergeCell ref="B64:B65"/>
    <mergeCell ref="C64:C65"/>
    <mergeCell ref="B50:B62"/>
    <mergeCell ref="D2:E3"/>
    <mergeCell ref="G2:I3"/>
    <mergeCell ref="K2:N2"/>
    <mergeCell ref="B2:C11"/>
    <mergeCell ref="B13:B14"/>
    <mergeCell ref="C13:C14"/>
    <mergeCell ref="D13:D14"/>
    <mergeCell ref="E13:E14"/>
    <mergeCell ref="F13:F14"/>
    <mergeCell ref="G13:G14"/>
    <mergeCell ref="H13:H14"/>
    <mergeCell ref="I13:I14"/>
    <mergeCell ref="J13:J14"/>
    <mergeCell ref="K13:K14"/>
    <mergeCell ref="L13:L14"/>
    <mergeCell ref="M13:M14"/>
    <mergeCell ref="N13:N14"/>
  </mergeCells>
  <pageMargins left="0.7" right="0.7" top="0.75" bottom="0.75" header="0.3" footer="0.3"/>
  <pageSetup orientation="portrait" r:id="rId1"/>
  <headerFooter>
    <oddHeader>&amp;R&amp;"Aptos"&amp;12&amp;K000000 Unclassified / Non classifié&amp;1#_x000D_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999460-CE11-4E33-8D55-51D4C259CF57}">
  <dimension ref="A1:P136"/>
  <sheetViews>
    <sheetView zoomScaleNormal="100" workbookViewId="0">
      <selection activeCell="E8" sqref="E8:E1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9.5976562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6" width="1.73046875" style="4" customWidth="1"/>
    <col min="17" max="16384" width="9" style="2"/>
  </cols>
  <sheetData>
    <row r="1" spans="1:16" ht="15" customHeight="1" x14ac:dyDescent="0.45">
      <c r="A1" s="8"/>
      <c r="B1" s="8"/>
      <c r="C1" s="8"/>
      <c r="D1" s="8"/>
      <c r="E1" s="8"/>
      <c r="F1" s="8"/>
      <c r="G1" s="8"/>
      <c r="H1" s="8"/>
      <c r="I1" s="8"/>
      <c r="J1" s="8"/>
      <c r="K1" s="61"/>
      <c r="L1" s="61"/>
      <c r="M1" s="61"/>
      <c r="N1" s="61"/>
      <c r="O1" s="8"/>
    </row>
    <row r="2" spans="1:16" ht="58.5" customHeight="1" x14ac:dyDescent="0.45">
      <c r="A2" s="8"/>
      <c r="B2" s="205" t="s">
        <v>110</v>
      </c>
      <c r="C2" s="206"/>
      <c r="D2" s="211" t="s">
        <v>135</v>
      </c>
      <c r="E2" s="212"/>
      <c r="F2" s="8"/>
      <c r="G2" s="214" t="s">
        <v>121</v>
      </c>
      <c r="H2" s="211"/>
      <c r="I2" s="211"/>
      <c r="J2" s="4"/>
      <c r="K2" s="217" t="s">
        <v>113</v>
      </c>
      <c r="L2" s="217"/>
      <c r="M2" s="217"/>
      <c r="N2" s="217"/>
      <c r="O2" s="8"/>
    </row>
    <row r="3" spans="1:16" ht="14.25" x14ac:dyDescent="0.45">
      <c r="A3" s="8"/>
      <c r="B3" s="207"/>
      <c r="C3" s="208"/>
      <c r="D3" s="210"/>
      <c r="E3" s="213"/>
      <c r="F3" s="8"/>
      <c r="G3" s="215"/>
      <c r="H3" s="216"/>
      <c r="I3" s="216"/>
      <c r="J3" s="4"/>
      <c r="K3" s="62" t="s">
        <v>53</v>
      </c>
      <c r="L3" s="62" t="s">
        <v>51</v>
      </c>
      <c r="M3" s="62" t="s">
        <v>32</v>
      </c>
      <c r="N3" s="62" t="s">
        <v>33</v>
      </c>
      <c r="O3" s="8"/>
      <c r="P3" s="9"/>
    </row>
    <row r="4" spans="1:16" ht="14.25" customHeight="1" x14ac:dyDescent="0.45">
      <c r="A4" s="9"/>
      <c r="B4" s="207"/>
      <c r="C4" s="208"/>
      <c r="D4" s="32" t="s">
        <v>2</v>
      </c>
      <c r="E4" s="33">
        <v>100000</v>
      </c>
      <c r="F4" s="9"/>
      <c r="G4" s="74" t="s">
        <v>34</v>
      </c>
      <c r="H4" s="73" t="s">
        <v>39</v>
      </c>
      <c r="I4" s="41">
        <f>I43</f>
        <v>0.17115680000000005</v>
      </c>
      <c r="J4" s="9"/>
      <c r="K4" s="66">
        <f>C127</f>
        <v>20000</v>
      </c>
      <c r="L4" s="67" t="s">
        <v>40</v>
      </c>
      <c r="M4" s="42">
        <f>I128</f>
        <v>418.68569958847741</v>
      </c>
      <c r="N4" s="63">
        <f t="shared" ref="N4:N9" si="0">M4*$I$15</f>
        <v>104182400.00000001</v>
      </c>
      <c r="O4" s="9"/>
      <c r="P4" s="9"/>
    </row>
    <row r="5" spans="1:16" ht="14.25" customHeight="1" x14ac:dyDescent="0.45">
      <c r="A5" s="37"/>
      <c r="B5" s="207"/>
      <c r="C5" s="208"/>
      <c r="D5" s="18" t="s">
        <v>123</v>
      </c>
      <c r="E5" s="35">
        <f>SUMMARY!H5</f>
        <v>0.2</v>
      </c>
      <c r="F5" s="37"/>
      <c r="G5" s="45" t="s">
        <v>37</v>
      </c>
      <c r="H5" s="64" t="s">
        <v>39</v>
      </c>
      <c r="I5" s="79">
        <f>I67</f>
        <v>0.17943672839506175</v>
      </c>
      <c r="J5" s="37"/>
      <c r="K5" s="66">
        <f>C127</f>
        <v>20000</v>
      </c>
      <c r="L5" s="65" t="s">
        <v>41</v>
      </c>
      <c r="M5" s="42">
        <f>I129</f>
        <v>2093.4284979423874</v>
      </c>
      <c r="N5" s="63">
        <f t="shared" si="0"/>
        <v>520912000.00000012</v>
      </c>
      <c r="O5" s="37"/>
      <c r="P5" s="37"/>
    </row>
    <row r="6" spans="1:16" ht="14.25" customHeight="1" x14ac:dyDescent="0.45">
      <c r="A6" s="37"/>
      <c r="B6" s="207"/>
      <c r="C6" s="208"/>
      <c r="D6" s="18" t="s">
        <v>136</v>
      </c>
      <c r="E6" s="34">
        <f>SUMMARY!L5</f>
        <v>0.02</v>
      </c>
      <c r="F6" s="37"/>
      <c r="G6" s="45" t="s">
        <v>120</v>
      </c>
      <c r="H6" s="64" t="s">
        <v>39</v>
      </c>
      <c r="I6" s="79">
        <f>I80</f>
        <v>4.1962448559670781E-2</v>
      </c>
      <c r="J6" s="37"/>
      <c r="K6" s="66">
        <f>C130</f>
        <v>400000</v>
      </c>
      <c r="L6" s="67" t="s">
        <v>40</v>
      </c>
      <c r="M6" s="42">
        <f>I131</f>
        <v>8373.7139917695495</v>
      </c>
      <c r="N6" s="63">
        <f t="shared" si="0"/>
        <v>2083648000.0000005</v>
      </c>
      <c r="O6" s="37"/>
      <c r="P6" s="37"/>
    </row>
    <row r="7" spans="1:16" ht="14.25" customHeight="1" x14ac:dyDescent="0.45">
      <c r="A7" s="37"/>
      <c r="B7" s="207"/>
      <c r="C7" s="208"/>
      <c r="D7" s="18" t="s">
        <v>122</v>
      </c>
      <c r="E7" s="34">
        <f>SUMMARY!P5</f>
        <v>0.01</v>
      </c>
      <c r="F7" s="37"/>
      <c r="G7" s="45" t="s">
        <v>57</v>
      </c>
      <c r="H7" s="64" t="s">
        <v>39</v>
      </c>
      <c r="I7" s="79">
        <f>I95</f>
        <v>2.0981224279835391E-2</v>
      </c>
      <c r="J7" s="37"/>
      <c r="K7" s="66">
        <f>C130</f>
        <v>400000</v>
      </c>
      <c r="L7" s="65" t="s">
        <v>41</v>
      </c>
      <c r="M7" s="42">
        <f>I132</f>
        <v>41868.569958847744</v>
      </c>
      <c r="N7" s="63">
        <f t="shared" si="0"/>
        <v>10418240000.000002</v>
      </c>
      <c r="O7" s="37"/>
      <c r="P7" s="37"/>
    </row>
    <row r="8" spans="1:16" ht="14.25" customHeight="1" x14ac:dyDescent="0.45">
      <c r="A8" s="9"/>
      <c r="B8" s="207"/>
      <c r="C8" s="208"/>
      <c r="D8" s="32" t="s">
        <v>130</v>
      </c>
      <c r="E8" s="36">
        <f>SUMMARY!H8</f>
        <v>0.115</v>
      </c>
      <c r="F8" s="9"/>
      <c r="G8" s="45" t="s">
        <v>118</v>
      </c>
      <c r="H8" s="64" t="s">
        <v>39</v>
      </c>
      <c r="I8" s="79">
        <f>-I35</f>
        <v>-6.8784079218107003E-2</v>
      </c>
      <c r="J8" s="9"/>
      <c r="K8" s="75">
        <f>C133</f>
        <v>1000000</v>
      </c>
      <c r="L8" s="76" t="s">
        <v>40</v>
      </c>
      <c r="M8" s="42">
        <f>I134</f>
        <v>20934.284979423865</v>
      </c>
      <c r="N8" s="63">
        <f t="shared" si="0"/>
        <v>5209119999.999999</v>
      </c>
      <c r="O8" s="9"/>
      <c r="P8" s="9"/>
    </row>
    <row r="9" spans="1:16" ht="14.25" customHeight="1" x14ac:dyDescent="0.45">
      <c r="A9" s="9"/>
      <c r="B9" s="207"/>
      <c r="C9" s="208"/>
      <c r="D9" s="32" t="s">
        <v>131</v>
      </c>
      <c r="E9" s="36">
        <f>SUMMARY!P8</f>
        <v>0.05</v>
      </c>
      <c r="F9" s="9"/>
      <c r="G9" s="45" t="s">
        <v>117</v>
      </c>
      <c r="H9" s="64" t="s">
        <v>39</v>
      </c>
      <c r="I9" s="79">
        <f>-I51</f>
        <v>-5.2335712448559668E-2</v>
      </c>
      <c r="J9" s="9"/>
      <c r="K9" s="75">
        <f>C133</f>
        <v>1000000</v>
      </c>
      <c r="L9" s="77" t="s">
        <v>41</v>
      </c>
      <c r="M9" s="42">
        <f>I135</f>
        <v>104671.42489711936</v>
      </c>
      <c r="N9" s="63">
        <f t="shared" si="0"/>
        <v>26045600000.000004</v>
      </c>
      <c r="O9" s="9"/>
      <c r="P9" s="9"/>
    </row>
    <row r="10" spans="1:16" ht="14.25" customHeight="1" x14ac:dyDescent="0.45">
      <c r="A10" s="9"/>
      <c r="B10" s="207"/>
      <c r="C10" s="208"/>
      <c r="D10" s="32" t="s">
        <v>132</v>
      </c>
      <c r="E10" s="36">
        <f>SUMMARY!L8</f>
        <v>7.4999999999999997E-2</v>
      </c>
      <c r="F10" s="9"/>
      <c r="G10" s="72" t="s">
        <v>38</v>
      </c>
      <c r="H10" s="73" t="s">
        <v>39</v>
      </c>
      <c r="I10" s="41">
        <f>I110</f>
        <v>0.12126060956790122</v>
      </c>
      <c r="J10" s="8"/>
      <c r="K10" s="10"/>
      <c r="L10" s="10"/>
      <c r="M10" s="3"/>
      <c r="N10" s="8"/>
      <c r="O10" s="9"/>
      <c r="P10" s="9"/>
    </row>
    <row r="11" spans="1:16" ht="15" customHeight="1" x14ac:dyDescent="0.45">
      <c r="A11" s="9"/>
      <c r="B11" s="207"/>
      <c r="C11" s="208"/>
      <c r="D11" s="32" t="s">
        <v>133</v>
      </c>
      <c r="E11" s="36">
        <f>SUMMARY!H12</f>
        <v>0.5</v>
      </c>
      <c r="F11" s="3"/>
      <c r="G11" s="10"/>
      <c r="H11" s="10"/>
      <c r="I11" s="3"/>
      <c r="J11" s="8"/>
      <c r="K11" s="8"/>
      <c r="L11" s="8"/>
      <c r="M11" s="8"/>
      <c r="N11" s="8"/>
      <c r="O11" s="9"/>
      <c r="P11" s="9"/>
    </row>
    <row r="12" spans="1:16" ht="14.25" x14ac:dyDescent="0.45">
      <c r="A12" s="8"/>
      <c r="B12" s="10"/>
      <c r="C12" s="8"/>
      <c r="D12" s="10"/>
      <c r="E12" s="3"/>
      <c r="F12" s="3"/>
      <c r="G12" s="10"/>
      <c r="H12" s="10"/>
      <c r="I12" s="3"/>
      <c r="J12" s="8"/>
      <c r="K12" s="8"/>
      <c r="L12" s="8"/>
      <c r="M12" s="8"/>
      <c r="N12" s="8"/>
      <c r="O12" s="8"/>
      <c r="P12" s="8"/>
    </row>
    <row r="13" spans="1:16" ht="14.25" x14ac:dyDescent="0.45">
      <c r="B13" s="209" t="s">
        <v>52</v>
      </c>
      <c r="C13" s="209" t="s">
        <v>50</v>
      </c>
      <c r="D13" s="209" t="s">
        <v>51</v>
      </c>
      <c r="E13" s="174" t="s">
        <v>3</v>
      </c>
      <c r="F13" s="174" t="s">
        <v>4</v>
      </c>
      <c r="G13" s="174" t="s">
        <v>5</v>
      </c>
      <c r="H13" s="174" t="s">
        <v>6</v>
      </c>
      <c r="I13" s="174" t="s">
        <v>7</v>
      </c>
      <c r="J13" s="174" t="s">
        <v>8</v>
      </c>
      <c r="K13" s="174" t="s">
        <v>9</v>
      </c>
      <c r="L13" s="174" t="s">
        <v>10</v>
      </c>
      <c r="M13" s="174" t="s">
        <v>11</v>
      </c>
      <c r="N13" s="174" t="s">
        <v>12</v>
      </c>
    </row>
    <row r="14" spans="1:16" ht="14.25" x14ac:dyDescent="0.45">
      <c r="B14" s="210"/>
      <c r="C14" s="210"/>
      <c r="D14" s="210"/>
      <c r="E14" s="175"/>
      <c r="F14" s="175"/>
      <c r="G14" s="175"/>
      <c r="H14" s="175"/>
      <c r="I14" s="175"/>
      <c r="J14" s="175"/>
      <c r="K14" s="175"/>
      <c r="L14" s="175"/>
      <c r="M14" s="175"/>
      <c r="N14" s="175"/>
    </row>
    <row r="15" spans="1:16" ht="14.25" x14ac:dyDescent="0.45">
      <c r="B15" s="184" t="s">
        <v>20</v>
      </c>
      <c r="C15" s="184" t="s">
        <v>33</v>
      </c>
      <c r="D15" s="19" t="s">
        <v>48</v>
      </c>
      <c r="E15" s="21">
        <f>($E$4 * $E$5) + $E$4</f>
        <v>120000</v>
      </c>
      <c r="F15" s="21">
        <f t="shared" ref="F15:N15" si="1">(E15 * $E$5) + E15</f>
        <v>144000</v>
      </c>
      <c r="G15" s="21">
        <f t="shared" si="1"/>
        <v>172800</v>
      </c>
      <c r="H15" s="21">
        <f t="shared" si="1"/>
        <v>207360</v>
      </c>
      <c r="I15" s="21">
        <f t="shared" si="1"/>
        <v>248832</v>
      </c>
      <c r="J15" s="21">
        <f t="shared" si="1"/>
        <v>298598.40000000002</v>
      </c>
      <c r="K15" s="21">
        <f t="shared" si="1"/>
        <v>358318.08000000002</v>
      </c>
      <c r="L15" s="21">
        <f t="shared" si="1"/>
        <v>429981.696</v>
      </c>
      <c r="M15" s="21">
        <f t="shared" si="1"/>
        <v>515978.03519999998</v>
      </c>
      <c r="N15" s="21">
        <f t="shared" si="1"/>
        <v>619173.64223999996</v>
      </c>
    </row>
    <row r="16" spans="1:16" ht="14.25" x14ac:dyDescent="0.45">
      <c r="B16" s="186"/>
      <c r="C16" s="186"/>
      <c r="D16" s="19" t="s">
        <v>49</v>
      </c>
      <c r="E16" s="25">
        <f>E15*21000000</f>
        <v>2520000000000</v>
      </c>
      <c r="F16" s="25">
        <f t="shared" ref="F16:N16" si="2">F15*21000000</f>
        <v>3024000000000</v>
      </c>
      <c r="G16" s="25">
        <f t="shared" si="2"/>
        <v>3628800000000</v>
      </c>
      <c r="H16" s="25">
        <f t="shared" si="2"/>
        <v>4354560000000</v>
      </c>
      <c r="I16" s="25">
        <f t="shared" si="2"/>
        <v>5225472000000</v>
      </c>
      <c r="J16" s="25">
        <f t="shared" si="2"/>
        <v>6270566400000.001</v>
      </c>
      <c r="K16" s="25">
        <f t="shared" si="2"/>
        <v>7524679680000</v>
      </c>
      <c r="L16" s="25">
        <f t="shared" si="2"/>
        <v>9029615616000</v>
      </c>
      <c r="M16" s="25">
        <f t="shared" si="2"/>
        <v>10835538739200</v>
      </c>
      <c r="N16" s="25">
        <f t="shared" si="2"/>
        <v>13002646487040</v>
      </c>
    </row>
    <row r="17" spans="1:16" ht="14.25" x14ac:dyDescent="0.45">
      <c r="B17" s="184" t="s">
        <v>16</v>
      </c>
      <c r="C17" s="202" t="s">
        <v>32</v>
      </c>
      <c r="D17" s="19" t="s">
        <v>124</v>
      </c>
      <c r="E17" s="26">
        <f>(E15-$E4)/E15</f>
        <v>0.16666666666666666</v>
      </c>
      <c r="F17" s="26">
        <f t="shared" ref="F17:N17" si="3">(F15-$E4)/F15</f>
        <v>0.30555555555555558</v>
      </c>
      <c r="G17" s="26">
        <f t="shared" si="3"/>
        <v>0.42129629629629628</v>
      </c>
      <c r="H17" s="26">
        <f t="shared" si="3"/>
        <v>0.51774691358024694</v>
      </c>
      <c r="I17" s="26">
        <f t="shared" si="3"/>
        <v>0.5981224279835391</v>
      </c>
      <c r="J17" s="26">
        <f t="shared" si="3"/>
        <v>0.66510202331961599</v>
      </c>
      <c r="K17" s="26">
        <f t="shared" si="3"/>
        <v>0.72091835276634664</v>
      </c>
      <c r="L17" s="26">
        <f t="shared" si="3"/>
        <v>0.76743196063862218</v>
      </c>
      <c r="M17" s="26">
        <f t="shared" si="3"/>
        <v>0.80619330053218508</v>
      </c>
      <c r="N17" s="26">
        <f t="shared" si="3"/>
        <v>0.83849441711015427</v>
      </c>
    </row>
    <row r="18" spans="1:16" ht="14.25" x14ac:dyDescent="0.45">
      <c r="B18" s="185"/>
      <c r="C18" s="203"/>
      <c r="D18" s="19" t="s">
        <v>125</v>
      </c>
      <c r="E18" s="26">
        <f>1-E17</f>
        <v>0.83333333333333337</v>
      </c>
      <c r="F18" s="26">
        <f t="shared" ref="F18:N18" si="4">1-F17</f>
        <v>0.69444444444444442</v>
      </c>
      <c r="G18" s="26">
        <f t="shared" si="4"/>
        <v>0.57870370370370372</v>
      </c>
      <c r="H18" s="26">
        <f t="shared" si="4"/>
        <v>0.48225308641975306</v>
      </c>
      <c r="I18" s="26">
        <f t="shared" si="4"/>
        <v>0.4018775720164609</v>
      </c>
      <c r="J18" s="26">
        <f t="shared" si="4"/>
        <v>0.33489797668038401</v>
      </c>
      <c r="K18" s="26">
        <f t="shared" si="4"/>
        <v>0.27908164723365336</v>
      </c>
      <c r="L18" s="26">
        <f t="shared" si="4"/>
        <v>0.23256803936137782</v>
      </c>
      <c r="M18" s="26">
        <f t="shared" si="4"/>
        <v>0.19380669946781492</v>
      </c>
      <c r="N18" s="26">
        <f t="shared" si="4"/>
        <v>0.16150558288984573</v>
      </c>
    </row>
    <row r="19" spans="1:16" ht="14.25" x14ac:dyDescent="0.45">
      <c r="B19" s="185"/>
      <c r="C19" s="203"/>
      <c r="D19" s="19" t="s">
        <v>126</v>
      </c>
      <c r="E19" s="78">
        <f>E17</f>
        <v>0.16666666666666666</v>
      </c>
      <c r="F19" s="78">
        <f t="shared" ref="F19:N19" si="5">F17-E17</f>
        <v>0.13888888888888892</v>
      </c>
      <c r="G19" s="78">
        <f>G17-F17</f>
        <v>0.1157407407407407</v>
      </c>
      <c r="H19" s="78">
        <f t="shared" si="5"/>
        <v>9.6450617283950657E-2</v>
      </c>
      <c r="I19" s="78">
        <f t="shared" si="5"/>
        <v>8.0375514403292159E-2</v>
      </c>
      <c r="J19" s="78">
        <f>J17-I17</f>
        <v>6.6979595336076891E-2</v>
      </c>
      <c r="K19" s="78">
        <f t="shared" si="5"/>
        <v>5.581632944673065E-2</v>
      </c>
      <c r="L19" s="78">
        <f t="shared" si="5"/>
        <v>4.6513607872275542E-2</v>
      </c>
      <c r="M19" s="78">
        <f t="shared" si="5"/>
        <v>3.8761339893562896E-2</v>
      </c>
      <c r="N19" s="78">
        <f t="shared" si="5"/>
        <v>3.2301116577969191E-2</v>
      </c>
    </row>
    <row r="20" spans="1:16" ht="14.25" x14ac:dyDescent="0.45">
      <c r="B20" s="185"/>
      <c r="C20" s="203"/>
      <c r="D20" s="19" t="s">
        <v>127</v>
      </c>
      <c r="E20" s="78"/>
      <c r="F20" s="78"/>
      <c r="G20" s="78"/>
      <c r="H20" s="78"/>
      <c r="I20" s="78">
        <f>AVERAGE(E19:I19)</f>
        <v>0.11962448559670782</v>
      </c>
      <c r="J20" s="26"/>
      <c r="K20" s="26"/>
      <c r="L20" s="26"/>
      <c r="M20" s="26"/>
      <c r="N20" s="78">
        <f>AVERAGE(E19:N19)</f>
        <v>8.3849441711015424E-2</v>
      </c>
    </row>
    <row r="21" spans="1:16" ht="14.25" x14ac:dyDescent="0.45">
      <c r="B21" s="185"/>
      <c r="C21" s="203"/>
      <c r="D21" s="19" t="s">
        <v>128</v>
      </c>
      <c r="E21" s="78">
        <f>$E$11*E19</f>
        <v>8.3333333333333329E-2</v>
      </c>
      <c r="F21" s="78">
        <f t="shared" ref="F21:N21" si="6">$E$11*F19</f>
        <v>6.9444444444444461E-2</v>
      </c>
      <c r="G21" s="78">
        <f t="shared" si="6"/>
        <v>5.787037037037035E-2</v>
      </c>
      <c r="H21" s="78">
        <f t="shared" si="6"/>
        <v>4.8225308641975329E-2</v>
      </c>
      <c r="I21" s="78">
        <f t="shared" si="6"/>
        <v>4.0187757201646079E-2</v>
      </c>
      <c r="J21" s="78">
        <f t="shared" si="6"/>
        <v>3.3489797668038446E-2</v>
      </c>
      <c r="K21" s="78">
        <f t="shared" si="6"/>
        <v>2.7908164723365325E-2</v>
      </c>
      <c r="L21" s="78">
        <f t="shared" si="6"/>
        <v>2.3256803936137771E-2</v>
      </c>
      <c r="M21" s="78">
        <f t="shared" si="6"/>
        <v>1.9380669946781448E-2</v>
      </c>
      <c r="N21" s="78">
        <f t="shared" si="6"/>
        <v>1.6150558288984596E-2</v>
      </c>
    </row>
    <row r="22" spans="1:16" ht="14.25" x14ac:dyDescent="0.45">
      <c r="B22" s="185"/>
      <c r="C22" s="203"/>
      <c r="D22" s="19" t="s">
        <v>129</v>
      </c>
      <c r="E22" s="78"/>
      <c r="F22" s="78"/>
      <c r="G22" s="78"/>
      <c r="H22" s="78"/>
      <c r="I22" s="78">
        <f>AVERAGE(E21:I21)</f>
        <v>5.9812242798353912E-2</v>
      </c>
      <c r="J22" s="26"/>
      <c r="K22" s="26"/>
      <c r="L22" s="26"/>
      <c r="M22" s="26"/>
      <c r="N22" s="78">
        <f>AVERAGE(E21:N21)</f>
        <v>4.1924720855507712E-2</v>
      </c>
    </row>
    <row r="23" spans="1:16" ht="14.25" x14ac:dyDescent="0.45">
      <c r="B23" s="185"/>
      <c r="C23" s="203"/>
      <c r="D23" s="15" t="s">
        <v>58</v>
      </c>
      <c r="E23" s="17">
        <f>E19+E21</f>
        <v>0.25</v>
      </c>
      <c r="F23" s="17">
        <f t="shared" ref="F23:N23" si="7">F19+F21</f>
        <v>0.20833333333333337</v>
      </c>
      <c r="G23" s="17">
        <f t="shared" si="7"/>
        <v>0.17361111111111105</v>
      </c>
      <c r="H23" s="17">
        <f t="shared" si="7"/>
        <v>0.14467592592592599</v>
      </c>
      <c r="I23" s="17">
        <f t="shared" si="7"/>
        <v>0.12056327160493824</v>
      </c>
      <c r="J23" s="17">
        <f t="shared" si="7"/>
        <v>0.10046939300411534</v>
      </c>
      <c r="K23" s="17">
        <f t="shared" si="7"/>
        <v>8.3724494170095975E-2</v>
      </c>
      <c r="L23" s="17">
        <f t="shared" si="7"/>
        <v>6.9770411808413313E-2</v>
      </c>
      <c r="M23" s="17">
        <f t="shared" si="7"/>
        <v>5.8142009840344344E-2</v>
      </c>
      <c r="N23" s="17">
        <f t="shared" si="7"/>
        <v>4.8451674866953787E-2</v>
      </c>
    </row>
    <row r="24" spans="1:16" ht="14.25" x14ac:dyDescent="0.45">
      <c r="B24" s="186"/>
      <c r="C24" s="204"/>
      <c r="D24" s="15" t="s">
        <v>59</v>
      </c>
      <c r="E24" s="17"/>
      <c r="F24" s="17"/>
      <c r="G24" s="17"/>
      <c r="H24" s="17"/>
      <c r="I24" s="17">
        <f>AVERAGE(E23:I23)</f>
        <v>0.17943672839506175</v>
      </c>
      <c r="J24" s="16"/>
      <c r="K24" s="16"/>
      <c r="L24" s="16"/>
      <c r="M24" s="16"/>
      <c r="N24" s="17">
        <f>AVERAGE(E23:N23)</f>
        <v>0.12577416256652313</v>
      </c>
    </row>
    <row r="25" spans="1:16" ht="14.25" x14ac:dyDescent="0.45">
      <c r="B25" s="184" t="s">
        <v>137</v>
      </c>
      <c r="C25" s="202" t="s">
        <v>32</v>
      </c>
      <c r="D25" s="15" t="s">
        <v>43</v>
      </c>
      <c r="E25" s="17">
        <f>((1+$E$11)*$E$6)+($E$6*E18)</f>
        <v>4.6666666666666662E-2</v>
      </c>
      <c r="F25" s="17">
        <f t="shared" ref="F25:N25" si="8">((1+$E$11)*$E$6)+($E$6*F18)</f>
        <v>4.3888888888888887E-2</v>
      </c>
      <c r="G25" s="17">
        <f t="shared" si="8"/>
        <v>4.1574074074074076E-2</v>
      </c>
      <c r="H25" s="17">
        <f t="shared" si="8"/>
        <v>3.9645061728395062E-2</v>
      </c>
      <c r="I25" s="17">
        <f>((1+$E$11)*$E$6)+($E$6*I18)</f>
        <v>3.803755144032922E-2</v>
      </c>
      <c r="J25" s="17">
        <f t="shared" si="8"/>
        <v>3.6697959533607681E-2</v>
      </c>
      <c r="K25" s="17">
        <f t="shared" si="8"/>
        <v>3.5581632944673064E-2</v>
      </c>
      <c r="L25" s="17">
        <f t="shared" si="8"/>
        <v>3.4651360787227553E-2</v>
      </c>
      <c r="M25" s="17">
        <f t="shared" si="8"/>
        <v>3.3876133989356294E-2</v>
      </c>
      <c r="N25" s="17">
        <f t="shared" si="8"/>
        <v>3.3230111657796914E-2</v>
      </c>
    </row>
    <row r="26" spans="1:16" ht="14.25" x14ac:dyDescent="0.45">
      <c r="B26" s="185"/>
      <c r="C26" s="203"/>
      <c r="D26" s="15" t="s">
        <v>44</v>
      </c>
      <c r="E26" s="17"/>
      <c r="F26" s="17"/>
      <c r="G26" s="17"/>
      <c r="H26" s="17"/>
      <c r="I26" s="17">
        <f>AVERAGE(E25:I25)</f>
        <v>4.1962448559670781E-2</v>
      </c>
      <c r="J26" s="16"/>
      <c r="K26" s="16"/>
      <c r="L26" s="16"/>
      <c r="M26" s="16"/>
      <c r="N26" s="17">
        <f>AVERAGE(E25:N25)</f>
        <v>3.8384944171101547E-2</v>
      </c>
    </row>
    <row r="27" spans="1:16" ht="14.25" x14ac:dyDescent="0.45">
      <c r="B27" s="185"/>
      <c r="C27" s="203"/>
      <c r="D27" s="19" t="s">
        <v>42</v>
      </c>
      <c r="E27" s="78">
        <f>E25</f>
        <v>4.6666666666666662E-2</v>
      </c>
      <c r="F27" s="78">
        <f>E27+F25</f>
        <v>9.0555555555555556E-2</v>
      </c>
      <c r="G27" s="78">
        <f>F27+G25</f>
        <v>0.13212962962962962</v>
      </c>
      <c r="H27" s="78">
        <f t="shared" ref="H27:I27" si="9">G27+H25</f>
        <v>0.1717746913580247</v>
      </c>
      <c r="I27" s="78">
        <f t="shared" si="9"/>
        <v>0.20981224279835392</v>
      </c>
      <c r="J27" s="78">
        <f>I27+J25</f>
        <v>0.24651020233196161</v>
      </c>
      <c r="K27" s="78">
        <f t="shared" ref="K27:N27" si="10">J27+K25</f>
        <v>0.28209183527663467</v>
      </c>
      <c r="L27" s="78">
        <f t="shared" si="10"/>
        <v>0.31674319606386225</v>
      </c>
      <c r="M27" s="78">
        <f t="shared" si="10"/>
        <v>0.35061933005321855</v>
      </c>
      <c r="N27" s="78">
        <f t="shared" si="10"/>
        <v>0.38384944171101548</v>
      </c>
    </row>
    <row r="28" spans="1:16" ht="14.25" x14ac:dyDescent="0.45">
      <c r="B28" s="184" t="s">
        <v>17</v>
      </c>
      <c r="C28" s="202" t="s">
        <v>32</v>
      </c>
      <c r="D28" s="15" t="s">
        <v>43</v>
      </c>
      <c r="E28" s="17">
        <f t="shared" ref="E28:N28" si="11">((1+$E$11)*$E$7)+($E$7*E18)</f>
        <v>2.3333333333333331E-2</v>
      </c>
      <c r="F28" s="17">
        <f t="shared" si="11"/>
        <v>2.1944444444444444E-2</v>
      </c>
      <c r="G28" s="17">
        <f t="shared" si="11"/>
        <v>2.0787037037037038E-2</v>
      </c>
      <c r="H28" s="17">
        <f t="shared" si="11"/>
        <v>1.9822530864197531E-2</v>
      </c>
      <c r="I28" s="17">
        <f t="shared" si="11"/>
        <v>1.901877572016461E-2</v>
      </c>
      <c r="J28" s="17">
        <f t="shared" si="11"/>
        <v>1.8348979766803841E-2</v>
      </c>
      <c r="K28" s="17">
        <f t="shared" si="11"/>
        <v>1.7790816472336532E-2</v>
      </c>
      <c r="L28" s="17">
        <f t="shared" si="11"/>
        <v>1.7325680393613777E-2</v>
      </c>
      <c r="M28" s="17">
        <f t="shared" si="11"/>
        <v>1.6938066994678147E-2</v>
      </c>
      <c r="N28" s="17">
        <f t="shared" si="11"/>
        <v>1.6615055828898457E-2</v>
      </c>
    </row>
    <row r="29" spans="1:16" ht="15" customHeight="1" x14ac:dyDescent="0.45">
      <c r="B29" s="185"/>
      <c r="C29" s="203"/>
      <c r="D29" s="15" t="s">
        <v>44</v>
      </c>
      <c r="E29" s="17"/>
      <c r="F29" s="17"/>
      <c r="G29" s="17"/>
      <c r="H29" s="17"/>
      <c r="I29" s="17">
        <f>AVERAGE(E28:I28)</f>
        <v>2.0981224279835391E-2</v>
      </c>
      <c r="J29" s="16"/>
      <c r="K29" s="16"/>
      <c r="L29" s="16"/>
      <c r="M29" s="16"/>
      <c r="N29" s="17">
        <f>AVERAGE(E28:N28)</f>
        <v>1.9192472085550773E-2</v>
      </c>
    </row>
    <row r="30" spans="1:16" ht="14.25" x14ac:dyDescent="0.45">
      <c r="B30" s="185"/>
      <c r="C30" s="203"/>
      <c r="D30" s="19" t="s">
        <v>42</v>
      </c>
      <c r="E30" s="78">
        <f>E28</f>
        <v>2.3333333333333331E-2</v>
      </c>
      <c r="F30" s="78">
        <f t="shared" ref="F30:N30" si="12">E30+F28</f>
        <v>4.5277777777777778E-2</v>
      </c>
      <c r="G30" s="78">
        <f>F30+G28</f>
        <v>6.6064814814814812E-2</v>
      </c>
      <c r="H30" s="78">
        <f t="shared" si="12"/>
        <v>8.588734567901235E-2</v>
      </c>
      <c r="I30" s="78">
        <f t="shared" si="12"/>
        <v>0.10490612139917696</v>
      </c>
      <c r="J30" s="78">
        <f>I30+J28</f>
        <v>0.1232551011659808</v>
      </c>
      <c r="K30" s="78">
        <f t="shared" si="12"/>
        <v>0.14104591763831734</v>
      </c>
      <c r="L30" s="78">
        <f t="shared" si="12"/>
        <v>0.15837159803193113</v>
      </c>
      <c r="M30" s="78">
        <f t="shared" si="12"/>
        <v>0.17530966502660927</v>
      </c>
      <c r="N30" s="78">
        <f t="shared" si="12"/>
        <v>0.19192472085550774</v>
      </c>
    </row>
    <row r="31" spans="1:16" ht="14.25" x14ac:dyDescent="0.45">
      <c r="B31" s="3"/>
      <c r="C31" s="1"/>
      <c r="D31" s="43"/>
      <c r="E31" s="31"/>
      <c r="F31" s="31"/>
      <c r="G31" s="31"/>
      <c r="H31" s="31"/>
      <c r="I31" s="31"/>
      <c r="J31" s="31"/>
      <c r="K31" s="31"/>
      <c r="L31" s="31"/>
      <c r="M31" s="31"/>
      <c r="N31" s="31"/>
    </row>
    <row r="32" spans="1:16" ht="14.25" x14ac:dyDescent="0.45">
      <c r="A32" s="8"/>
      <c r="B32" s="194" t="s">
        <v>114</v>
      </c>
      <c r="C32" s="196" t="s">
        <v>21</v>
      </c>
      <c r="D32" s="198" t="str">
        <f>"10 BTC / "&amp;TEXT($E$4*10, "$###0.00,,")&amp;"M USD"</f>
        <v>10 BTC / $1.00M USD</v>
      </c>
      <c r="E32" s="174" t="s">
        <v>3</v>
      </c>
      <c r="F32" s="174" t="s">
        <v>4</v>
      </c>
      <c r="G32" s="174" t="s">
        <v>5</v>
      </c>
      <c r="H32" s="174" t="s">
        <v>6</v>
      </c>
      <c r="I32" s="174" t="s">
        <v>7</v>
      </c>
      <c r="J32" s="174" t="s">
        <v>8</v>
      </c>
      <c r="K32" s="174" t="s">
        <v>9</v>
      </c>
      <c r="L32" s="174" t="s">
        <v>10</v>
      </c>
      <c r="M32" s="174" t="s">
        <v>11</v>
      </c>
      <c r="N32" s="174" t="s">
        <v>12</v>
      </c>
      <c r="O32" s="8"/>
      <c r="P32" s="8"/>
    </row>
    <row r="33" spans="2:14" ht="14.25" x14ac:dyDescent="0.45">
      <c r="B33" s="195"/>
      <c r="C33" s="197"/>
      <c r="D33" s="199"/>
      <c r="E33" s="175"/>
      <c r="F33" s="175"/>
      <c r="G33" s="175"/>
      <c r="H33" s="175"/>
      <c r="I33" s="175"/>
      <c r="J33" s="175"/>
      <c r="K33" s="175"/>
      <c r="L33" s="175"/>
      <c r="M33" s="175"/>
      <c r="N33" s="175"/>
    </row>
    <row r="34" spans="2:14" ht="14.25" x14ac:dyDescent="0.45">
      <c r="B34" s="184" t="s">
        <v>137</v>
      </c>
      <c r="C34" s="192" t="s">
        <v>32</v>
      </c>
      <c r="D34" s="15" t="s">
        <v>58</v>
      </c>
      <c r="E34" s="16">
        <f>E39*$E$4/E$15</f>
        <v>9.583333333333334E-2</v>
      </c>
      <c r="F34" s="16">
        <f t="shared" ref="F34:N34" si="13">F39*$E$4/F$15</f>
        <v>7.9861111111111105E-2</v>
      </c>
      <c r="G34" s="16">
        <f t="shared" si="13"/>
        <v>6.655092592592593E-2</v>
      </c>
      <c r="H34" s="16">
        <f t="shared" si="13"/>
        <v>5.5459104938271608E-2</v>
      </c>
      <c r="I34" s="16">
        <f t="shared" si="13"/>
        <v>4.6215920781893002E-2</v>
      </c>
      <c r="J34" s="16">
        <f t="shared" si="13"/>
        <v>3.8513267318244164E-2</v>
      </c>
      <c r="K34" s="16">
        <f t="shared" si="13"/>
        <v>3.2094389431870138E-2</v>
      </c>
      <c r="L34" s="16">
        <f t="shared" si="13"/>
        <v>2.674532452655845E-2</v>
      </c>
      <c r="M34" s="16">
        <f t="shared" si="13"/>
        <v>2.2287770438798711E-2</v>
      </c>
      <c r="N34" s="16">
        <f t="shared" si="13"/>
        <v>1.8573142032332259E-2</v>
      </c>
    </row>
    <row r="35" spans="2:14" ht="14.25" x14ac:dyDescent="0.45">
      <c r="B35" s="185"/>
      <c r="C35" s="192"/>
      <c r="D35" s="15" t="s">
        <v>59</v>
      </c>
      <c r="E35" s="16"/>
      <c r="F35" s="16"/>
      <c r="G35" s="16"/>
      <c r="H35" s="16"/>
      <c r="I35" s="80">
        <f>AVERAGE(E34:I34)</f>
        <v>6.8784079218107003E-2</v>
      </c>
      <c r="J35" s="16"/>
      <c r="K35" s="16"/>
      <c r="L35" s="16"/>
      <c r="M35" s="16"/>
      <c r="N35" s="17">
        <f>AVERAGE(E34:N34)</f>
        <v>4.8213428983833864E-2</v>
      </c>
    </row>
    <row r="36" spans="2:14" ht="14.25" x14ac:dyDescent="0.45">
      <c r="B36" s="185"/>
      <c r="C36" s="192"/>
      <c r="D36" s="15" t="s">
        <v>42</v>
      </c>
      <c r="E36" s="16">
        <f t="shared" ref="E36:N36" si="14">E$17*(E34/E$19)</f>
        <v>9.583333333333334E-2</v>
      </c>
      <c r="F36" s="16">
        <f t="shared" si="14"/>
        <v>0.1756944444444444</v>
      </c>
      <c r="G36" s="16">
        <f>G$17*(G34/G$19)</f>
        <v>0.24224537037037047</v>
      </c>
      <c r="H36" s="16">
        <f>H$17*(H34/H$19)</f>
        <v>0.29770447530864191</v>
      </c>
      <c r="I36" s="16">
        <f>I$17*(I34/I$19)</f>
        <v>0.3439203960905351</v>
      </c>
      <c r="J36" s="16">
        <f t="shared" si="14"/>
        <v>0.38243366340877871</v>
      </c>
      <c r="K36" s="16">
        <f t="shared" si="14"/>
        <v>0.41452805284064953</v>
      </c>
      <c r="L36" s="16">
        <f t="shared" si="14"/>
        <v>0.44127337736720795</v>
      </c>
      <c r="M36" s="16">
        <f t="shared" si="14"/>
        <v>0.46356114780600738</v>
      </c>
      <c r="N36" s="16">
        <f t="shared" si="14"/>
        <v>0.482134289838338</v>
      </c>
    </row>
    <row r="37" spans="2:14" ht="14.25" customHeight="1" x14ac:dyDescent="0.45">
      <c r="B37" s="185"/>
      <c r="C37" s="193"/>
      <c r="D37" s="19" t="s">
        <v>45</v>
      </c>
      <c r="E37" s="20">
        <f t="shared" ref="E37:N37" si="15">10*E34</f>
        <v>0.95833333333333337</v>
      </c>
      <c r="F37" s="20">
        <f t="shared" si="15"/>
        <v>0.79861111111111105</v>
      </c>
      <c r="G37" s="20">
        <f t="shared" si="15"/>
        <v>0.6655092592592593</v>
      </c>
      <c r="H37" s="20">
        <f t="shared" si="15"/>
        <v>0.55459104938271608</v>
      </c>
      <c r="I37" s="20">
        <f t="shared" si="15"/>
        <v>0.46215920781893005</v>
      </c>
      <c r="J37" s="20">
        <f t="shared" si="15"/>
        <v>0.38513267318244165</v>
      </c>
      <c r="K37" s="20">
        <f t="shared" si="15"/>
        <v>0.32094389431870141</v>
      </c>
      <c r="L37" s="20">
        <f t="shared" si="15"/>
        <v>0.2674532452655845</v>
      </c>
      <c r="M37" s="20">
        <f t="shared" si="15"/>
        <v>0.2228777043879871</v>
      </c>
      <c r="N37" s="20">
        <f t="shared" si="15"/>
        <v>0.1857314203233226</v>
      </c>
    </row>
    <row r="38" spans="2:14" ht="14.25" x14ac:dyDescent="0.45">
      <c r="B38" s="185"/>
      <c r="C38" s="193"/>
      <c r="D38" s="19" t="s">
        <v>46</v>
      </c>
      <c r="E38" s="20">
        <f>10*E36</f>
        <v>0.95833333333333337</v>
      </c>
      <c r="F38" s="20">
        <f>10*F36</f>
        <v>1.756944444444444</v>
      </c>
      <c r="G38" s="20">
        <f>10*G36</f>
        <v>2.4224537037037046</v>
      </c>
      <c r="H38" s="20">
        <f t="shared" ref="H38:N38" si="16">10*H36</f>
        <v>2.9770447530864192</v>
      </c>
      <c r="I38" s="20">
        <f t="shared" si="16"/>
        <v>3.4392039609053509</v>
      </c>
      <c r="J38" s="20">
        <f t="shared" si="16"/>
        <v>3.8243366340877873</v>
      </c>
      <c r="K38" s="20">
        <f t="shared" si="16"/>
        <v>4.1452805284064951</v>
      </c>
      <c r="L38" s="20">
        <f t="shared" si="16"/>
        <v>4.4127337736720795</v>
      </c>
      <c r="M38" s="20">
        <f t="shared" si="16"/>
        <v>4.6356114780600741</v>
      </c>
      <c r="N38" s="20">
        <f t="shared" si="16"/>
        <v>4.8213428983833797</v>
      </c>
    </row>
    <row r="39" spans="2:14" ht="14.25" x14ac:dyDescent="0.45">
      <c r="B39" s="185"/>
      <c r="C39" s="191" t="s">
        <v>36</v>
      </c>
      <c r="D39" s="15" t="s">
        <v>43</v>
      </c>
      <c r="E39" s="16">
        <f>E8</f>
        <v>0.115</v>
      </c>
      <c r="F39" s="16">
        <f>E39</f>
        <v>0.115</v>
      </c>
      <c r="G39" s="16">
        <f t="shared" ref="G39:N39" si="17">F39</f>
        <v>0.115</v>
      </c>
      <c r="H39" s="16">
        <f t="shared" si="17"/>
        <v>0.115</v>
      </c>
      <c r="I39" s="16">
        <f t="shared" si="17"/>
        <v>0.115</v>
      </c>
      <c r="J39" s="16">
        <f t="shared" si="17"/>
        <v>0.115</v>
      </c>
      <c r="K39" s="16">
        <f t="shared" si="17"/>
        <v>0.115</v>
      </c>
      <c r="L39" s="16">
        <f t="shared" si="17"/>
        <v>0.115</v>
      </c>
      <c r="M39" s="16">
        <f t="shared" si="17"/>
        <v>0.115</v>
      </c>
      <c r="N39" s="16">
        <f t="shared" si="17"/>
        <v>0.115</v>
      </c>
    </row>
    <row r="40" spans="2:14" ht="14.25" customHeight="1" x14ac:dyDescent="0.45">
      <c r="B40" s="185"/>
      <c r="C40" s="193"/>
      <c r="D40" s="19" t="s">
        <v>45</v>
      </c>
      <c r="E40" s="21">
        <f>E37*E$15</f>
        <v>115000</v>
      </c>
      <c r="F40" s="21">
        <f t="shared" ref="F40:N40" si="18">F37*F$15</f>
        <v>114999.99999999999</v>
      </c>
      <c r="G40" s="21">
        <f>G37*G$15</f>
        <v>115000</v>
      </c>
      <c r="H40" s="21">
        <f>H37*H$15</f>
        <v>115000</v>
      </c>
      <c r="I40" s="21">
        <f>I37*I$15</f>
        <v>115000</v>
      </c>
      <c r="J40" s="21">
        <f t="shared" si="18"/>
        <v>115000</v>
      </c>
      <c r="K40" s="21">
        <f t="shared" si="18"/>
        <v>115000</v>
      </c>
      <c r="L40" s="21">
        <f t="shared" si="18"/>
        <v>115000</v>
      </c>
      <c r="M40" s="21">
        <f t="shared" si="18"/>
        <v>115000</v>
      </c>
      <c r="N40" s="21">
        <f t="shared" si="18"/>
        <v>115000</v>
      </c>
    </row>
    <row r="41" spans="2:14" ht="14.25" x14ac:dyDescent="0.45">
      <c r="B41" s="185"/>
      <c r="C41" s="193"/>
      <c r="D41" s="19" t="s">
        <v>46</v>
      </c>
      <c r="E41" s="21">
        <f>E40</f>
        <v>115000</v>
      </c>
      <c r="F41" s="21">
        <f>E41+F40</f>
        <v>230000</v>
      </c>
      <c r="G41" s="21">
        <f>F41+G40</f>
        <v>345000</v>
      </c>
      <c r="H41" s="21">
        <f t="shared" ref="H41:N41" si="19">G41+H40</f>
        <v>460000</v>
      </c>
      <c r="I41" s="21">
        <f t="shared" si="19"/>
        <v>575000</v>
      </c>
      <c r="J41" s="21">
        <f>I41+J40</f>
        <v>690000</v>
      </c>
      <c r="K41" s="21">
        <f t="shared" si="19"/>
        <v>805000</v>
      </c>
      <c r="L41" s="21">
        <f t="shared" si="19"/>
        <v>920000</v>
      </c>
      <c r="M41" s="21">
        <f t="shared" si="19"/>
        <v>1035000</v>
      </c>
      <c r="N41" s="21">
        <f t="shared" si="19"/>
        <v>1150000</v>
      </c>
    </row>
    <row r="42" spans="2:14" ht="14.25" x14ac:dyDescent="0.45">
      <c r="B42" s="185"/>
      <c r="C42" s="191" t="s">
        <v>35</v>
      </c>
      <c r="D42" s="15" t="s">
        <v>43</v>
      </c>
      <c r="E42" s="16">
        <f>E36*E$15/$E$4</f>
        <v>0.115</v>
      </c>
      <c r="F42" s="16">
        <f>F36*F$15/$E$4-E42</f>
        <v>0.13799999999999996</v>
      </c>
      <c r="G42" s="16">
        <f>G36*G$15/$E$4-F42-E42</f>
        <v>0.16560000000000019</v>
      </c>
      <c r="H42" s="16">
        <f>H36*H$15/$E$4-G42-F42-E42</f>
        <v>0.19871999999999973</v>
      </c>
      <c r="I42" s="16">
        <f>I36*I$15/$E$4-H42-G42-F42-E42</f>
        <v>0.2384640000000004</v>
      </c>
      <c r="J42" s="16">
        <f>J36*J$15/$E$4-I42-H42-G42-F42-E42</f>
        <v>0.28615679999999849</v>
      </c>
      <c r="K42" s="16">
        <f>K36*K$15/$E$4-J42-I42-H42-G42-F42-E42</f>
        <v>0.34338816000000211</v>
      </c>
      <c r="L42" s="16">
        <f>L36*L$15/$E$4-K42-J42-I42-H42-G42-F42-E42</f>
        <v>0.41206579199999993</v>
      </c>
      <c r="M42" s="16">
        <f>M36*M$15/$E$4-L42-K42-J42-I42-H42-G42-F42-E42</f>
        <v>0.49447895040000378</v>
      </c>
      <c r="N42" s="16">
        <f>N36*N$15/$E$4-M42-L42-K42-J42-I42-H42-G42-F42-E42</f>
        <v>0.59337474047999117</v>
      </c>
    </row>
    <row r="43" spans="2:14" ht="14.25" x14ac:dyDescent="0.45">
      <c r="B43" s="185"/>
      <c r="C43" s="192"/>
      <c r="D43" s="15" t="s">
        <v>44</v>
      </c>
      <c r="E43" s="17"/>
      <c r="F43" s="17"/>
      <c r="G43" s="17"/>
      <c r="H43" s="17"/>
      <c r="I43" s="38">
        <f>AVERAGE(E42:I42)</f>
        <v>0.17115680000000005</v>
      </c>
      <c r="J43" s="17"/>
      <c r="K43" s="17"/>
      <c r="L43" s="17"/>
      <c r="M43" s="17"/>
      <c r="N43" s="17">
        <f>AVERAGE(E42:N42)</f>
        <v>0.29852484428799964</v>
      </c>
    </row>
    <row r="44" spans="2:14" ht="14.25" x14ac:dyDescent="0.45">
      <c r="B44" s="185"/>
      <c r="C44" s="193"/>
      <c r="D44" s="19" t="s">
        <v>45</v>
      </c>
      <c r="E44" s="22">
        <f>E46</f>
        <v>115000</v>
      </c>
      <c r="F44" s="22">
        <f>F46-E46</f>
        <v>137999.99999999994</v>
      </c>
      <c r="G44" s="22">
        <f>G46-F46</f>
        <v>165600.00000000023</v>
      </c>
      <c r="H44" s="22">
        <f t="shared" ref="H44:N44" si="20">H46-G46</f>
        <v>198719.99999999971</v>
      </c>
      <c r="I44" s="22">
        <f t="shared" si="20"/>
        <v>238464.00000000035</v>
      </c>
      <c r="J44" s="22">
        <f>J46-I46</f>
        <v>286156.79999999865</v>
      </c>
      <c r="K44" s="22">
        <f t="shared" si="20"/>
        <v>343388.16000000201</v>
      </c>
      <c r="L44" s="22">
        <f t="shared" si="20"/>
        <v>412065.7919999999</v>
      </c>
      <c r="M44" s="22">
        <f t="shared" si="20"/>
        <v>494478.95040000416</v>
      </c>
      <c r="N44" s="22">
        <f t="shared" si="20"/>
        <v>593374.74047999037</v>
      </c>
    </row>
    <row r="45" spans="2:14" ht="15" customHeight="1" x14ac:dyDescent="0.45">
      <c r="B45" s="185"/>
      <c r="C45" s="193"/>
      <c r="D45" s="19" t="s">
        <v>47</v>
      </c>
      <c r="E45" s="22"/>
      <c r="F45" s="22"/>
      <c r="G45" s="22"/>
      <c r="H45" s="22"/>
      <c r="I45" s="22">
        <f>AVERAGE(E44:I44)</f>
        <v>171156.80000000005</v>
      </c>
      <c r="J45" s="22"/>
      <c r="K45" s="22"/>
      <c r="L45" s="22"/>
      <c r="M45" s="22"/>
      <c r="N45" s="22">
        <f>AVERAGE(E44:N44)</f>
        <v>298524.84428799956</v>
      </c>
    </row>
    <row r="46" spans="2:14" ht="14.25" x14ac:dyDescent="0.45">
      <c r="B46" s="186"/>
      <c r="C46" s="193"/>
      <c r="D46" s="19" t="s">
        <v>46</v>
      </c>
      <c r="E46" s="21">
        <f t="shared" ref="E46:N46" si="21">E38*E$15</f>
        <v>115000</v>
      </c>
      <c r="F46" s="21">
        <f t="shared" si="21"/>
        <v>252999.99999999994</v>
      </c>
      <c r="G46" s="21">
        <f>G38*G$15</f>
        <v>418600.00000000017</v>
      </c>
      <c r="H46" s="21">
        <f>H38*H$15</f>
        <v>617319.99999999988</v>
      </c>
      <c r="I46" s="21">
        <f>I38*I$15</f>
        <v>855784.00000000023</v>
      </c>
      <c r="J46" s="21">
        <f t="shared" si="21"/>
        <v>1141940.7999999989</v>
      </c>
      <c r="K46" s="21">
        <f t="shared" si="21"/>
        <v>1485328.9600000009</v>
      </c>
      <c r="L46" s="21">
        <f t="shared" si="21"/>
        <v>1897394.7520000008</v>
      </c>
      <c r="M46" s="21">
        <f t="shared" si="21"/>
        <v>2391873.702400005</v>
      </c>
      <c r="N46" s="21">
        <f t="shared" si="21"/>
        <v>2985248.4428799953</v>
      </c>
    </row>
    <row r="47" spans="2:14" ht="14.25" x14ac:dyDescent="0.45">
      <c r="B47" s="3"/>
      <c r="C47" s="1"/>
      <c r="D47" s="43"/>
      <c r="E47" s="31"/>
      <c r="F47" s="31"/>
      <c r="G47" s="31"/>
      <c r="H47" s="31"/>
      <c r="I47" s="31"/>
      <c r="J47" s="31"/>
      <c r="K47" s="31"/>
      <c r="L47" s="31"/>
      <c r="M47" s="31"/>
      <c r="N47" s="31"/>
    </row>
    <row r="48" spans="2:14" ht="14.25" x14ac:dyDescent="0.45">
      <c r="B48" s="176" t="s">
        <v>116</v>
      </c>
      <c r="C48" s="200" t="s">
        <v>21</v>
      </c>
      <c r="D48" s="178" t="str">
        <f>"10 BTC / "&amp;TEXT($E$4*10, "$###0.00,,")&amp;"M USD"</f>
        <v>10 BTC / $1.00M USD</v>
      </c>
      <c r="E48" s="174" t="s">
        <v>3</v>
      </c>
      <c r="F48" s="174" t="s">
        <v>4</v>
      </c>
      <c r="G48" s="174" t="s">
        <v>5</v>
      </c>
      <c r="H48" s="174" t="s">
        <v>6</v>
      </c>
      <c r="I48" s="174" t="s">
        <v>7</v>
      </c>
      <c r="J48" s="174" t="s">
        <v>8</v>
      </c>
      <c r="K48" s="174" t="s">
        <v>9</v>
      </c>
      <c r="L48" s="174" t="s">
        <v>10</v>
      </c>
      <c r="M48" s="174" t="s">
        <v>11</v>
      </c>
      <c r="N48" s="174" t="s">
        <v>12</v>
      </c>
    </row>
    <row r="49" spans="1:16" ht="14.25" x14ac:dyDescent="0.45">
      <c r="B49" s="177"/>
      <c r="C49" s="201"/>
      <c r="D49" s="179"/>
      <c r="E49" s="175"/>
      <c r="F49" s="175"/>
      <c r="G49" s="175"/>
      <c r="H49" s="175"/>
      <c r="I49" s="175"/>
      <c r="J49" s="175"/>
      <c r="K49" s="175"/>
      <c r="L49" s="175"/>
      <c r="M49" s="175"/>
      <c r="N49" s="175"/>
    </row>
    <row r="50" spans="1:16" ht="14.25" x14ac:dyDescent="0.45">
      <c r="B50" s="184" t="s">
        <v>137</v>
      </c>
      <c r="C50" s="192" t="s">
        <v>32</v>
      </c>
      <c r="D50" s="15" t="s">
        <v>43</v>
      </c>
      <c r="E50" s="16">
        <f>E55*$E$4/E$15</f>
        <v>7.2916666666666671E-2</v>
      </c>
      <c r="F50" s="16">
        <f t="shared" ref="F50:N50" si="22">F55*$E$4/F$15</f>
        <v>6.0763888888888888E-2</v>
      </c>
      <c r="G50" s="16">
        <f t="shared" si="22"/>
        <v>5.0636574074074077E-2</v>
      </c>
      <c r="H50" s="16">
        <f t="shared" si="22"/>
        <v>4.2197145061728392E-2</v>
      </c>
      <c r="I50" s="16">
        <f t="shared" si="22"/>
        <v>3.5164287551440326E-2</v>
      </c>
      <c r="J50" s="16">
        <f t="shared" si="22"/>
        <v>2.9303572959533605E-2</v>
      </c>
      <c r="K50" s="16">
        <f t="shared" si="22"/>
        <v>2.4419644132944673E-2</v>
      </c>
      <c r="L50" s="16">
        <f t="shared" si="22"/>
        <v>2.034970344412056E-2</v>
      </c>
      <c r="M50" s="16">
        <f t="shared" si="22"/>
        <v>1.6958086203433802E-2</v>
      </c>
      <c r="N50" s="16">
        <f t="shared" si="22"/>
        <v>1.4131738502861502E-2</v>
      </c>
    </row>
    <row r="51" spans="1:16" ht="14.25" x14ac:dyDescent="0.45">
      <c r="B51" s="185"/>
      <c r="C51" s="192"/>
      <c r="D51" s="15" t="s">
        <v>44</v>
      </c>
      <c r="E51" s="16"/>
      <c r="F51" s="16"/>
      <c r="G51" s="16"/>
      <c r="H51" s="16"/>
      <c r="I51" s="125">
        <f>AVERAGE(E50:I50)</f>
        <v>5.2335712448559668E-2</v>
      </c>
      <c r="J51" s="16"/>
      <c r="K51" s="16"/>
      <c r="L51" s="16"/>
      <c r="M51" s="16"/>
      <c r="N51" s="17">
        <f>AVERAGE(E50:N50)</f>
        <v>3.6684130748569251E-2</v>
      </c>
    </row>
    <row r="52" spans="1:16" ht="14.25" x14ac:dyDescent="0.45">
      <c r="B52" s="185"/>
      <c r="C52" s="192"/>
      <c r="D52" s="15" t="s">
        <v>42</v>
      </c>
      <c r="E52" s="16">
        <f t="shared" ref="E52:N52" si="23">E$17*(E50/E$19)</f>
        <v>7.2916666666666671E-2</v>
      </c>
      <c r="F52" s="16">
        <f t="shared" si="23"/>
        <v>0.13368055555555552</v>
      </c>
      <c r="G52" s="16">
        <f t="shared" si="23"/>
        <v>0.18431712962962971</v>
      </c>
      <c r="H52" s="16">
        <f t="shared" si="23"/>
        <v>0.22651427469135793</v>
      </c>
      <c r="I52" s="16">
        <f t="shared" si="23"/>
        <v>0.2616785622427984</v>
      </c>
      <c r="J52" s="16">
        <f t="shared" si="23"/>
        <v>0.29098213520233168</v>
      </c>
      <c r="K52" s="16">
        <f t="shared" si="23"/>
        <v>0.3154017793352768</v>
      </c>
      <c r="L52" s="16">
        <f t="shared" si="23"/>
        <v>0.33575148277939737</v>
      </c>
      <c r="M52" s="16">
        <f t="shared" si="23"/>
        <v>0.35270956898283168</v>
      </c>
      <c r="N52" s="16">
        <f t="shared" si="23"/>
        <v>0.36684130748569199</v>
      </c>
    </row>
    <row r="53" spans="1:16" ht="14.25" customHeight="1" x14ac:dyDescent="0.45">
      <c r="B53" s="185"/>
      <c r="C53" s="193"/>
      <c r="D53" s="19" t="s">
        <v>45</v>
      </c>
      <c r="E53" s="20">
        <f>10*E50</f>
        <v>0.72916666666666674</v>
      </c>
      <c r="F53" s="20">
        <f t="shared" ref="F53:N53" si="24">10*F50</f>
        <v>0.60763888888888884</v>
      </c>
      <c r="G53" s="20">
        <f t="shared" si="24"/>
        <v>0.50636574074074081</v>
      </c>
      <c r="H53" s="20">
        <f t="shared" si="24"/>
        <v>0.42197145061728392</v>
      </c>
      <c r="I53" s="20">
        <f t="shared" si="24"/>
        <v>0.35164287551440326</v>
      </c>
      <c r="J53" s="20">
        <f t="shared" si="24"/>
        <v>0.29303572959533608</v>
      </c>
      <c r="K53" s="20">
        <f t="shared" si="24"/>
        <v>0.24419644132944673</v>
      </c>
      <c r="L53" s="20">
        <f t="shared" si="24"/>
        <v>0.20349703444120559</v>
      </c>
      <c r="M53" s="20">
        <f t="shared" si="24"/>
        <v>0.16958086203433803</v>
      </c>
      <c r="N53" s="20">
        <f t="shared" si="24"/>
        <v>0.14131738502861502</v>
      </c>
    </row>
    <row r="54" spans="1:16" ht="14.25" x14ac:dyDescent="0.45">
      <c r="B54" s="185"/>
      <c r="C54" s="193"/>
      <c r="D54" s="19" t="s">
        <v>46</v>
      </c>
      <c r="E54" s="20">
        <f>10*E52</f>
        <v>0.72916666666666674</v>
      </c>
      <c r="F54" s="20">
        <f>10*F52</f>
        <v>1.3368055555555554</v>
      </c>
      <c r="G54" s="20">
        <f>10*G52</f>
        <v>1.8431712962962972</v>
      </c>
      <c r="H54" s="20">
        <f t="shared" ref="H54:N54" si="25">10*H52</f>
        <v>2.2651427469135794</v>
      </c>
      <c r="I54" s="20">
        <f t="shared" si="25"/>
        <v>2.616785622427984</v>
      </c>
      <c r="J54" s="20">
        <f t="shared" si="25"/>
        <v>2.9098213520233167</v>
      </c>
      <c r="K54" s="20">
        <f t="shared" si="25"/>
        <v>3.154017793352768</v>
      </c>
      <c r="L54" s="20">
        <f t="shared" si="25"/>
        <v>3.3575148277939739</v>
      </c>
      <c r="M54" s="20">
        <f t="shared" si="25"/>
        <v>3.5270956898283168</v>
      </c>
      <c r="N54" s="20">
        <f t="shared" si="25"/>
        <v>3.6684130748569199</v>
      </c>
    </row>
    <row r="55" spans="1:16" ht="14.25" x14ac:dyDescent="0.45">
      <c r="B55" s="185"/>
      <c r="C55" s="191" t="s">
        <v>36</v>
      </c>
      <c r="D55" s="15" t="s">
        <v>43</v>
      </c>
      <c r="E55" s="16">
        <f>$E9+($E$10*$E$11)</f>
        <v>8.7499999999999994E-2</v>
      </c>
      <c r="F55" s="16">
        <f t="shared" ref="F55:N55" si="26">$E9+($E$10*$E$11)</f>
        <v>8.7499999999999994E-2</v>
      </c>
      <c r="G55" s="16">
        <f t="shared" si="26"/>
        <v>8.7499999999999994E-2</v>
      </c>
      <c r="H55" s="16">
        <f t="shared" si="26"/>
        <v>8.7499999999999994E-2</v>
      </c>
      <c r="I55" s="16">
        <f t="shared" si="26"/>
        <v>8.7499999999999994E-2</v>
      </c>
      <c r="J55" s="16">
        <f t="shared" si="26"/>
        <v>8.7499999999999994E-2</v>
      </c>
      <c r="K55" s="16">
        <f t="shared" si="26"/>
        <v>8.7499999999999994E-2</v>
      </c>
      <c r="L55" s="16">
        <f t="shared" si="26"/>
        <v>8.7499999999999994E-2</v>
      </c>
      <c r="M55" s="16">
        <f t="shared" si="26"/>
        <v>8.7499999999999994E-2</v>
      </c>
      <c r="N55" s="16">
        <f t="shared" si="26"/>
        <v>8.7499999999999994E-2</v>
      </c>
    </row>
    <row r="56" spans="1:16" ht="14.25" customHeight="1" x14ac:dyDescent="0.45">
      <c r="B56" s="185"/>
      <c r="C56" s="193"/>
      <c r="D56" s="19" t="s">
        <v>45</v>
      </c>
      <c r="E56" s="21">
        <f t="shared" ref="E56:N56" si="27">E53*E$15</f>
        <v>87500.000000000015</v>
      </c>
      <c r="F56" s="21">
        <f t="shared" si="27"/>
        <v>87500</v>
      </c>
      <c r="G56" s="21">
        <f t="shared" si="27"/>
        <v>87500.000000000015</v>
      </c>
      <c r="H56" s="21">
        <f t="shared" si="27"/>
        <v>87500</v>
      </c>
      <c r="I56" s="21">
        <f t="shared" si="27"/>
        <v>87500</v>
      </c>
      <c r="J56" s="21">
        <f t="shared" si="27"/>
        <v>87500.000000000015</v>
      </c>
      <c r="K56" s="21">
        <f t="shared" si="27"/>
        <v>87500</v>
      </c>
      <c r="L56" s="21">
        <f t="shared" si="27"/>
        <v>87499.999999999985</v>
      </c>
      <c r="M56" s="21">
        <f t="shared" si="27"/>
        <v>87500.000000000015</v>
      </c>
      <c r="N56" s="21">
        <f t="shared" si="27"/>
        <v>87500</v>
      </c>
    </row>
    <row r="57" spans="1:16" ht="14.25" x14ac:dyDescent="0.45">
      <c r="B57" s="185"/>
      <c r="C57" s="193"/>
      <c r="D57" s="19" t="s">
        <v>46</v>
      </c>
      <c r="E57" s="21">
        <f>E56</f>
        <v>87500.000000000015</v>
      </c>
      <c r="F57" s="21">
        <f>E57+F56</f>
        <v>175000</v>
      </c>
      <c r="G57" s="21">
        <f>F57+G56</f>
        <v>262500</v>
      </c>
      <c r="H57" s="21">
        <f t="shared" ref="H57:N57" si="28">G57+H56</f>
        <v>350000</v>
      </c>
      <c r="I57" s="21">
        <f t="shared" si="28"/>
        <v>437500</v>
      </c>
      <c r="J57" s="21">
        <f>I57+J56</f>
        <v>525000</v>
      </c>
      <c r="K57" s="21">
        <f t="shared" si="28"/>
        <v>612500</v>
      </c>
      <c r="L57" s="21">
        <f t="shared" si="28"/>
        <v>700000</v>
      </c>
      <c r="M57" s="21">
        <f t="shared" si="28"/>
        <v>787500</v>
      </c>
      <c r="N57" s="21">
        <f t="shared" si="28"/>
        <v>875000</v>
      </c>
    </row>
    <row r="58" spans="1:16" ht="14.25" x14ac:dyDescent="0.45">
      <c r="B58" s="185"/>
      <c r="C58" s="191" t="s">
        <v>35</v>
      </c>
      <c r="D58" s="15" t="s">
        <v>43</v>
      </c>
      <c r="E58" s="16">
        <f>E52*E$15/$E$4</f>
        <v>8.7499999999999994E-2</v>
      </c>
      <c r="F58" s="16">
        <f>F52*F$15/$E$4-E58</f>
        <v>0.10499999999999998</v>
      </c>
      <c r="G58" s="16">
        <f>G52*G$15/$E$4-F58-E58</f>
        <v>0.1260000000000002</v>
      </c>
      <c r="H58" s="16">
        <f>H52*H$15/$E$4-G58-F58-E58</f>
        <v>0.15119999999999958</v>
      </c>
      <c r="I58" s="16">
        <f>I52*I$15/$E$4-H58-G58-F58-E58</f>
        <v>0.1814400000000003</v>
      </c>
      <c r="J58" s="16">
        <f>J52*J$15/$E$4-I58-H58-G58-F58-E58</f>
        <v>0.21772799999999928</v>
      </c>
      <c r="K58" s="16">
        <f>K52*K$15/$E$4-J58-I58-H58-G58-F58-E58</f>
        <v>0.26127360000000133</v>
      </c>
      <c r="L58" s="16">
        <f>L52*L$15/$E$4-K58-J58-I58-H58-G58-F58-E58</f>
        <v>0.3135283200000003</v>
      </c>
      <c r="M58" s="16">
        <f>M52*M$15/$E$4-L58-K58-J58-I58-H58-G58-F58-E58</f>
        <v>0.37623398400000263</v>
      </c>
      <c r="N58" s="16">
        <f>N52*N$15/$E$4-M58-L58-K58-J58-I58-H58-G58-F58-E58</f>
        <v>0.45148078079999299</v>
      </c>
    </row>
    <row r="59" spans="1:16" ht="14.25" x14ac:dyDescent="0.45">
      <c r="B59" s="185"/>
      <c r="C59" s="192"/>
      <c r="D59" s="15" t="s">
        <v>44</v>
      </c>
      <c r="E59" s="17"/>
      <c r="F59" s="17"/>
      <c r="G59" s="17"/>
      <c r="H59" s="17"/>
      <c r="I59" s="17">
        <f>AVERAGE(E58:I58)</f>
        <v>0.13022800000000001</v>
      </c>
      <c r="J59" s="17"/>
      <c r="K59" s="17"/>
      <c r="L59" s="17"/>
      <c r="M59" s="17"/>
      <c r="N59" s="17">
        <f>AVERAGE(E58:N58)</f>
        <v>0.22713846847999966</v>
      </c>
    </row>
    <row r="60" spans="1:16" ht="14.25" x14ac:dyDescent="0.45">
      <c r="B60" s="185"/>
      <c r="C60" s="193"/>
      <c r="D60" s="19" t="s">
        <v>45</v>
      </c>
      <c r="E60" s="22">
        <f>E62</f>
        <v>87500.000000000015</v>
      </c>
      <c r="F60" s="22">
        <f>F62-E62</f>
        <v>104999.99999999996</v>
      </c>
      <c r="G60" s="22">
        <f>G62-F62</f>
        <v>126000.0000000002</v>
      </c>
      <c r="H60" s="22">
        <f t="shared" ref="H60:N60" si="29">H62-G62</f>
        <v>151199.99999999965</v>
      </c>
      <c r="I60" s="22">
        <f t="shared" si="29"/>
        <v>181440.00000000029</v>
      </c>
      <c r="J60" s="22">
        <f>J62-I62</f>
        <v>217727.99999999907</v>
      </c>
      <c r="K60" s="22">
        <f t="shared" si="29"/>
        <v>261273.60000000137</v>
      </c>
      <c r="L60" s="22">
        <f t="shared" si="29"/>
        <v>313528.3200000003</v>
      </c>
      <c r="M60" s="22">
        <f t="shared" si="29"/>
        <v>376233.9840000025</v>
      </c>
      <c r="N60" s="22">
        <f t="shared" si="29"/>
        <v>451480.78079999331</v>
      </c>
    </row>
    <row r="61" spans="1:16" ht="15" customHeight="1" x14ac:dyDescent="0.45">
      <c r="B61" s="185"/>
      <c r="C61" s="193"/>
      <c r="D61" s="19" t="s">
        <v>47</v>
      </c>
      <c r="E61" s="22"/>
      <c r="F61" s="22"/>
      <c r="G61" s="22"/>
      <c r="H61" s="22"/>
      <c r="I61" s="22">
        <f>AVERAGE(E60:I60)</f>
        <v>130228.00000000003</v>
      </c>
      <c r="J61" s="22"/>
      <c r="K61" s="22"/>
      <c r="L61" s="22"/>
      <c r="M61" s="22"/>
      <c r="N61" s="22">
        <f>AVERAGE(E60:N60)</f>
        <v>227138.46847999966</v>
      </c>
    </row>
    <row r="62" spans="1:16" ht="14.25" x14ac:dyDescent="0.45">
      <c r="B62" s="186"/>
      <c r="C62" s="193"/>
      <c r="D62" s="19" t="s">
        <v>46</v>
      </c>
      <c r="E62" s="21">
        <f t="shared" ref="E62:N62" si="30">E54*E$15</f>
        <v>87500.000000000015</v>
      </c>
      <c r="F62" s="21">
        <f t="shared" si="30"/>
        <v>192499.99999999997</v>
      </c>
      <c r="G62" s="21">
        <f t="shared" si="30"/>
        <v>318500.00000000017</v>
      </c>
      <c r="H62" s="21">
        <f t="shared" si="30"/>
        <v>469699.99999999983</v>
      </c>
      <c r="I62" s="21">
        <f t="shared" si="30"/>
        <v>651140.00000000012</v>
      </c>
      <c r="J62" s="21">
        <f t="shared" si="30"/>
        <v>868867.99999999919</v>
      </c>
      <c r="K62" s="21">
        <f t="shared" si="30"/>
        <v>1130141.6000000006</v>
      </c>
      <c r="L62" s="21">
        <f t="shared" si="30"/>
        <v>1443669.9200000009</v>
      </c>
      <c r="M62" s="21">
        <f t="shared" si="30"/>
        <v>1819903.9040000034</v>
      </c>
      <c r="N62" s="21">
        <f t="shared" si="30"/>
        <v>2271384.6847999967</v>
      </c>
    </row>
    <row r="63" spans="1:16" ht="14.25" x14ac:dyDescent="0.45">
      <c r="A63" s="8"/>
      <c r="B63" s="3"/>
      <c r="C63" s="1"/>
      <c r="D63" s="43"/>
      <c r="E63" s="31"/>
      <c r="F63" s="31"/>
      <c r="G63" s="31"/>
      <c r="H63" s="31"/>
      <c r="I63" s="31"/>
      <c r="J63" s="31"/>
      <c r="K63" s="31"/>
      <c r="L63" s="31"/>
      <c r="M63" s="31"/>
      <c r="N63" s="31"/>
      <c r="O63" s="8"/>
      <c r="P63" s="8"/>
    </row>
    <row r="64" spans="1:16" ht="14.25" x14ac:dyDescent="0.45">
      <c r="B64" s="189" t="s">
        <v>115</v>
      </c>
      <c r="C64" s="187" t="s">
        <v>21</v>
      </c>
      <c r="D64" s="180" t="str">
        <f>"10 BTC / "&amp;TEXT($E$4*10, "$###0.00,,")&amp;"M USD"</f>
        <v>10 BTC / $1.00M USD</v>
      </c>
      <c r="E64" s="174" t="s">
        <v>3</v>
      </c>
      <c r="F64" s="174" t="s">
        <v>4</v>
      </c>
      <c r="G64" s="174" t="s">
        <v>5</v>
      </c>
      <c r="H64" s="174" t="s">
        <v>6</v>
      </c>
      <c r="I64" s="174" t="s">
        <v>7</v>
      </c>
      <c r="J64" s="174" t="s">
        <v>8</v>
      </c>
      <c r="K64" s="174" t="s">
        <v>9</v>
      </c>
      <c r="L64" s="174" t="s">
        <v>10</v>
      </c>
      <c r="M64" s="174" t="s">
        <v>11</v>
      </c>
      <c r="N64" s="174" t="s">
        <v>12</v>
      </c>
    </row>
    <row r="65" spans="2:14" ht="14.25" x14ac:dyDescent="0.45">
      <c r="B65" s="190"/>
      <c r="C65" s="188"/>
      <c r="D65" s="181"/>
      <c r="E65" s="175"/>
      <c r="F65" s="175"/>
      <c r="G65" s="175"/>
      <c r="H65" s="175"/>
      <c r="I65" s="175"/>
      <c r="J65" s="175"/>
      <c r="K65" s="175"/>
      <c r="L65" s="175"/>
      <c r="M65" s="175"/>
      <c r="N65" s="175"/>
    </row>
    <row r="66" spans="2:14" ht="14.25" x14ac:dyDescent="0.45">
      <c r="B66" s="193" t="s">
        <v>16</v>
      </c>
      <c r="C66" s="192" t="s">
        <v>32</v>
      </c>
      <c r="D66" s="15" t="s">
        <v>58</v>
      </c>
      <c r="E66" s="16">
        <f>E$23</f>
        <v>0.25</v>
      </c>
      <c r="F66" s="16">
        <f t="shared" ref="F66:N66" si="31">F$23</f>
        <v>0.20833333333333337</v>
      </c>
      <c r="G66" s="16">
        <f t="shared" si="31"/>
        <v>0.17361111111111105</v>
      </c>
      <c r="H66" s="16">
        <f t="shared" si="31"/>
        <v>0.14467592592592599</v>
      </c>
      <c r="I66" s="16">
        <f t="shared" si="31"/>
        <v>0.12056327160493824</v>
      </c>
      <c r="J66" s="16">
        <f t="shared" si="31"/>
        <v>0.10046939300411534</v>
      </c>
      <c r="K66" s="16">
        <f t="shared" si="31"/>
        <v>8.3724494170095975E-2</v>
      </c>
      <c r="L66" s="16">
        <f t="shared" si="31"/>
        <v>6.9770411808413313E-2</v>
      </c>
      <c r="M66" s="16">
        <f t="shared" si="31"/>
        <v>5.8142009840344344E-2</v>
      </c>
      <c r="N66" s="16">
        <f t="shared" si="31"/>
        <v>4.8451674866953787E-2</v>
      </c>
    </row>
    <row r="67" spans="2:14" ht="14.25" x14ac:dyDescent="0.45">
      <c r="B67" s="193"/>
      <c r="C67" s="192"/>
      <c r="D67" s="15" t="s">
        <v>59</v>
      </c>
      <c r="E67" s="16"/>
      <c r="F67" s="16"/>
      <c r="G67" s="16"/>
      <c r="H67" s="16"/>
      <c r="I67" s="80">
        <f>AVERAGE(E66:I66)</f>
        <v>0.17943672839506175</v>
      </c>
      <c r="J67" s="16"/>
      <c r="K67" s="16"/>
      <c r="L67" s="16"/>
      <c r="M67" s="16"/>
      <c r="N67" s="17">
        <f>AVERAGE(E66:N66)</f>
        <v>0.12577416256652313</v>
      </c>
    </row>
    <row r="68" spans="2:14" ht="14.25" x14ac:dyDescent="0.45">
      <c r="B68" s="193"/>
      <c r="C68" s="192"/>
      <c r="D68" s="15" t="s">
        <v>42</v>
      </c>
      <c r="E68" s="16">
        <f>E$17*(E66/E$19)</f>
        <v>0.25</v>
      </c>
      <c r="F68" s="16">
        <f t="shared" ref="F68:N68" si="32">F$17*(F66/F$19)</f>
        <v>0.45833333333333337</v>
      </c>
      <c r="G68" s="16">
        <f>G$17*(G66/G$19)</f>
        <v>0.63194444444444442</v>
      </c>
      <c r="H68" s="16">
        <f>H$17*(H66/H$19)</f>
        <v>0.77662037037037046</v>
      </c>
      <c r="I68" s="16">
        <f>I$17*(I66/I$19)</f>
        <v>0.89718364197530864</v>
      </c>
      <c r="J68" s="16">
        <f t="shared" si="32"/>
        <v>0.99765303497942392</v>
      </c>
      <c r="K68" s="16">
        <f t="shared" si="32"/>
        <v>1.08137752914952</v>
      </c>
      <c r="L68" s="16">
        <f t="shared" si="32"/>
        <v>1.1511479409579333</v>
      </c>
      <c r="M68" s="16">
        <f t="shared" si="32"/>
        <v>1.2092899507982775</v>
      </c>
      <c r="N68" s="16">
        <f t="shared" si="32"/>
        <v>1.2577416256652314</v>
      </c>
    </row>
    <row r="69" spans="2:14" ht="14.25" customHeight="1" x14ac:dyDescent="0.45">
      <c r="B69" s="193"/>
      <c r="C69" s="193"/>
      <c r="D69" s="19" t="s">
        <v>45</v>
      </c>
      <c r="E69" s="20">
        <f>10*E66</f>
        <v>2.5</v>
      </c>
      <c r="F69" s="20">
        <f t="shared" ref="F69:N69" si="33">10*F66</f>
        <v>2.0833333333333339</v>
      </c>
      <c r="G69" s="20">
        <f t="shared" si="33"/>
        <v>1.7361111111111105</v>
      </c>
      <c r="H69" s="20">
        <f t="shared" si="33"/>
        <v>1.44675925925926</v>
      </c>
      <c r="I69" s="20">
        <f t="shared" si="33"/>
        <v>1.2056327160493825</v>
      </c>
      <c r="J69" s="20">
        <f t="shared" si="33"/>
        <v>1.0046939300411535</v>
      </c>
      <c r="K69" s="20">
        <f t="shared" si="33"/>
        <v>0.83724494170095975</v>
      </c>
      <c r="L69" s="20">
        <f t="shared" si="33"/>
        <v>0.69770411808413313</v>
      </c>
      <c r="M69" s="20">
        <f t="shared" si="33"/>
        <v>0.58142009840344344</v>
      </c>
      <c r="N69" s="20">
        <f t="shared" si="33"/>
        <v>0.48451674866953787</v>
      </c>
    </row>
    <row r="70" spans="2:14" ht="14.25" x14ac:dyDescent="0.45">
      <c r="B70" s="193"/>
      <c r="C70" s="193"/>
      <c r="D70" s="19" t="s">
        <v>46</v>
      </c>
      <c r="E70" s="20">
        <f>10*E68</f>
        <v>2.5</v>
      </c>
      <c r="F70" s="20">
        <f>10*F68</f>
        <v>4.5833333333333339</v>
      </c>
      <c r="G70" s="20">
        <f>10*G68</f>
        <v>6.3194444444444446</v>
      </c>
      <c r="H70" s="20">
        <f t="shared" ref="H70:N70" si="34">10*H68</f>
        <v>7.7662037037037042</v>
      </c>
      <c r="I70" s="20">
        <f t="shared" si="34"/>
        <v>8.9718364197530871</v>
      </c>
      <c r="J70" s="20">
        <f t="shared" si="34"/>
        <v>9.9765303497942384</v>
      </c>
      <c r="K70" s="20">
        <f t="shared" si="34"/>
        <v>10.813775291495201</v>
      </c>
      <c r="L70" s="20">
        <f t="shared" si="34"/>
        <v>11.511479409579334</v>
      </c>
      <c r="M70" s="20">
        <f t="shared" si="34"/>
        <v>12.092899507982775</v>
      </c>
      <c r="N70" s="20">
        <f t="shared" si="34"/>
        <v>12.577416256652313</v>
      </c>
    </row>
    <row r="71" spans="2:14" ht="14.25" x14ac:dyDescent="0.45">
      <c r="B71" s="193"/>
      <c r="C71" s="191" t="s">
        <v>36</v>
      </c>
      <c r="D71" s="15" t="s">
        <v>43</v>
      </c>
      <c r="E71" s="16">
        <f t="shared" ref="E71:N71" si="35">E66*E$15/$E$4</f>
        <v>0.3</v>
      </c>
      <c r="F71" s="16">
        <f t="shared" si="35"/>
        <v>0.30000000000000004</v>
      </c>
      <c r="G71" s="16">
        <f t="shared" si="35"/>
        <v>0.29999999999999988</v>
      </c>
      <c r="H71" s="16">
        <f t="shared" si="35"/>
        <v>0.3000000000000001</v>
      </c>
      <c r="I71" s="16">
        <f t="shared" si="35"/>
        <v>0.29999999999999993</v>
      </c>
      <c r="J71" s="16">
        <f t="shared" si="35"/>
        <v>0.30000000000000038</v>
      </c>
      <c r="K71" s="16">
        <f t="shared" si="35"/>
        <v>0.29999999999999988</v>
      </c>
      <c r="L71" s="16">
        <f t="shared" si="35"/>
        <v>0.29999999999999982</v>
      </c>
      <c r="M71" s="16">
        <f t="shared" si="35"/>
        <v>0.29999999999999938</v>
      </c>
      <c r="N71" s="16">
        <f t="shared" si="35"/>
        <v>0.30000000000000038</v>
      </c>
    </row>
    <row r="72" spans="2:14" ht="14.25" customHeight="1" x14ac:dyDescent="0.45">
      <c r="B72" s="193"/>
      <c r="C72" s="193"/>
      <c r="D72" s="19" t="s">
        <v>45</v>
      </c>
      <c r="E72" s="21">
        <f t="shared" ref="E72:N72" si="36">E69*E$15</f>
        <v>300000</v>
      </c>
      <c r="F72" s="21">
        <f t="shared" si="36"/>
        <v>300000.00000000006</v>
      </c>
      <c r="G72" s="21">
        <f>G69*G$15</f>
        <v>299999.99999999988</v>
      </c>
      <c r="H72" s="21">
        <f>H69*H$15</f>
        <v>300000.00000000017</v>
      </c>
      <c r="I72" s="21">
        <f>I69*I$15</f>
        <v>299999.99999999994</v>
      </c>
      <c r="J72" s="21">
        <f t="shared" si="36"/>
        <v>300000.00000000041</v>
      </c>
      <c r="K72" s="21">
        <f t="shared" si="36"/>
        <v>299999.99999999983</v>
      </c>
      <c r="L72" s="21">
        <f t="shared" si="36"/>
        <v>299999.99999999983</v>
      </c>
      <c r="M72" s="21">
        <f t="shared" si="36"/>
        <v>299999.99999999942</v>
      </c>
      <c r="N72" s="21">
        <f t="shared" si="36"/>
        <v>300000.00000000041</v>
      </c>
    </row>
    <row r="73" spans="2:14" ht="14.25" x14ac:dyDescent="0.45">
      <c r="B73" s="193"/>
      <c r="C73" s="193"/>
      <c r="D73" s="19" t="s">
        <v>46</v>
      </c>
      <c r="E73" s="21">
        <f>E72</f>
        <v>300000</v>
      </c>
      <c r="F73" s="21">
        <f>E73+F72</f>
        <v>600000</v>
      </c>
      <c r="G73" s="21">
        <f>F73+G72</f>
        <v>899999.99999999988</v>
      </c>
      <c r="H73" s="21">
        <f t="shared" ref="H73:N73" si="37">G73+H72</f>
        <v>1200000</v>
      </c>
      <c r="I73" s="21">
        <f t="shared" si="37"/>
        <v>1500000</v>
      </c>
      <c r="J73" s="21">
        <f>I73+J72</f>
        <v>1800000.0000000005</v>
      </c>
      <c r="K73" s="21">
        <f t="shared" si="37"/>
        <v>2100000.0000000005</v>
      </c>
      <c r="L73" s="21">
        <f t="shared" si="37"/>
        <v>2400000.0000000005</v>
      </c>
      <c r="M73" s="21">
        <f t="shared" si="37"/>
        <v>2700000</v>
      </c>
      <c r="N73" s="21">
        <f t="shared" si="37"/>
        <v>3000000.0000000005</v>
      </c>
    </row>
    <row r="74" spans="2:14" ht="14.25" x14ac:dyDescent="0.45">
      <c r="B74" s="193"/>
      <c r="C74" s="191" t="s">
        <v>35</v>
      </c>
      <c r="D74" s="15" t="s">
        <v>43</v>
      </c>
      <c r="E74" s="16">
        <f>E68*E$15/$E$4</f>
        <v>0.3</v>
      </c>
      <c r="F74" s="16">
        <f>F68*F$15/$E$4-E74</f>
        <v>0.36000000000000004</v>
      </c>
      <c r="G74" s="16">
        <f>G68*G$15/$E$4-F74-E74</f>
        <v>0.432</v>
      </c>
      <c r="H74" s="16">
        <f>H68*H$15/$E$4-G74-F74-E74</f>
        <v>0.51840000000000019</v>
      </c>
      <c r="I74" s="16">
        <f>I68*I$15/$E$4-H74-G74-F74-E74</f>
        <v>0.62207999999999952</v>
      </c>
      <c r="J74" s="16">
        <f>J68*J$15/$E$4-I74-H74-G74-F74-E74</f>
        <v>0.74649600000000049</v>
      </c>
      <c r="K74" s="16">
        <f>K68*K$15/$E$4-J74-I74-H74-G74-F74-E74</f>
        <v>0.89579520000000024</v>
      </c>
      <c r="L74" s="16">
        <f>L68*L$15/$E$4-K74-J74-I74-H74-G74-F74-E74</f>
        <v>1.0749542399999994</v>
      </c>
      <c r="M74" s="16">
        <f>M68*M$15/$E$4-L74-K74-J74-I74-H74-G74-F74-E74</f>
        <v>1.2899450879999987</v>
      </c>
      <c r="N74" s="16">
        <f>N68*N$15/$E$4-M74-L74-K74-J74-I74-H74-G74-F74-E74</f>
        <v>1.5479341056000004</v>
      </c>
    </row>
    <row r="75" spans="2:14" ht="14.25" x14ac:dyDescent="0.45">
      <c r="B75" s="193"/>
      <c r="C75" s="192"/>
      <c r="D75" s="15" t="s">
        <v>44</v>
      </c>
      <c r="E75" s="17"/>
      <c r="F75" s="17"/>
      <c r="G75" s="17"/>
      <c r="H75" s="17"/>
      <c r="I75" s="17">
        <f>AVERAGE(E74:I74)</f>
        <v>0.44649599999999995</v>
      </c>
      <c r="J75" s="17"/>
      <c r="K75" s="17"/>
      <c r="L75" s="17"/>
      <c r="M75" s="17"/>
      <c r="N75" s="17">
        <f>AVERAGE(E74:N74)</f>
        <v>0.77876046335999993</v>
      </c>
    </row>
    <row r="76" spans="2:14" ht="14.25" x14ac:dyDescent="0.45">
      <c r="B76" s="193"/>
      <c r="C76" s="193"/>
      <c r="D76" s="19" t="s">
        <v>45</v>
      </c>
      <c r="E76" s="22">
        <f>E78</f>
        <v>300000</v>
      </c>
      <c r="F76" s="22">
        <f>F78-E78</f>
        <v>360000.00000000012</v>
      </c>
      <c r="G76" s="22">
        <f>G78-F78</f>
        <v>431999.99999999988</v>
      </c>
      <c r="H76" s="22">
        <f t="shared" ref="H76:N76" si="38">H78-G78</f>
        <v>518400</v>
      </c>
      <c r="I76" s="22">
        <f t="shared" si="38"/>
        <v>622080</v>
      </c>
      <c r="J76" s="22">
        <f>J78-I78</f>
        <v>746496</v>
      </c>
      <c r="K76" s="22">
        <f t="shared" si="38"/>
        <v>895795.20000000112</v>
      </c>
      <c r="L76" s="22">
        <f t="shared" si="38"/>
        <v>1074954.2399999993</v>
      </c>
      <c r="M76" s="22">
        <f t="shared" si="38"/>
        <v>1289945.0879999986</v>
      </c>
      <c r="N76" s="22">
        <f t="shared" si="38"/>
        <v>1547934.1055999994</v>
      </c>
    </row>
    <row r="77" spans="2:14" ht="14.25" x14ac:dyDescent="0.45">
      <c r="B77" s="193"/>
      <c r="C77" s="193"/>
      <c r="D77" s="19" t="s">
        <v>47</v>
      </c>
      <c r="E77" s="22"/>
      <c r="F77" s="22"/>
      <c r="G77" s="22"/>
      <c r="H77" s="22"/>
      <c r="I77" s="22">
        <f>AVERAGE(E76:I76)</f>
        <v>446496</v>
      </c>
      <c r="J77" s="22"/>
      <c r="K77" s="22"/>
      <c r="L77" s="22"/>
      <c r="M77" s="22"/>
      <c r="N77" s="22">
        <f>AVERAGE(E76:N76)</f>
        <v>778760.46335999982</v>
      </c>
    </row>
    <row r="78" spans="2:14" ht="14.25" x14ac:dyDescent="0.45">
      <c r="B78" s="193"/>
      <c r="C78" s="193"/>
      <c r="D78" s="19" t="s">
        <v>46</v>
      </c>
      <c r="E78" s="21">
        <f t="shared" ref="E78:N78" si="39">E70*E$15</f>
        <v>300000</v>
      </c>
      <c r="F78" s="21">
        <f t="shared" si="39"/>
        <v>660000.00000000012</v>
      </c>
      <c r="G78" s="21">
        <f>G70*G$15</f>
        <v>1092000</v>
      </c>
      <c r="H78" s="21">
        <f>H70*H$15</f>
        <v>1610400</v>
      </c>
      <c r="I78" s="21">
        <f>I70*I$15</f>
        <v>2232480</v>
      </c>
      <c r="J78" s="21">
        <f t="shared" si="39"/>
        <v>2978976</v>
      </c>
      <c r="K78" s="21">
        <f t="shared" si="39"/>
        <v>3874771.2000000011</v>
      </c>
      <c r="L78" s="21">
        <f t="shared" si="39"/>
        <v>4949725.4400000004</v>
      </c>
      <c r="M78" s="21">
        <f t="shared" si="39"/>
        <v>6239670.527999999</v>
      </c>
      <c r="N78" s="21">
        <f t="shared" si="39"/>
        <v>7787604.6335999984</v>
      </c>
    </row>
    <row r="79" spans="2:14" ht="14.25" x14ac:dyDescent="0.45">
      <c r="B79" s="193" t="s">
        <v>137</v>
      </c>
      <c r="C79" s="192" t="s">
        <v>32</v>
      </c>
      <c r="D79" s="15" t="s">
        <v>43</v>
      </c>
      <c r="E79" s="16">
        <f>E$25</f>
        <v>4.6666666666666662E-2</v>
      </c>
      <c r="F79" s="16">
        <f t="shared" ref="F79:N79" si="40">F$25</f>
        <v>4.3888888888888887E-2</v>
      </c>
      <c r="G79" s="16">
        <f t="shared" si="40"/>
        <v>4.1574074074074076E-2</v>
      </c>
      <c r="H79" s="16">
        <f t="shared" si="40"/>
        <v>3.9645061728395062E-2</v>
      </c>
      <c r="I79" s="16">
        <f t="shared" si="40"/>
        <v>3.803755144032922E-2</v>
      </c>
      <c r="J79" s="16">
        <f t="shared" si="40"/>
        <v>3.6697959533607681E-2</v>
      </c>
      <c r="K79" s="16">
        <f t="shared" si="40"/>
        <v>3.5581632944673064E-2</v>
      </c>
      <c r="L79" s="16">
        <f t="shared" si="40"/>
        <v>3.4651360787227553E-2</v>
      </c>
      <c r="M79" s="16">
        <f t="shared" si="40"/>
        <v>3.3876133989356294E-2</v>
      </c>
      <c r="N79" s="16">
        <f t="shared" si="40"/>
        <v>3.3230111657796914E-2</v>
      </c>
    </row>
    <row r="80" spans="2:14" ht="14.25" x14ac:dyDescent="0.45">
      <c r="B80" s="193"/>
      <c r="C80" s="192"/>
      <c r="D80" s="15" t="s">
        <v>44</v>
      </c>
      <c r="E80" s="16"/>
      <c r="F80" s="16"/>
      <c r="G80" s="16"/>
      <c r="H80" s="16"/>
      <c r="I80" s="80">
        <f>AVERAGE(E79:I79)</f>
        <v>4.1962448559670781E-2</v>
      </c>
      <c r="J80" s="17"/>
      <c r="K80" s="17"/>
      <c r="L80" s="17"/>
      <c r="M80" s="17"/>
      <c r="N80" s="17">
        <f>AVERAGE(E79:N79)</f>
        <v>3.8384944171101547E-2</v>
      </c>
    </row>
    <row r="81" spans="2:14" ht="14.25" x14ac:dyDescent="0.45">
      <c r="B81" s="193"/>
      <c r="C81" s="192"/>
      <c r="D81" s="15" t="s">
        <v>42</v>
      </c>
      <c r="E81" s="16">
        <f>E$27</f>
        <v>4.6666666666666662E-2</v>
      </c>
      <c r="F81" s="16">
        <f t="shared" ref="F81:N81" si="41">F$27</f>
        <v>9.0555555555555556E-2</v>
      </c>
      <c r="G81" s="16">
        <f t="shared" si="41"/>
        <v>0.13212962962962962</v>
      </c>
      <c r="H81" s="16">
        <f t="shared" si="41"/>
        <v>0.1717746913580247</v>
      </c>
      <c r="I81" s="16">
        <f t="shared" si="41"/>
        <v>0.20981224279835392</v>
      </c>
      <c r="J81" s="16">
        <f t="shared" si="41"/>
        <v>0.24651020233196161</v>
      </c>
      <c r="K81" s="16">
        <f t="shared" si="41"/>
        <v>0.28209183527663467</v>
      </c>
      <c r="L81" s="16">
        <f t="shared" si="41"/>
        <v>0.31674319606386225</v>
      </c>
      <c r="M81" s="16">
        <f t="shared" si="41"/>
        <v>0.35061933005321855</v>
      </c>
      <c r="N81" s="16">
        <f t="shared" si="41"/>
        <v>0.38384944171101548</v>
      </c>
    </row>
    <row r="82" spans="2:14" ht="14.25" customHeight="1" x14ac:dyDescent="0.45">
      <c r="B82" s="193"/>
      <c r="C82" s="193"/>
      <c r="D82" s="19" t="s">
        <v>45</v>
      </c>
      <c r="E82" s="20">
        <f t="shared" ref="E82:N82" si="42">10*E79</f>
        <v>0.46666666666666662</v>
      </c>
      <c r="F82" s="20">
        <f t="shared" si="42"/>
        <v>0.43888888888888888</v>
      </c>
      <c r="G82" s="20">
        <f t="shared" si="42"/>
        <v>0.41574074074074074</v>
      </c>
      <c r="H82" s="20">
        <f t="shared" si="42"/>
        <v>0.39645061728395059</v>
      </c>
      <c r="I82" s="20">
        <f t="shared" si="42"/>
        <v>0.3803755144032922</v>
      </c>
      <c r="J82" s="20">
        <f t="shared" si="42"/>
        <v>0.36697959533607682</v>
      </c>
      <c r="K82" s="20">
        <f t="shared" si="42"/>
        <v>0.35581632944673064</v>
      </c>
      <c r="L82" s="20">
        <f t="shared" si="42"/>
        <v>0.34651360787227553</v>
      </c>
      <c r="M82" s="20">
        <f t="shared" si="42"/>
        <v>0.33876133989356294</v>
      </c>
      <c r="N82" s="20">
        <f t="shared" si="42"/>
        <v>0.33230111657796912</v>
      </c>
    </row>
    <row r="83" spans="2:14" ht="14.25" x14ac:dyDescent="0.45">
      <c r="B83" s="193"/>
      <c r="C83" s="193"/>
      <c r="D83" s="19" t="s">
        <v>46</v>
      </c>
      <c r="E83" s="20">
        <f>10*E81</f>
        <v>0.46666666666666662</v>
      </c>
      <c r="F83" s="20">
        <f t="shared" ref="F83:N83" si="43">10*F81</f>
        <v>0.90555555555555556</v>
      </c>
      <c r="G83" s="20">
        <f t="shared" si="43"/>
        <v>1.3212962962962962</v>
      </c>
      <c r="H83" s="20">
        <f t="shared" si="43"/>
        <v>1.717746913580247</v>
      </c>
      <c r="I83" s="20">
        <f t="shared" si="43"/>
        <v>2.0981224279835393</v>
      </c>
      <c r="J83" s="20">
        <f t="shared" si="43"/>
        <v>2.4651020233196159</v>
      </c>
      <c r="K83" s="20">
        <f t="shared" si="43"/>
        <v>2.8209183527663466</v>
      </c>
      <c r="L83" s="20">
        <f t="shared" si="43"/>
        <v>3.1674319606386225</v>
      </c>
      <c r="M83" s="20">
        <f t="shared" si="43"/>
        <v>3.5061933005321855</v>
      </c>
      <c r="N83" s="20">
        <f t="shared" si="43"/>
        <v>3.8384944171101547</v>
      </c>
    </row>
    <row r="84" spans="2:14" ht="14.25" x14ac:dyDescent="0.45">
      <c r="B84" s="193"/>
      <c r="C84" s="191" t="s">
        <v>36</v>
      </c>
      <c r="D84" s="15" t="s">
        <v>43</v>
      </c>
      <c r="E84" s="16">
        <f>E79*E$15/$E$4</f>
        <v>5.5999999999999994E-2</v>
      </c>
      <c r="F84" s="16">
        <f t="shared" ref="F84:N84" si="44">F79*F$15/$E$4</f>
        <v>6.3200000000000006E-2</v>
      </c>
      <c r="G84" s="16">
        <f t="shared" si="44"/>
        <v>7.1840000000000001E-2</v>
      </c>
      <c r="H84" s="16">
        <f t="shared" si="44"/>
        <v>8.2207999999999989E-2</v>
      </c>
      <c r="I84" s="16">
        <f t="shared" si="44"/>
        <v>9.4649600000000014E-2</v>
      </c>
      <c r="J84" s="16">
        <f t="shared" si="44"/>
        <v>0.10957952000000001</v>
      </c>
      <c r="K84" s="16">
        <f t="shared" si="44"/>
        <v>0.127495424</v>
      </c>
      <c r="L84" s="16">
        <f t="shared" si="44"/>
        <v>0.14899450879999998</v>
      </c>
      <c r="M84" s="16">
        <f t="shared" si="44"/>
        <v>0.17479341055999997</v>
      </c>
      <c r="N84" s="16">
        <f t="shared" si="44"/>
        <v>0.20575209267200001</v>
      </c>
    </row>
    <row r="85" spans="2:14" ht="14.25" x14ac:dyDescent="0.45">
      <c r="B85" s="193"/>
      <c r="C85" s="192"/>
      <c r="D85" s="15" t="s">
        <v>44</v>
      </c>
      <c r="E85" s="16"/>
      <c r="F85" s="16"/>
      <c r="G85" s="16"/>
      <c r="H85" s="16"/>
      <c r="I85" s="17">
        <f>AVERAGE(E84:I84)</f>
        <v>7.3579519999999995E-2</v>
      </c>
      <c r="J85" s="17"/>
      <c r="K85" s="17"/>
      <c r="L85" s="17"/>
      <c r="M85" s="17"/>
      <c r="N85" s="17">
        <f>AVERAGE(E84:N84)</f>
        <v>0.11345125560319999</v>
      </c>
    </row>
    <row r="86" spans="2:14" ht="14.25" x14ac:dyDescent="0.45">
      <c r="B86" s="193"/>
      <c r="C86" s="193"/>
      <c r="D86" s="19" t="s">
        <v>45</v>
      </c>
      <c r="E86" s="23">
        <f t="shared" ref="E86:F86" si="45">E82*E$15</f>
        <v>55999.999999999993</v>
      </c>
      <c r="F86" s="23">
        <f t="shared" si="45"/>
        <v>63200</v>
      </c>
      <c r="G86" s="23">
        <f>G82*G$15</f>
        <v>71840</v>
      </c>
      <c r="H86" s="23">
        <f>H82*H$15</f>
        <v>82208</v>
      </c>
      <c r="I86" s="23">
        <f>I82*I$15</f>
        <v>94649.600000000006</v>
      </c>
      <c r="J86" s="23">
        <f t="shared" ref="J86:N86" si="46">J82*J$15</f>
        <v>109579.52</v>
      </c>
      <c r="K86" s="23">
        <f t="shared" si="46"/>
        <v>127495.42399999998</v>
      </c>
      <c r="L86" s="23">
        <f t="shared" si="46"/>
        <v>148994.50879999998</v>
      </c>
      <c r="M86" s="23">
        <f t="shared" si="46"/>
        <v>174793.41055999999</v>
      </c>
      <c r="N86" s="23">
        <f t="shared" si="46"/>
        <v>205752.09267199997</v>
      </c>
    </row>
    <row r="87" spans="2:14" ht="14.25" customHeight="1" x14ac:dyDescent="0.45">
      <c r="B87" s="193"/>
      <c r="C87" s="193"/>
      <c r="D87" s="19" t="s">
        <v>47</v>
      </c>
      <c r="E87" s="24"/>
      <c r="F87" s="24"/>
      <c r="G87" s="24"/>
      <c r="H87" s="24"/>
      <c r="I87" s="23">
        <f>AVERAGE(E86:I86)</f>
        <v>73579.51999999999</v>
      </c>
      <c r="J87" s="23"/>
      <c r="K87" s="23"/>
      <c r="L87" s="23"/>
      <c r="M87" s="23"/>
      <c r="N87" s="23">
        <f>AVERAGE(E86:N86)</f>
        <v>113451.25560319998</v>
      </c>
    </row>
    <row r="88" spans="2:14" ht="14.25" x14ac:dyDescent="0.45">
      <c r="B88" s="193"/>
      <c r="C88" s="193"/>
      <c r="D88" s="19" t="s">
        <v>46</v>
      </c>
      <c r="E88" s="24">
        <f>E86</f>
        <v>55999.999999999993</v>
      </c>
      <c r="F88" s="24">
        <f t="shared" ref="F88" si="47">E88+F86</f>
        <v>119200</v>
      </c>
      <c r="G88" s="24">
        <f>F88+G86</f>
        <v>191040</v>
      </c>
      <c r="H88" s="24">
        <f t="shared" ref="H88:I88" si="48">G88+H86</f>
        <v>273248</v>
      </c>
      <c r="I88" s="24">
        <f t="shared" si="48"/>
        <v>367897.59999999998</v>
      </c>
      <c r="J88" s="24">
        <f>I88+J86</f>
        <v>477477.12</v>
      </c>
      <c r="K88" s="24">
        <f t="shared" ref="K88:N88" si="49">J88+K86</f>
        <v>604972.54399999999</v>
      </c>
      <c r="L88" s="24">
        <f t="shared" si="49"/>
        <v>753967.05279999995</v>
      </c>
      <c r="M88" s="24">
        <f t="shared" si="49"/>
        <v>928760.46335999994</v>
      </c>
      <c r="N88" s="24">
        <f t="shared" si="49"/>
        <v>1134512.5560319999</v>
      </c>
    </row>
    <row r="89" spans="2:14" ht="14.25" x14ac:dyDescent="0.45">
      <c r="B89" s="193"/>
      <c r="C89" s="191" t="s">
        <v>35</v>
      </c>
      <c r="D89" s="15" t="s">
        <v>43</v>
      </c>
      <c r="E89" s="16">
        <f>E81*E$15/$E$4</f>
        <v>5.5999999999999994E-2</v>
      </c>
      <c r="F89" s="16">
        <f>F81*F$15/$E$4-E89</f>
        <v>7.4399999999999994E-2</v>
      </c>
      <c r="G89" s="16">
        <f>G81*G$15/$E$4-F89-E89</f>
        <v>9.7920000000000007E-2</v>
      </c>
      <c r="H89" s="16">
        <f>H81*H$15/$E$4-G89-F89-E89</f>
        <v>0.12787200000000007</v>
      </c>
      <c r="I89" s="16">
        <f>I81*I$15/$E$4-H89-G89-F89-E89</f>
        <v>0.1658879999999999</v>
      </c>
      <c r="J89" s="16">
        <f>J81*J$15/$E$4-I89-H89-G89-F89-E89</f>
        <v>0.21399552000000005</v>
      </c>
      <c r="K89" s="16">
        <f>K81*K$15/$E$4-J89-I89-H89-G89-F89-E89</f>
        <v>0.27471052800000001</v>
      </c>
      <c r="L89" s="16">
        <f>L81*L$15/$E$4-K89-J89-I89-H89-G89-F89-E89</f>
        <v>0.3511517184000002</v>
      </c>
      <c r="M89" s="16">
        <f>M81*M$15/$E$4-L89-K89-J89-I89-H89-G89-F89-E89</f>
        <v>0.44718096383999978</v>
      </c>
      <c r="N89" s="16">
        <f>N81*N$15/$E$4-M89-L89-K89-J89-I89-H89-G89-F89-E89</f>
        <v>0.56757583872000006</v>
      </c>
    </row>
    <row r="90" spans="2:14" ht="14.25" x14ac:dyDescent="0.45">
      <c r="B90" s="193"/>
      <c r="C90" s="192"/>
      <c r="D90" s="15" t="s">
        <v>44</v>
      </c>
      <c r="E90" s="17"/>
      <c r="F90" s="17"/>
      <c r="G90" s="17"/>
      <c r="H90" s="17"/>
      <c r="I90" s="17">
        <f>AVERAGE(E89:I89)</f>
        <v>0.10441599999999999</v>
      </c>
      <c r="J90" s="17"/>
      <c r="K90" s="17"/>
      <c r="L90" s="17"/>
      <c r="M90" s="17"/>
      <c r="N90" s="17">
        <f>AVERAGE(E89:N89)</f>
        <v>0.23766945689599997</v>
      </c>
    </row>
    <row r="91" spans="2:14" ht="14.25" x14ac:dyDescent="0.45">
      <c r="B91" s="193"/>
      <c r="C91" s="193"/>
      <c r="D91" s="19" t="s">
        <v>45</v>
      </c>
      <c r="E91" s="23">
        <f>E93</f>
        <v>55999.999999999993</v>
      </c>
      <c r="F91" s="23">
        <f>F93-E93</f>
        <v>74400</v>
      </c>
      <c r="G91" s="23">
        <f>G93-F93</f>
        <v>97919.999999999971</v>
      </c>
      <c r="H91" s="23">
        <f>H93-G93</f>
        <v>127872.00000000003</v>
      </c>
      <c r="I91" s="23">
        <f>I93-H93</f>
        <v>165888.00000000006</v>
      </c>
      <c r="J91" s="23">
        <f>J93-I93</f>
        <v>213995.51999999996</v>
      </c>
      <c r="K91" s="23">
        <f t="shared" ref="K91:N91" si="50">K93-J93</f>
        <v>274710.52800000005</v>
      </c>
      <c r="L91" s="23">
        <f t="shared" si="50"/>
        <v>351151.71840000001</v>
      </c>
      <c r="M91" s="23">
        <f t="shared" si="50"/>
        <v>447180.9638400001</v>
      </c>
      <c r="N91" s="23">
        <f t="shared" si="50"/>
        <v>567575.83872000012</v>
      </c>
    </row>
    <row r="92" spans="2:14" ht="14.25" x14ac:dyDescent="0.45">
      <c r="B92" s="193"/>
      <c r="C92" s="193"/>
      <c r="D92" s="19" t="s">
        <v>47</v>
      </c>
      <c r="E92" s="23"/>
      <c r="F92" s="23"/>
      <c r="G92" s="23"/>
      <c r="H92" s="23"/>
      <c r="I92" s="23">
        <f>AVERAGE(E91:I91)</f>
        <v>104416.00000000001</v>
      </c>
      <c r="J92" s="23"/>
      <c r="K92" s="23"/>
      <c r="L92" s="23"/>
      <c r="M92" s="23"/>
      <c r="N92" s="23">
        <f>AVERAGE(E91:N91)</f>
        <v>237669.45689600002</v>
      </c>
    </row>
    <row r="93" spans="2:14" ht="14.25" x14ac:dyDescent="0.45">
      <c r="B93" s="193"/>
      <c r="C93" s="193"/>
      <c r="D93" s="19" t="s">
        <v>46</v>
      </c>
      <c r="E93" s="24">
        <f t="shared" ref="E93:F93" si="51">E83*E$15</f>
        <v>55999.999999999993</v>
      </c>
      <c r="F93" s="24">
        <f t="shared" si="51"/>
        <v>130400</v>
      </c>
      <c r="G93" s="24">
        <f>G83*G$15</f>
        <v>228319.99999999997</v>
      </c>
      <c r="H93" s="24">
        <f>H83*H$15</f>
        <v>356192</v>
      </c>
      <c r="I93" s="24">
        <f>I83*I$15</f>
        <v>522080.00000000006</v>
      </c>
      <c r="J93" s="24">
        <f t="shared" ref="J93:N93" si="52">J83*J$15</f>
        <v>736075.52</v>
      </c>
      <c r="K93" s="24">
        <f t="shared" si="52"/>
        <v>1010786.0480000001</v>
      </c>
      <c r="L93" s="24">
        <f t="shared" si="52"/>
        <v>1361937.7664000001</v>
      </c>
      <c r="M93" s="24">
        <f t="shared" si="52"/>
        <v>1809118.7302400002</v>
      </c>
      <c r="N93" s="24">
        <f t="shared" si="52"/>
        <v>2376694.5689600003</v>
      </c>
    </row>
    <row r="94" spans="2:14" ht="14.25" x14ac:dyDescent="0.45">
      <c r="B94" s="193" t="s">
        <v>17</v>
      </c>
      <c r="C94" s="192" t="s">
        <v>32</v>
      </c>
      <c r="D94" s="15" t="s">
        <v>43</v>
      </c>
      <c r="E94" s="16">
        <f>E$28</f>
        <v>2.3333333333333331E-2</v>
      </c>
      <c r="F94" s="16">
        <f t="shared" ref="F94:N94" si="53">F$28</f>
        <v>2.1944444444444444E-2</v>
      </c>
      <c r="G94" s="16">
        <f t="shared" si="53"/>
        <v>2.0787037037037038E-2</v>
      </c>
      <c r="H94" s="16">
        <f t="shared" si="53"/>
        <v>1.9822530864197531E-2</v>
      </c>
      <c r="I94" s="16">
        <f t="shared" si="53"/>
        <v>1.901877572016461E-2</v>
      </c>
      <c r="J94" s="16">
        <f t="shared" si="53"/>
        <v>1.8348979766803841E-2</v>
      </c>
      <c r="K94" s="16">
        <f t="shared" si="53"/>
        <v>1.7790816472336532E-2</v>
      </c>
      <c r="L94" s="16">
        <f t="shared" si="53"/>
        <v>1.7325680393613777E-2</v>
      </c>
      <c r="M94" s="16">
        <f t="shared" si="53"/>
        <v>1.6938066994678147E-2</v>
      </c>
      <c r="N94" s="16">
        <f t="shared" si="53"/>
        <v>1.6615055828898457E-2</v>
      </c>
    </row>
    <row r="95" spans="2:14" ht="14.25" x14ac:dyDescent="0.45">
      <c r="B95" s="193"/>
      <c r="C95" s="192"/>
      <c r="D95" s="15" t="s">
        <v>44</v>
      </c>
      <c r="E95" s="16"/>
      <c r="F95" s="16"/>
      <c r="G95" s="16"/>
      <c r="H95" s="16"/>
      <c r="I95" s="80">
        <f>AVERAGE(E94:I94)</f>
        <v>2.0981224279835391E-2</v>
      </c>
      <c r="J95" s="17"/>
      <c r="K95" s="17"/>
      <c r="L95" s="17"/>
      <c r="M95" s="17"/>
      <c r="N95" s="17">
        <f>AVERAGE(E94:N94)</f>
        <v>1.9192472085550773E-2</v>
      </c>
    </row>
    <row r="96" spans="2:14" ht="14.25" x14ac:dyDescent="0.45">
      <c r="B96" s="193"/>
      <c r="C96" s="192"/>
      <c r="D96" s="15" t="s">
        <v>42</v>
      </c>
      <c r="E96" s="16">
        <f t="shared" ref="E96:N96" si="54">E$30</f>
        <v>2.3333333333333331E-2</v>
      </c>
      <c r="F96" s="16">
        <f t="shared" si="54"/>
        <v>4.5277777777777778E-2</v>
      </c>
      <c r="G96" s="16">
        <f t="shared" si="54"/>
        <v>6.6064814814814812E-2</v>
      </c>
      <c r="H96" s="16">
        <f t="shared" si="54"/>
        <v>8.588734567901235E-2</v>
      </c>
      <c r="I96" s="16">
        <f t="shared" si="54"/>
        <v>0.10490612139917696</v>
      </c>
      <c r="J96" s="16">
        <f t="shared" si="54"/>
        <v>0.1232551011659808</v>
      </c>
      <c r="K96" s="16">
        <f t="shared" si="54"/>
        <v>0.14104591763831734</v>
      </c>
      <c r="L96" s="16">
        <f t="shared" si="54"/>
        <v>0.15837159803193113</v>
      </c>
      <c r="M96" s="16">
        <f t="shared" si="54"/>
        <v>0.17530966502660927</v>
      </c>
      <c r="N96" s="16">
        <f t="shared" si="54"/>
        <v>0.19192472085550774</v>
      </c>
    </row>
    <row r="97" spans="2:14" ht="14.25" customHeight="1" x14ac:dyDescent="0.45">
      <c r="B97" s="193"/>
      <c r="C97" s="193"/>
      <c r="D97" s="19" t="s">
        <v>45</v>
      </c>
      <c r="E97" s="20">
        <f t="shared" ref="E97:N97" si="55">10*E94</f>
        <v>0.23333333333333331</v>
      </c>
      <c r="F97" s="20">
        <f t="shared" si="55"/>
        <v>0.21944444444444444</v>
      </c>
      <c r="G97" s="20">
        <f t="shared" si="55"/>
        <v>0.20787037037037037</v>
      </c>
      <c r="H97" s="20">
        <f t="shared" si="55"/>
        <v>0.1982253086419753</v>
      </c>
      <c r="I97" s="20">
        <f t="shared" si="55"/>
        <v>0.1901877572016461</v>
      </c>
      <c r="J97" s="20">
        <f t="shared" si="55"/>
        <v>0.18348979766803841</v>
      </c>
      <c r="K97" s="20">
        <f t="shared" si="55"/>
        <v>0.17790816472336532</v>
      </c>
      <c r="L97" s="20">
        <f t="shared" si="55"/>
        <v>0.17325680393613777</v>
      </c>
      <c r="M97" s="20">
        <f t="shared" si="55"/>
        <v>0.16938066994678147</v>
      </c>
      <c r="N97" s="20">
        <f t="shared" si="55"/>
        <v>0.16615055828898456</v>
      </c>
    </row>
    <row r="98" spans="2:14" ht="14.25" x14ac:dyDescent="0.45">
      <c r="B98" s="193"/>
      <c r="C98" s="193"/>
      <c r="D98" s="19" t="s">
        <v>46</v>
      </c>
      <c r="E98" s="20">
        <f>10*E96</f>
        <v>0.23333333333333331</v>
      </c>
      <c r="F98" s="20">
        <f t="shared" ref="F98:N98" si="56">10*F96</f>
        <v>0.45277777777777778</v>
      </c>
      <c r="G98" s="20">
        <f t="shared" si="56"/>
        <v>0.6606481481481481</v>
      </c>
      <c r="H98" s="20">
        <f t="shared" si="56"/>
        <v>0.8588734567901235</v>
      </c>
      <c r="I98" s="20">
        <f t="shared" si="56"/>
        <v>1.0490612139917697</v>
      </c>
      <c r="J98" s="20">
        <f t="shared" si="56"/>
        <v>1.232551011659808</v>
      </c>
      <c r="K98" s="20">
        <f t="shared" si="56"/>
        <v>1.4104591763831733</v>
      </c>
      <c r="L98" s="20">
        <f t="shared" si="56"/>
        <v>1.5837159803193113</v>
      </c>
      <c r="M98" s="20">
        <f t="shared" si="56"/>
        <v>1.7530966502660927</v>
      </c>
      <c r="N98" s="20">
        <f t="shared" si="56"/>
        <v>1.9192472085550774</v>
      </c>
    </row>
    <row r="99" spans="2:14" ht="14.25" x14ac:dyDescent="0.45">
      <c r="B99" s="193"/>
      <c r="C99" s="191" t="s">
        <v>36</v>
      </c>
      <c r="D99" s="15" t="s">
        <v>43</v>
      </c>
      <c r="E99" s="16">
        <f t="shared" ref="E99:N99" si="57">E94*E$15/$E$4</f>
        <v>2.7999999999999997E-2</v>
      </c>
      <c r="F99" s="16">
        <f t="shared" si="57"/>
        <v>3.1600000000000003E-2</v>
      </c>
      <c r="G99" s="16">
        <f t="shared" si="57"/>
        <v>3.5920000000000001E-2</v>
      </c>
      <c r="H99" s="16">
        <f t="shared" si="57"/>
        <v>4.1103999999999995E-2</v>
      </c>
      <c r="I99" s="16">
        <f t="shared" si="57"/>
        <v>4.7324800000000007E-2</v>
      </c>
      <c r="J99" s="16">
        <f t="shared" si="57"/>
        <v>5.4789760000000007E-2</v>
      </c>
      <c r="K99" s="16">
        <f t="shared" si="57"/>
        <v>6.3747711999999998E-2</v>
      </c>
      <c r="L99" s="16">
        <f t="shared" si="57"/>
        <v>7.449725439999999E-2</v>
      </c>
      <c r="M99" s="16">
        <f t="shared" si="57"/>
        <v>8.7396705279999987E-2</v>
      </c>
      <c r="N99" s="16">
        <f t="shared" si="57"/>
        <v>0.102876046336</v>
      </c>
    </row>
    <row r="100" spans="2:14" ht="14.25" x14ac:dyDescent="0.45">
      <c r="B100" s="193"/>
      <c r="C100" s="192"/>
      <c r="D100" s="15" t="s">
        <v>44</v>
      </c>
      <c r="E100" s="16"/>
      <c r="F100" s="16"/>
      <c r="G100" s="16"/>
      <c r="H100" s="16"/>
      <c r="I100" s="17">
        <f>AVERAGE(E99:I99)</f>
        <v>3.6789759999999998E-2</v>
      </c>
      <c r="J100" s="17"/>
      <c r="K100" s="17"/>
      <c r="L100" s="17"/>
      <c r="M100" s="17"/>
      <c r="N100" s="17">
        <f>AVERAGE(E99:N99)</f>
        <v>5.6725627801599995E-2</v>
      </c>
    </row>
    <row r="101" spans="2:14" ht="14.25" x14ac:dyDescent="0.45">
      <c r="B101" s="193"/>
      <c r="C101" s="193"/>
      <c r="D101" s="19" t="s">
        <v>45</v>
      </c>
      <c r="E101" s="23">
        <f t="shared" ref="E101:N101" si="58">E97*E$15</f>
        <v>27999.999999999996</v>
      </c>
      <c r="F101" s="23">
        <f t="shared" si="58"/>
        <v>31600</v>
      </c>
      <c r="G101" s="23">
        <f>G97*G$15</f>
        <v>35920</v>
      </c>
      <c r="H101" s="23">
        <f>H97*H$15</f>
        <v>41104</v>
      </c>
      <c r="I101" s="23">
        <f>I97*I$15</f>
        <v>47324.800000000003</v>
      </c>
      <c r="J101" s="23">
        <f t="shared" si="58"/>
        <v>54789.760000000002</v>
      </c>
      <c r="K101" s="23">
        <f t="shared" si="58"/>
        <v>63747.711999999992</v>
      </c>
      <c r="L101" s="23">
        <f t="shared" si="58"/>
        <v>74497.254399999991</v>
      </c>
      <c r="M101" s="23">
        <f t="shared" si="58"/>
        <v>87396.705279999995</v>
      </c>
      <c r="N101" s="23">
        <f t="shared" si="58"/>
        <v>102876.04633599998</v>
      </c>
    </row>
    <row r="102" spans="2:14" ht="14.25" customHeight="1" x14ac:dyDescent="0.45">
      <c r="B102" s="193"/>
      <c r="C102" s="193"/>
      <c r="D102" s="19" t="s">
        <v>47</v>
      </c>
      <c r="E102" s="24"/>
      <c r="F102" s="24"/>
      <c r="G102" s="24"/>
      <c r="H102" s="24"/>
      <c r="I102" s="23">
        <f>AVERAGE(E101:I101)</f>
        <v>36789.759999999995</v>
      </c>
      <c r="J102" s="23"/>
      <c r="K102" s="23"/>
      <c r="L102" s="23"/>
      <c r="M102" s="23"/>
      <c r="N102" s="23">
        <f>AVERAGE(E101:N101)</f>
        <v>56725.627801599992</v>
      </c>
    </row>
    <row r="103" spans="2:14" ht="14.25" x14ac:dyDescent="0.45">
      <c r="B103" s="193"/>
      <c r="C103" s="193"/>
      <c r="D103" s="19" t="s">
        <v>46</v>
      </c>
      <c r="E103" s="24">
        <f>E101</f>
        <v>27999.999999999996</v>
      </c>
      <c r="F103" s="24">
        <f t="shared" ref="F103:N103" si="59">E103+F101</f>
        <v>59600</v>
      </c>
      <c r="G103" s="24">
        <f>F103+G101</f>
        <v>95520</v>
      </c>
      <c r="H103" s="24">
        <f t="shared" si="59"/>
        <v>136624</v>
      </c>
      <c r="I103" s="24">
        <f t="shared" si="59"/>
        <v>183948.79999999999</v>
      </c>
      <c r="J103" s="24">
        <f>I103+J101</f>
        <v>238738.56</v>
      </c>
      <c r="K103" s="24">
        <f t="shared" si="59"/>
        <v>302486.272</v>
      </c>
      <c r="L103" s="24">
        <f t="shared" si="59"/>
        <v>376983.52639999997</v>
      </c>
      <c r="M103" s="24">
        <f t="shared" si="59"/>
        <v>464380.23167999997</v>
      </c>
      <c r="N103" s="24">
        <f t="shared" si="59"/>
        <v>567256.27801599994</v>
      </c>
    </row>
    <row r="104" spans="2:14" ht="14.25" x14ac:dyDescent="0.45">
      <c r="B104" s="193"/>
      <c r="C104" s="191" t="s">
        <v>35</v>
      </c>
      <c r="D104" s="15" t="s">
        <v>43</v>
      </c>
      <c r="E104" s="16">
        <f>E96*E$15/$E$4</f>
        <v>2.7999999999999997E-2</v>
      </c>
      <c r="F104" s="16">
        <f>F96*F$15/$E$4-E104</f>
        <v>3.7199999999999997E-2</v>
      </c>
      <c r="G104" s="16">
        <f>G96*G$15/$E$4-F104-E104</f>
        <v>4.8960000000000004E-2</v>
      </c>
      <c r="H104" s="16">
        <f>H96*H$15/$E$4-G104-F104-E104</f>
        <v>6.3936000000000034E-2</v>
      </c>
      <c r="I104" s="16">
        <f>I96*I$15/$E$4-H104-G104-F104-E104</f>
        <v>8.2943999999999948E-2</v>
      </c>
      <c r="J104" s="16">
        <f>J96*J$15/$E$4-I104-H104-G104-F104-E104</f>
        <v>0.10699776000000003</v>
      </c>
      <c r="K104" s="16">
        <f>K96*K$15/$E$4-J104-I104-H104-G104-F104-E104</f>
        <v>0.137355264</v>
      </c>
      <c r="L104" s="16">
        <f>L96*L$15/$E$4-K104-J104-I104-H104-G104-F104-E104</f>
        <v>0.1755758592000001</v>
      </c>
      <c r="M104" s="16">
        <f>M96*M$15/$E$4-L104-K104-J104-I104-H104-G104-F104-E104</f>
        <v>0.22359048191999989</v>
      </c>
      <c r="N104" s="16">
        <f>N96*N$15/$E$4-M104-L104-K104-J104-I104-H104-G104-F104-E104</f>
        <v>0.28378791936000003</v>
      </c>
    </row>
    <row r="105" spans="2:14" ht="14.25" x14ac:dyDescent="0.45">
      <c r="B105" s="193"/>
      <c r="C105" s="192"/>
      <c r="D105" s="15" t="s">
        <v>44</v>
      </c>
      <c r="E105" s="17"/>
      <c r="F105" s="17"/>
      <c r="G105" s="17"/>
      <c r="H105" s="17"/>
      <c r="I105" s="17">
        <f>AVERAGE(E104:I104)</f>
        <v>5.2207999999999997E-2</v>
      </c>
      <c r="J105" s="17"/>
      <c r="K105" s="17"/>
      <c r="L105" s="17"/>
      <c r="M105" s="17"/>
      <c r="N105" s="17">
        <f>AVERAGE(E104:N104)</f>
        <v>0.11883472844799998</v>
      </c>
    </row>
    <row r="106" spans="2:14" ht="14.25" x14ac:dyDescent="0.45">
      <c r="B106" s="193"/>
      <c r="C106" s="193"/>
      <c r="D106" s="19" t="s">
        <v>45</v>
      </c>
      <c r="E106" s="23">
        <f>E108</f>
        <v>27999.999999999996</v>
      </c>
      <c r="F106" s="23">
        <f>F108-E108</f>
        <v>37200</v>
      </c>
      <c r="G106" s="23">
        <f>G108-F108</f>
        <v>48959.999999999985</v>
      </c>
      <c r="H106" s="23">
        <f>H108-G108</f>
        <v>63936.000000000015</v>
      </c>
      <c r="I106" s="23">
        <f>I108-H108</f>
        <v>82944.000000000029</v>
      </c>
      <c r="J106" s="23">
        <f>J108-I108</f>
        <v>106997.75999999998</v>
      </c>
      <c r="K106" s="23">
        <f t="shared" ref="K106:N106" si="60">K108-J108</f>
        <v>137355.26400000002</v>
      </c>
      <c r="L106" s="23">
        <f t="shared" si="60"/>
        <v>175575.85920000001</v>
      </c>
      <c r="M106" s="23">
        <f t="shared" si="60"/>
        <v>223590.48192000005</v>
      </c>
      <c r="N106" s="23">
        <f t="shared" si="60"/>
        <v>283787.91936000006</v>
      </c>
    </row>
    <row r="107" spans="2:14" ht="15" customHeight="1" x14ac:dyDescent="0.45">
      <c r="B107" s="193"/>
      <c r="C107" s="193"/>
      <c r="D107" s="19" t="s">
        <v>47</v>
      </c>
      <c r="E107" s="23"/>
      <c r="F107" s="23"/>
      <c r="G107" s="23"/>
      <c r="H107" s="23"/>
      <c r="I107" s="23">
        <f>AVERAGE(E106:I106)</f>
        <v>52208.000000000007</v>
      </c>
      <c r="J107" s="23"/>
      <c r="K107" s="23"/>
      <c r="L107" s="23"/>
      <c r="M107" s="23"/>
      <c r="N107" s="23">
        <f>AVERAGE(E106:N106)</f>
        <v>118834.72844800001</v>
      </c>
    </row>
    <row r="108" spans="2:14" ht="14.25" x14ac:dyDescent="0.45">
      <c r="B108" s="193"/>
      <c r="C108" s="193"/>
      <c r="D108" s="19" t="s">
        <v>46</v>
      </c>
      <c r="E108" s="24">
        <f t="shared" ref="E108:N108" si="61">E98*E$15</f>
        <v>27999.999999999996</v>
      </c>
      <c r="F108" s="24">
        <f t="shared" si="61"/>
        <v>65200</v>
      </c>
      <c r="G108" s="24">
        <f>G98*G$15</f>
        <v>114159.99999999999</v>
      </c>
      <c r="H108" s="24">
        <f>H98*H$15</f>
        <v>178096</v>
      </c>
      <c r="I108" s="24">
        <f>I98*I$15</f>
        <v>261040.00000000003</v>
      </c>
      <c r="J108" s="24">
        <f t="shared" si="61"/>
        <v>368037.76</v>
      </c>
      <c r="K108" s="24">
        <f t="shared" si="61"/>
        <v>505393.02400000003</v>
      </c>
      <c r="L108" s="24">
        <f t="shared" si="61"/>
        <v>680968.88320000004</v>
      </c>
      <c r="M108" s="24">
        <f t="shared" si="61"/>
        <v>904559.36512000009</v>
      </c>
      <c r="N108" s="24">
        <f t="shared" si="61"/>
        <v>1188347.2844800001</v>
      </c>
    </row>
    <row r="109" spans="2:14" ht="14.25" x14ac:dyDescent="0.45">
      <c r="B109" s="193" t="s">
        <v>18</v>
      </c>
      <c r="C109" s="192" t="s">
        <v>32</v>
      </c>
      <c r="D109" s="15" t="s">
        <v>43</v>
      </c>
      <c r="E109" s="16">
        <f>E66+E79+E94-E34-E50</f>
        <v>0.15124999999999994</v>
      </c>
      <c r="F109" s="16">
        <f t="shared" ref="F109:N109" si="62">F66+F79+F94-F34-F50</f>
        <v>0.13354166666666667</v>
      </c>
      <c r="G109" s="16">
        <f t="shared" si="62"/>
        <v>0.11878472222222217</v>
      </c>
      <c r="H109" s="16">
        <f t="shared" si="62"/>
        <v>0.10648726851851856</v>
      </c>
      <c r="I109" s="16">
        <f t="shared" si="62"/>
        <v>9.6239390432098754E-2</v>
      </c>
      <c r="J109" s="16">
        <f t="shared" si="62"/>
        <v>8.7699492026749079E-2</v>
      </c>
      <c r="K109" s="16">
        <f t="shared" si="62"/>
        <v>8.0582910022290746E-2</v>
      </c>
      <c r="L109" s="16">
        <f t="shared" si="62"/>
        <v>7.4652425018575636E-2</v>
      </c>
      <c r="M109" s="16">
        <f t="shared" si="62"/>
        <v>6.9710354182146272E-2</v>
      </c>
      <c r="N109" s="16">
        <f t="shared" si="62"/>
        <v>6.5591961818455377E-2</v>
      </c>
    </row>
    <row r="110" spans="2:14" ht="14.25" x14ac:dyDescent="0.45">
      <c r="B110" s="193"/>
      <c r="C110" s="192"/>
      <c r="D110" s="15" t="s">
        <v>44</v>
      </c>
      <c r="E110" s="16"/>
      <c r="F110" s="16"/>
      <c r="G110" s="16"/>
      <c r="H110" s="16"/>
      <c r="I110" s="38">
        <f>AVERAGE(E109:I109)</f>
        <v>0.12126060956790122</v>
      </c>
      <c r="J110" s="16"/>
      <c r="K110" s="16"/>
      <c r="L110" s="16"/>
      <c r="M110" s="16"/>
      <c r="N110" s="17">
        <f>AVERAGE(E109:N109)</f>
        <v>9.8454019090772324E-2</v>
      </c>
    </row>
    <row r="111" spans="2:14" ht="14.25" x14ac:dyDescent="0.45">
      <c r="B111" s="193"/>
      <c r="C111" s="192"/>
      <c r="D111" s="15" t="s">
        <v>42</v>
      </c>
      <c r="E111" s="16">
        <f>E68+E81+E96-E36-E52</f>
        <v>0.15124999999999994</v>
      </c>
      <c r="F111" s="16">
        <f t="shared" ref="F111:N111" si="63">F68+F81+F96-F36-F52</f>
        <v>0.28479166666666683</v>
      </c>
      <c r="G111" s="16">
        <f t="shared" si="63"/>
        <v>0.40357638888888864</v>
      </c>
      <c r="H111" s="16">
        <f t="shared" si="63"/>
        <v>0.51006365740740756</v>
      </c>
      <c r="I111" s="16">
        <f t="shared" si="63"/>
        <v>0.60630304783950595</v>
      </c>
      <c r="J111" s="16">
        <f t="shared" si="63"/>
        <v>0.69400253986625593</v>
      </c>
      <c r="K111" s="16">
        <f t="shared" si="63"/>
        <v>0.77458544988854561</v>
      </c>
      <c r="L111" s="16">
        <f t="shared" si="63"/>
        <v>0.84923787490712133</v>
      </c>
      <c r="M111" s="16">
        <f t="shared" si="63"/>
        <v>0.91894822908926632</v>
      </c>
      <c r="N111" s="16">
        <f t="shared" si="63"/>
        <v>0.98454019090772449</v>
      </c>
    </row>
    <row r="112" spans="2:14" ht="14.25" x14ac:dyDescent="0.45">
      <c r="B112" s="193"/>
      <c r="C112" s="193"/>
      <c r="D112" s="19" t="s">
        <v>45</v>
      </c>
      <c r="E112" s="20">
        <f>10*E109</f>
        <v>1.5124999999999993</v>
      </c>
      <c r="F112" s="20">
        <f t="shared" ref="F112:N112" si="64">10*F109</f>
        <v>1.3354166666666667</v>
      </c>
      <c r="G112" s="20">
        <f t="shared" si="64"/>
        <v>1.1878472222222216</v>
      </c>
      <c r="H112" s="20">
        <f t="shared" si="64"/>
        <v>1.0648726851851855</v>
      </c>
      <c r="I112" s="20">
        <f t="shared" si="64"/>
        <v>0.96239390432098748</v>
      </c>
      <c r="J112" s="20">
        <f t="shared" si="64"/>
        <v>0.87699492026749082</v>
      </c>
      <c r="K112" s="20">
        <f t="shared" si="64"/>
        <v>0.80582910022290744</v>
      </c>
      <c r="L112" s="20">
        <f t="shared" si="64"/>
        <v>0.7465242501857563</v>
      </c>
      <c r="M112" s="20">
        <f t="shared" si="64"/>
        <v>0.69710354182146272</v>
      </c>
      <c r="N112" s="20">
        <f t="shared" si="64"/>
        <v>0.6559196181845538</v>
      </c>
    </row>
    <row r="113" spans="1:16" ht="14.25" x14ac:dyDescent="0.45">
      <c r="B113" s="193"/>
      <c r="C113" s="193"/>
      <c r="D113" s="19" t="s">
        <v>46</v>
      </c>
      <c r="E113" s="20">
        <f>10*E111</f>
        <v>1.5124999999999993</v>
      </c>
      <c r="F113" s="20">
        <f>10*F111</f>
        <v>2.8479166666666682</v>
      </c>
      <c r="G113" s="20">
        <f>10*G111</f>
        <v>4.0357638888888863</v>
      </c>
      <c r="H113" s="20">
        <f t="shared" ref="H113:N113" si="65">10*H111</f>
        <v>5.1006365740740751</v>
      </c>
      <c r="I113" s="20">
        <f t="shared" si="65"/>
        <v>6.0630304783950599</v>
      </c>
      <c r="J113" s="20">
        <f t="shared" si="65"/>
        <v>6.9400253986625593</v>
      </c>
      <c r="K113" s="20">
        <f t="shared" si="65"/>
        <v>7.7458544988854561</v>
      </c>
      <c r="L113" s="20">
        <f t="shared" si="65"/>
        <v>8.4923787490712126</v>
      </c>
      <c r="M113" s="20">
        <f t="shared" si="65"/>
        <v>9.1894822908926628</v>
      </c>
      <c r="N113" s="20">
        <f t="shared" si="65"/>
        <v>9.8454019090772444</v>
      </c>
    </row>
    <row r="114" spans="1:16" ht="14.25" x14ac:dyDescent="0.45">
      <c r="B114" s="193"/>
      <c r="C114" s="191" t="s">
        <v>36</v>
      </c>
      <c r="D114" s="15" t="s">
        <v>43</v>
      </c>
      <c r="E114" s="16">
        <f>E71+E84+E99-E39-E55</f>
        <v>0.18150000000000002</v>
      </c>
      <c r="F114" s="16">
        <f t="shared" ref="F114:N114" si="66">F71+F84+F99-F39-F55</f>
        <v>0.19230000000000011</v>
      </c>
      <c r="G114" s="16">
        <f t="shared" si="66"/>
        <v>0.20525999999999991</v>
      </c>
      <c r="H114" s="16">
        <f t="shared" si="66"/>
        <v>0.22081200000000009</v>
      </c>
      <c r="I114" s="16">
        <f t="shared" si="66"/>
        <v>0.23947439999999995</v>
      </c>
      <c r="J114" s="16">
        <f t="shared" si="66"/>
        <v>0.26186928000000043</v>
      </c>
      <c r="K114" s="16">
        <f t="shared" si="66"/>
        <v>0.2887431359999999</v>
      </c>
      <c r="L114" s="16">
        <f t="shared" si="66"/>
        <v>0.32099176319999978</v>
      </c>
      <c r="M114" s="16">
        <f t="shared" si="66"/>
        <v>0.35969011583999932</v>
      </c>
      <c r="N114" s="16">
        <f t="shared" si="66"/>
        <v>0.40612813900800038</v>
      </c>
    </row>
    <row r="115" spans="1:16" ht="14.25" x14ac:dyDescent="0.45">
      <c r="B115" s="193"/>
      <c r="C115" s="192"/>
      <c r="D115" s="15" t="s">
        <v>44</v>
      </c>
      <c r="E115" s="16"/>
      <c r="F115" s="16"/>
      <c r="G115" s="16"/>
      <c r="H115" s="16"/>
      <c r="I115" s="17">
        <f>AVERAGE(E114:I114)</f>
        <v>0.20786928000000002</v>
      </c>
      <c r="J115" s="17"/>
      <c r="K115" s="17"/>
      <c r="L115" s="17"/>
      <c r="M115" s="17"/>
      <c r="N115" s="17">
        <f>AVERAGE(E114:N114)</f>
        <v>0.2676768834048</v>
      </c>
    </row>
    <row r="116" spans="1:16" ht="14.25" x14ac:dyDescent="0.45">
      <c r="B116" s="193"/>
      <c r="C116" s="193"/>
      <c r="D116" s="19" t="s">
        <v>45</v>
      </c>
      <c r="E116" s="22">
        <f t="shared" ref="E116:N116" si="67">E112*E$15</f>
        <v>181499.99999999991</v>
      </c>
      <c r="F116" s="22">
        <f t="shared" si="67"/>
        <v>192300</v>
      </c>
      <c r="G116" s="22">
        <f>G112*G$15</f>
        <v>205259.99999999988</v>
      </c>
      <c r="H116" s="22">
        <f>H112*H$15</f>
        <v>220812.00000000006</v>
      </c>
      <c r="I116" s="22">
        <f>I112*I$15</f>
        <v>239474.39999999997</v>
      </c>
      <c r="J116" s="22">
        <f t="shared" si="67"/>
        <v>261869.28000000035</v>
      </c>
      <c r="K116" s="22">
        <f t="shared" si="67"/>
        <v>288743.13599999977</v>
      </c>
      <c r="L116" s="22">
        <f t="shared" si="67"/>
        <v>320991.76319999981</v>
      </c>
      <c r="M116" s="22">
        <f t="shared" si="67"/>
        <v>359690.11583999934</v>
      </c>
      <c r="N116" s="22">
        <f t="shared" si="67"/>
        <v>406128.13900800026</v>
      </c>
    </row>
    <row r="117" spans="1:16" ht="14.25" x14ac:dyDescent="0.45">
      <c r="B117" s="193"/>
      <c r="C117" s="193"/>
      <c r="D117" s="19" t="s">
        <v>47</v>
      </c>
      <c r="E117" s="21"/>
      <c r="F117" s="21"/>
      <c r="G117" s="21"/>
      <c r="H117" s="21"/>
      <c r="I117" s="22">
        <f>AVERAGE(E116:I116)</f>
        <v>207869.27999999994</v>
      </c>
      <c r="J117" s="22"/>
      <c r="K117" s="22"/>
      <c r="L117" s="22"/>
      <c r="M117" s="22"/>
      <c r="N117" s="22">
        <f>AVERAGE(E116:N116)</f>
        <v>267676.88340479991</v>
      </c>
    </row>
    <row r="118" spans="1:16" ht="14.25" x14ac:dyDescent="0.45">
      <c r="B118" s="193"/>
      <c r="C118" s="193"/>
      <c r="D118" s="19" t="s">
        <v>46</v>
      </c>
      <c r="E118" s="21">
        <f>E116</f>
        <v>181499.99999999991</v>
      </c>
      <c r="F118" s="21">
        <f t="shared" ref="F118:N118" si="68">E118+F116</f>
        <v>373799.99999999988</v>
      </c>
      <c r="G118" s="21">
        <f>F118+G116</f>
        <v>579059.99999999977</v>
      </c>
      <c r="H118" s="21">
        <f t="shared" si="68"/>
        <v>799871.99999999977</v>
      </c>
      <c r="I118" s="21">
        <f t="shared" si="68"/>
        <v>1039346.3999999997</v>
      </c>
      <c r="J118" s="21">
        <f>I118+J116</f>
        <v>1301215.68</v>
      </c>
      <c r="K118" s="21">
        <f t="shared" si="68"/>
        <v>1589958.8159999996</v>
      </c>
      <c r="L118" s="21">
        <f t="shared" si="68"/>
        <v>1910950.5791999996</v>
      </c>
      <c r="M118" s="21">
        <f t="shared" si="68"/>
        <v>2270640.6950399987</v>
      </c>
      <c r="N118" s="21">
        <f t="shared" si="68"/>
        <v>2676768.8340479992</v>
      </c>
    </row>
    <row r="119" spans="1:16" ht="15" customHeight="1" x14ac:dyDescent="0.45">
      <c r="B119" s="193"/>
      <c r="C119" s="191" t="s">
        <v>35</v>
      </c>
      <c r="D119" s="15" t="s">
        <v>43</v>
      </c>
      <c r="E119" s="16">
        <f>E74+E89+E104-E42-E58</f>
        <v>0.18150000000000002</v>
      </c>
      <c r="F119" s="16">
        <f t="shared" ref="F119:N119" si="69">F74+F89+F104-F42-F58</f>
        <v>0.22860000000000008</v>
      </c>
      <c r="G119" s="16">
        <f t="shared" si="69"/>
        <v>0.28727999999999954</v>
      </c>
      <c r="H119" s="16">
        <f t="shared" si="69"/>
        <v>0.36028800000000105</v>
      </c>
      <c r="I119" s="16">
        <f t="shared" si="69"/>
        <v>0.45100799999999874</v>
      </c>
      <c r="J119" s="16">
        <f t="shared" si="69"/>
        <v>0.56360448000000285</v>
      </c>
      <c r="K119" s="16">
        <f t="shared" si="69"/>
        <v>0.70319923199999668</v>
      </c>
      <c r="L119" s="16">
        <f t="shared" si="69"/>
        <v>0.87608770559999938</v>
      </c>
      <c r="M119" s="16">
        <f t="shared" si="69"/>
        <v>1.0900035993599919</v>
      </c>
      <c r="N119" s="16">
        <f t="shared" si="69"/>
        <v>1.354442342400016</v>
      </c>
    </row>
    <row r="120" spans="1:16" ht="15" customHeight="1" x14ac:dyDescent="0.45">
      <c r="B120" s="193"/>
      <c r="C120" s="192"/>
      <c r="D120" s="15" t="s">
        <v>44</v>
      </c>
      <c r="E120" s="17"/>
      <c r="F120" s="17"/>
      <c r="G120" s="17"/>
      <c r="H120" s="17"/>
      <c r="I120" s="17">
        <f>AVERAGE(E119:I119)</f>
        <v>0.30173519999999987</v>
      </c>
      <c r="J120" s="17"/>
      <c r="K120" s="17"/>
      <c r="L120" s="17"/>
      <c r="M120" s="17"/>
      <c r="N120" s="17">
        <f>AVERAGE(E119:N119)</f>
        <v>0.60960133593600063</v>
      </c>
    </row>
    <row r="121" spans="1:16" ht="15" customHeight="1" x14ac:dyDescent="0.45">
      <c r="B121" s="193"/>
      <c r="C121" s="193"/>
      <c r="D121" s="19" t="s">
        <v>45</v>
      </c>
      <c r="E121" s="22">
        <f>E123</f>
        <v>181499.99999999991</v>
      </c>
      <c r="F121" s="22">
        <f>F123-E123</f>
        <v>228600.00000000032</v>
      </c>
      <c r="G121" s="22">
        <f>G123-F123</f>
        <v>287279.9999999993</v>
      </c>
      <c r="H121" s="22">
        <f t="shared" ref="H121:N121" si="70">H123-G123</f>
        <v>360288.0000000007</v>
      </c>
      <c r="I121" s="22">
        <f t="shared" si="70"/>
        <v>451007.9999999993</v>
      </c>
      <c r="J121" s="22">
        <f>J123-I123</f>
        <v>563604.48000000301</v>
      </c>
      <c r="K121" s="22">
        <f t="shared" si="70"/>
        <v>703199.23199999635</v>
      </c>
      <c r="L121" s="22">
        <f t="shared" si="70"/>
        <v>876087.70559999952</v>
      </c>
      <c r="M121" s="22">
        <f t="shared" si="70"/>
        <v>1090003.5993599929</v>
      </c>
      <c r="N121" s="22">
        <f t="shared" si="70"/>
        <v>1354442.3424000153</v>
      </c>
    </row>
    <row r="122" spans="1:16" ht="15" customHeight="1" x14ac:dyDescent="0.45">
      <c r="A122" s="8"/>
      <c r="B122" s="193"/>
      <c r="C122" s="193"/>
      <c r="D122" s="19" t="s">
        <v>47</v>
      </c>
      <c r="E122" s="22"/>
      <c r="F122" s="22"/>
      <c r="G122" s="22"/>
      <c r="H122" s="22"/>
      <c r="I122" s="22">
        <f>AVERAGE(E121:I121)</f>
        <v>301735.1999999999</v>
      </c>
      <c r="J122" s="22"/>
      <c r="K122" s="22"/>
      <c r="L122" s="22"/>
      <c r="M122" s="22"/>
      <c r="N122" s="22">
        <f>AVERAGE(E121:N121)</f>
        <v>609601.33593600069</v>
      </c>
      <c r="O122" s="8"/>
      <c r="P122" s="8"/>
    </row>
    <row r="123" spans="1:16" ht="15" customHeight="1" x14ac:dyDescent="0.45">
      <c r="B123" s="193"/>
      <c r="C123" s="193"/>
      <c r="D123" s="19" t="s">
        <v>46</v>
      </c>
      <c r="E123" s="21">
        <f t="shared" ref="E123:N123" si="71">E113*E$15</f>
        <v>181499.99999999991</v>
      </c>
      <c r="F123" s="21">
        <f t="shared" si="71"/>
        <v>410100.00000000023</v>
      </c>
      <c r="G123" s="21">
        <f>G113*G$15</f>
        <v>697379.99999999953</v>
      </c>
      <c r="H123" s="21">
        <f>H113*H$15</f>
        <v>1057668.0000000002</v>
      </c>
      <c r="I123" s="21">
        <f>I113*I$15</f>
        <v>1508675.9999999995</v>
      </c>
      <c r="J123" s="21">
        <f t="shared" si="71"/>
        <v>2072280.4800000025</v>
      </c>
      <c r="K123" s="21">
        <f t="shared" si="71"/>
        <v>2775479.7119999989</v>
      </c>
      <c r="L123" s="21">
        <f t="shared" si="71"/>
        <v>3651567.4175999984</v>
      </c>
      <c r="M123" s="21">
        <f t="shared" si="71"/>
        <v>4741571.0169599913</v>
      </c>
      <c r="N123" s="21">
        <f t="shared" si="71"/>
        <v>6096013.3593600066</v>
      </c>
    </row>
    <row r="124" spans="1:16" ht="15" customHeight="1" x14ac:dyDescent="0.45">
      <c r="B124" s="1"/>
      <c r="C124" s="1"/>
      <c r="D124" s="40"/>
      <c r="E124" s="10"/>
      <c r="F124" s="10"/>
      <c r="G124" s="10"/>
      <c r="H124" s="10"/>
      <c r="I124" s="10"/>
      <c r="J124" s="10"/>
      <c r="K124" s="10"/>
      <c r="L124" s="10"/>
      <c r="M124" s="10"/>
      <c r="N124" s="10"/>
    </row>
    <row r="125" spans="1:16" ht="15" customHeight="1" x14ac:dyDescent="0.45">
      <c r="B125" s="176" t="s">
        <v>116</v>
      </c>
      <c r="C125" s="178" t="s">
        <v>55</v>
      </c>
      <c r="D125" s="178" t="s">
        <v>54</v>
      </c>
      <c r="E125" s="174" t="s">
        <v>3</v>
      </c>
      <c r="F125" s="174" t="s">
        <v>4</v>
      </c>
      <c r="G125" s="174" t="s">
        <v>5</v>
      </c>
      <c r="H125" s="174" t="s">
        <v>6</v>
      </c>
      <c r="I125" s="174" t="s">
        <v>7</v>
      </c>
      <c r="J125" s="174" t="s">
        <v>8</v>
      </c>
      <c r="K125" s="174" t="s">
        <v>9</v>
      </c>
      <c r="L125" s="174" t="s">
        <v>10</v>
      </c>
      <c r="M125" s="174" t="s">
        <v>11</v>
      </c>
      <c r="N125" s="174" t="s">
        <v>12</v>
      </c>
    </row>
    <row r="126" spans="1:16" ht="15" customHeight="1" x14ac:dyDescent="0.45">
      <c r="B126" s="177"/>
      <c r="C126" s="179"/>
      <c r="D126" s="179"/>
      <c r="E126" s="175"/>
      <c r="F126" s="175"/>
      <c r="G126" s="175"/>
      <c r="H126" s="175"/>
      <c r="I126" s="175"/>
      <c r="J126" s="175"/>
      <c r="K126" s="175"/>
      <c r="L126" s="175"/>
      <c r="M126" s="175"/>
      <c r="N126" s="175"/>
    </row>
    <row r="127" spans="1:16" ht="15" customHeight="1" x14ac:dyDescent="0.45">
      <c r="B127" s="184" t="s">
        <v>137</v>
      </c>
      <c r="C127" s="182">
        <v>20000</v>
      </c>
      <c r="D127" s="44" t="s">
        <v>19</v>
      </c>
      <c r="E127" s="27">
        <f t="shared" ref="E127:N127" si="72">E$53/10*$C127/(2+$E$11)</f>
        <v>583.33333333333337</v>
      </c>
      <c r="F127" s="27">
        <f t="shared" si="72"/>
        <v>486.11111111111103</v>
      </c>
      <c r="G127" s="27">
        <f t="shared" si="72"/>
        <v>405.09259259259267</v>
      </c>
      <c r="H127" s="27">
        <f t="shared" si="72"/>
        <v>337.57716049382714</v>
      </c>
      <c r="I127" s="27">
        <f t="shared" si="72"/>
        <v>281.31430041152259</v>
      </c>
      <c r="J127" s="27">
        <f t="shared" si="72"/>
        <v>234.42858367626886</v>
      </c>
      <c r="K127" s="27">
        <f t="shared" si="72"/>
        <v>195.3571530635574</v>
      </c>
      <c r="L127" s="27">
        <f t="shared" si="72"/>
        <v>162.79762755296449</v>
      </c>
      <c r="M127" s="27">
        <f t="shared" si="72"/>
        <v>135.66468962747041</v>
      </c>
      <c r="N127" s="27">
        <f t="shared" si="72"/>
        <v>113.053908022892</v>
      </c>
    </row>
    <row r="128" spans="1:16" ht="15" customHeight="1" x14ac:dyDescent="0.45">
      <c r="B128" s="185"/>
      <c r="C128" s="182"/>
      <c r="D128" s="19" t="s">
        <v>22</v>
      </c>
      <c r="E128" s="27"/>
      <c r="F128" s="27"/>
      <c r="G128" s="27"/>
      <c r="H128" s="27"/>
      <c r="I128" s="28">
        <f>AVERAGE(E127:I127)</f>
        <v>418.68569958847741</v>
      </c>
      <c r="J128" s="27"/>
      <c r="K128" s="27"/>
      <c r="L128" s="27"/>
      <c r="M128" s="27"/>
      <c r="N128" s="27">
        <f>AVERAGE(E127:N127)</f>
        <v>293.47304598855396</v>
      </c>
    </row>
    <row r="129" spans="2:14" ht="15" customHeight="1" x14ac:dyDescent="0.45">
      <c r="B129" s="185"/>
      <c r="C129" s="182"/>
      <c r="D129" s="19" t="s">
        <v>41</v>
      </c>
      <c r="E129" s="27">
        <f t="shared" ref="E129:N129" si="73">E$54/10*$C127/(2+$E$11)</f>
        <v>583.33333333333337</v>
      </c>
      <c r="F129" s="27">
        <f t="shared" si="73"/>
        <v>1069.4444444444441</v>
      </c>
      <c r="G129" s="27">
        <f t="shared" si="73"/>
        <v>1474.5370370370376</v>
      </c>
      <c r="H129" s="27">
        <f t="shared" si="73"/>
        <v>1812.1141975308633</v>
      </c>
      <c r="I129" s="28">
        <f t="shared" si="73"/>
        <v>2093.4284979423874</v>
      </c>
      <c r="J129" s="27">
        <f t="shared" si="73"/>
        <v>2327.8570816186534</v>
      </c>
      <c r="K129" s="27">
        <f t="shared" si="73"/>
        <v>2523.2142346822143</v>
      </c>
      <c r="L129" s="27">
        <f t="shared" si="73"/>
        <v>2686.0118622351793</v>
      </c>
      <c r="M129" s="27">
        <f t="shared" si="73"/>
        <v>2821.6765518626535</v>
      </c>
      <c r="N129" s="27">
        <f t="shared" si="73"/>
        <v>2934.7304598855362</v>
      </c>
    </row>
    <row r="130" spans="2:14" ht="15" customHeight="1" x14ac:dyDescent="0.45">
      <c r="B130" s="185"/>
      <c r="C130" s="182">
        <v>400000</v>
      </c>
      <c r="D130" s="44" t="s">
        <v>19</v>
      </c>
      <c r="E130" s="27">
        <f t="shared" ref="E130:N130" si="74">E$53/10*$C130/(2+$E$11)</f>
        <v>11666.666666666668</v>
      </c>
      <c r="F130" s="27">
        <f t="shared" si="74"/>
        <v>9722.2222222222208</v>
      </c>
      <c r="G130" s="27">
        <f t="shared" si="74"/>
        <v>8101.851851851854</v>
      </c>
      <c r="H130" s="27">
        <f t="shared" si="74"/>
        <v>6751.5432098765423</v>
      </c>
      <c r="I130" s="27">
        <f t="shared" si="74"/>
        <v>5626.2860082304524</v>
      </c>
      <c r="J130" s="27">
        <f t="shared" si="74"/>
        <v>4688.5716735253773</v>
      </c>
      <c r="K130" s="27">
        <f t="shared" si="74"/>
        <v>3907.1430612711474</v>
      </c>
      <c r="L130" s="27">
        <f t="shared" si="74"/>
        <v>3255.9525510592894</v>
      </c>
      <c r="M130" s="27">
        <f t="shared" si="74"/>
        <v>2713.2937925494084</v>
      </c>
      <c r="N130" s="27">
        <f t="shared" si="74"/>
        <v>2261.0781604578401</v>
      </c>
    </row>
    <row r="131" spans="2:14" ht="15" customHeight="1" x14ac:dyDescent="0.45">
      <c r="B131" s="185"/>
      <c r="C131" s="182"/>
      <c r="D131" s="19" t="s">
        <v>22</v>
      </c>
      <c r="E131" s="27"/>
      <c r="F131" s="27"/>
      <c r="G131" s="27"/>
      <c r="H131" s="27"/>
      <c r="I131" s="28">
        <f>AVERAGE(E130:I130)</f>
        <v>8373.7139917695495</v>
      </c>
      <c r="J131" s="27"/>
      <c r="K131" s="27"/>
      <c r="L131" s="27"/>
      <c r="M131" s="27"/>
      <c r="N131" s="27">
        <f>AVERAGE(E130:N130)</f>
        <v>5869.4609197710806</v>
      </c>
    </row>
    <row r="132" spans="2:14" ht="15" customHeight="1" x14ac:dyDescent="0.45">
      <c r="B132" s="185"/>
      <c r="C132" s="182"/>
      <c r="D132" s="19" t="s">
        <v>41</v>
      </c>
      <c r="E132" s="27">
        <f t="shared" ref="E132:N132" si="75">E$54/10*$C130/(2+$E$11)</f>
        <v>11666.666666666668</v>
      </c>
      <c r="F132" s="27">
        <f t="shared" si="75"/>
        <v>21388.888888888883</v>
      </c>
      <c r="G132" s="27">
        <f t="shared" si="75"/>
        <v>29490.740740740752</v>
      </c>
      <c r="H132" s="27">
        <f t="shared" si="75"/>
        <v>36242.283950617268</v>
      </c>
      <c r="I132" s="28">
        <f t="shared" si="75"/>
        <v>41868.569958847744</v>
      </c>
      <c r="J132" s="27">
        <f t="shared" si="75"/>
        <v>46557.141632373066</v>
      </c>
      <c r="K132" s="27">
        <f t="shared" si="75"/>
        <v>50464.284693644287</v>
      </c>
      <c r="L132" s="27">
        <f t="shared" si="75"/>
        <v>53720.237244703574</v>
      </c>
      <c r="M132" s="27">
        <f t="shared" si="75"/>
        <v>56433.531037253073</v>
      </c>
      <c r="N132" s="27">
        <f t="shared" si="75"/>
        <v>58694.609197710721</v>
      </c>
    </row>
    <row r="133" spans="2:14" ht="15" customHeight="1" x14ac:dyDescent="0.45">
      <c r="B133" s="185"/>
      <c r="C133" s="183">
        <v>1000000</v>
      </c>
      <c r="D133" s="15" t="s">
        <v>19</v>
      </c>
      <c r="E133" s="29">
        <f t="shared" ref="E133:N133" si="76">E$53/10*$C133/(2+$E$11)</f>
        <v>29166.666666666668</v>
      </c>
      <c r="F133" s="29">
        <f t="shared" si="76"/>
        <v>24305.555555555555</v>
      </c>
      <c r="G133" s="29">
        <f t="shared" si="76"/>
        <v>20254.629629629631</v>
      </c>
      <c r="H133" s="29">
        <f t="shared" si="76"/>
        <v>16878.858024691355</v>
      </c>
      <c r="I133" s="29">
        <f t="shared" si="76"/>
        <v>14065.715020576132</v>
      </c>
      <c r="J133" s="29">
        <f t="shared" si="76"/>
        <v>11721.429183813443</v>
      </c>
      <c r="K133" s="29">
        <f t="shared" si="76"/>
        <v>9767.857653177869</v>
      </c>
      <c r="L133" s="29">
        <f t="shared" si="76"/>
        <v>8139.8813776482248</v>
      </c>
      <c r="M133" s="29">
        <f t="shared" si="76"/>
        <v>6783.2344813735208</v>
      </c>
      <c r="N133" s="29">
        <f t="shared" si="76"/>
        <v>5652.6954011446014</v>
      </c>
    </row>
    <row r="134" spans="2:14" ht="15" customHeight="1" x14ac:dyDescent="0.45">
      <c r="B134" s="185"/>
      <c r="C134" s="183"/>
      <c r="D134" s="15" t="s">
        <v>22</v>
      </c>
      <c r="E134" s="29"/>
      <c r="F134" s="29"/>
      <c r="G134" s="29"/>
      <c r="H134" s="29"/>
      <c r="I134" s="30">
        <f>AVERAGE(E133:I133)</f>
        <v>20934.284979423865</v>
      </c>
      <c r="J134" s="29"/>
      <c r="K134" s="29"/>
      <c r="L134" s="29"/>
      <c r="M134" s="29"/>
      <c r="N134" s="29">
        <f>AVERAGE(E133:N133)</f>
        <v>14673.652299427695</v>
      </c>
    </row>
    <row r="135" spans="2:14" ht="15" customHeight="1" x14ac:dyDescent="0.45">
      <c r="B135" s="186"/>
      <c r="C135" s="183"/>
      <c r="D135" s="15" t="s">
        <v>41</v>
      </c>
      <c r="E135" s="29">
        <f t="shared" ref="E135:N135" si="77">E$54/10*$C133/(2+$E$11)</f>
        <v>29166.666666666668</v>
      </c>
      <c r="F135" s="29">
        <f t="shared" si="77"/>
        <v>53472.222222222212</v>
      </c>
      <c r="G135" s="29">
        <f t="shared" si="77"/>
        <v>73726.851851851883</v>
      </c>
      <c r="H135" s="29">
        <f t="shared" si="77"/>
        <v>90605.709876543173</v>
      </c>
      <c r="I135" s="30">
        <f t="shared" si="77"/>
        <v>104671.42489711936</v>
      </c>
      <c r="J135" s="29">
        <f t="shared" si="77"/>
        <v>116392.85408093268</v>
      </c>
      <c r="K135" s="29">
        <f t="shared" si="77"/>
        <v>126160.71173411072</v>
      </c>
      <c r="L135" s="29">
        <f t="shared" si="77"/>
        <v>134300.59311175896</v>
      </c>
      <c r="M135" s="29">
        <f t="shared" si="77"/>
        <v>141083.82759313268</v>
      </c>
      <c r="N135" s="29">
        <f t="shared" si="77"/>
        <v>146736.52299427678</v>
      </c>
    </row>
    <row r="136" spans="2:14" ht="15" customHeight="1" x14ac:dyDescent="0.45">
      <c r="B136" s="3"/>
      <c r="C136" s="1"/>
      <c r="D136" s="40"/>
      <c r="E136" s="10"/>
      <c r="F136" s="10"/>
      <c r="G136" s="10"/>
      <c r="H136" s="10"/>
      <c r="I136" s="10"/>
      <c r="J136" s="10"/>
      <c r="K136" s="10"/>
      <c r="L136" s="10"/>
      <c r="M136" s="10"/>
      <c r="N136" s="10"/>
    </row>
  </sheetData>
  <mergeCells count="105">
    <mergeCell ref="B13:B14"/>
    <mergeCell ref="C13:C14"/>
    <mergeCell ref="D13:D14"/>
    <mergeCell ref="E13:E14"/>
    <mergeCell ref="F13:F14"/>
    <mergeCell ref="G13:G14"/>
    <mergeCell ref="H13:H14"/>
    <mergeCell ref="I13:I14"/>
    <mergeCell ref="J13:J14"/>
    <mergeCell ref="K13:K14"/>
    <mergeCell ref="L13:L14"/>
    <mergeCell ref="M13:M14"/>
    <mergeCell ref="N13:N14"/>
    <mergeCell ref="B64:B65"/>
    <mergeCell ref="C64:C65"/>
    <mergeCell ref="D64:D65"/>
    <mergeCell ref="E64:E65"/>
    <mergeCell ref="F64:F65"/>
    <mergeCell ref="G32:G33"/>
    <mergeCell ref="H32:H33"/>
    <mergeCell ref="I32:I33"/>
    <mergeCell ref="J32:J33"/>
    <mergeCell ref="K32:K33"/>
    <mergeCell ref="L32:L33"/>
    <mergeCell ref="M32:M33"/>
    <mergeCell ref="N32:N33"/>
    <mergeCell ref="B34:B46"/>
    <mergeCell ref="C34:C38"/>
    <mergeCell ref="C39:C41"/>
    <mergeCell ref="C42:C46"/>
    <mergeCell ref="B48:B49"/>
    <mergeCell ref="C48:C49"/>
    <mergeCell ref="D48:D49"/>
    <mergeCell ref="D2:E3"/>
    <mergeCell ref="G2:I3"/>
    <mergeCell ref="K2:N2"/>
    <mergeCell ref="B2:C11"/>
    <mergeCell ref="B94:B108"/>
    <mergeCell ref="C94:C98"/>
    <mergeCell ref="C99:C103"/>
    <mergeCell ref="C104:C108"/>
    <mergeCell ref="B109:B123"/>
    <mergeCell ref="C109:C113"/>
    <mergeCell ref="C114:C118"/>
    <mergeCell ref="B15:B16"/>
    <mergeCell ref="C15:C16"/>
    <mergeCell ref="B25:B27"/>
    <mergeCell ref="C25:C27"/>
    <mergeCell ref="B17:B24"/>
    <mergeCell ref="C17:C24"/>
    <mergeCell ref="B28:B30"/>
    <mergeCell ref="C28:C30"/>
    <mergeCell ref="B32:B33"/>
    <mergeCell ref="C32:C33"/>
    <mergeCell ref="D32:D33"/>
    <mergeCell ref="E32:E33"/>
    <mergeCell ref="F32:F33"/>
    <mergeCell ref="N48:N49"/>
    <mergeCell ref="B50:B62"/>
    <mergeCell ref="C50:C54"/>
    <mergeCell ref="C55:C57"/>
    <mergeCell ref="C58:C62"/>
    <mergeCell ref="G64:G65"/>
    <mergeCell ref="H64:H65"/>
    <mergeCell ref="I64:I65"/>
    <mergeCell ref="J64:J65"/>
    <mergeCell ref="K64:K65"/>
    <mergeCell ref="L64:L65"/>
    <mergeCell ref="M64:M65"/>
    <mergeCell ref="N64:N65"/>
    <mergeCell ref="E48:E49"/>
    <mergeCell ref="F48:F49"/>
    <mergeCell ref="G48:G49"/>
    <mergeCell ref="H48:H49"/>
    <mergeCell ref="I48:I49"/>
    <mergeCell ref="J48:J49"/>
    <mergeCell ref="K48:K49"/>
    <mergeCell ref="L48:L49"/>
    <mergeCell ref="M48:M49"/>
    <mergeCell ref="B66:B78"/>
    <mergeCell ref="C66:C70"/>
    <mergeCell ref="C71:C73"/>
    <mergeCell ref="C74:C78"/>
    <mergeCell ref="B79:B93"/>
    <mergeCell ref="C79:C83"/>
    <mergeCell ref="C84:C88"/>
    <mergeCell ref="C89:C93"/>
    <mergeCell ref="C119:C123"/>
    <mergeCell ref="K125:K126"/>
    <mergeCell ref="L125:L126"/>
    <mergeCell ref="M125:M126"/>
    <mergeCell ref="N125:N126"/>
    <mergeCell ref="B127:B135"/>
    <mergeCell ref="C127:C129"/>
    <mergeCell ref="C130:C132"/>
    <mergeCell ref="C133:C135"/>
    <mergeCell ref="B125:B126"/>
    <mergeCell ref="C125:C126"/>
    <mergeCell ref="D125:D126"/>
    <mergeCell ref="E125:E126"/>
    <mergeCell ref="F125:F126"/>
    <mergeCell ref="G125:G126"/>
    <mergeCell ref="H125:H126"/>
    <mergeCell ref="I125:I126"/>
    <mergeCell ref="J125:J126"/>
  </mergeCells>
  <pageMargins left="0.7" right="0.7" top="0.75" bottom="0.75" header="0.3" footer="0.3"/>
  <pageSetup orientation="portrait" r:id="rId1"/>
  <headerFooter>
    <oddHeader>&amp;R&amp;"Aptos"&amp;12&amp;K000000 Unclassified / Non classifié&amp;1#_x000D_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7A234-FFE3-4BCA-BE51-64E1C0E16C8C}">
  <dimension ref="A1:O136"/>
  <sheetViews>
    <sheetView topLeftCell="A3" zoomScaleNormal="100" workbookViewId="0">
      <selection activeCell="E50" sqref="E5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10.398437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5" width="1.73046875" style="4" customWidth="1"/>
    <col min="16" max="16384" width="9" style="2"/>
  </cols>
  <sheetData>
    <row r="1" spans="1:15" ht="15" customHeight="1" x14ac:dyDescent="0.45">
      <c r="A1" s="8"/>
      <c r="B1" s="8"/>
      <c r="C1" s="8"/>
      <c r="D1" s="8"/>
      <c r="E1" s="8"/>
      <c r="F1" s="8"/>
      <c r="G1" s="8"/>
      <c r="H1" s="8"/>
      <c r="I1" s="8"/>
      <c r="J1" s="8"/>
      <c r="K1" s="61"/>
      <c r="L1" s="61"/>
      <c r="M1" s="61"/>
      <c r="N1" s="61"/>
      <c r="O1" s="8"/>
    </row>
    <row r="2" spans="1:15" ht="58.5" customHeight="1" x14ac:dyDescent="0.45">
      <c r="A2" s="8"/>
      <c r="B2" s="205" t="s">
        <v>110</v>
      </c>
      <c r="C2" s="206"/>
      <c r="D2" s="211" t="s">
        <v>135</v>
      </c>
      <c r="E2" s="212"/>
      <c r="F2" s="8"/>
      <c r="G2" s="214" t="s">
        <v>121</v>
      </c>
      <c r="H2" s="211"/>
      <c r="I2" s="211"/>
      <c r="J2" s="4"/>
      <c r="K2" s="217" t="s">
        <v>113</v>
      </c>
      <c r="L2" s="217"/>
      <c r="M2" s="217"/>
      <c r="N2" s="217"/>
      <c r="O2" s="8"/>
    </row>
    <row r="3" spans="1:15" ht="14.25" x14ac:dyDescent="0.45">
      <c r="A3" s="8"/>
      <c r="B3" s="207"/>
      <c r="C3" s="208"/>
      <c r="D3" s="210"/>
      <c r="E3" s="213"/>
      <c r="F3" s="8"/>
      <c r="G3" s="215"/>
      <c r="H3" s="216"/>
      <c r="I3" s="216"/>
      <c r="J3" s="4"/>
      <c r="K3" s="62" t="s">
        <v>53</v>
      </c>
      <c r="L3" s="62" t="s">
        <v>51</v>
      </c>
      <c r="M3" s="62" t="s">
        <v>32</v>
      </c>
      <c r="N3" s="62" t="s">
        <v>33</v>
      </c>
      <c r="O3" s="8"/>
    </row>
    <row r="4" spans="1:15" ht="14.25" customHeight="1" x14ac:dyDescent="0.45">
      <c r="A4" s="9"/>
      <c r="B4" s="207"/>
      <c r="C4" s="208"/>
      <c r="D4" s="32" t="s">
        <v>2</v>
      </c>
      <c r="E4" s="33">
        <v>100000</v>
      </c>
      <c r="F4" s="9"/>
      <c r="G4" s="74" t="s">
        <v>34</v>
      </c>
      <c r="H4" s="73" t="s">
        <v>39</v>
      </c>
      <c r="I4" s="41">
        <f>I43</f>
        <v>0.17115680000000005</v>
      </c>
      <c r="J4" s="9"/>
      <c r="K4" s="66">
        <f>C127</f>
        <v>20000</v>
      </c>
      <c r="L4" s="67" t="s">
        <v>40</v>
      </c>
      <c r="M4" s="42">
        <f>I128</f>
        <v>498.43535665294928</v>
      </c>
      <c r="N4" s="63">
        <f t="shared" ref="N4:N9" si="0">M4*$I$15</f>
        <v>124026666.66666667</v>
      </c>
      <c r="O4" s="9"/>
    </row>
    <row r="5" spans="1:15" ht="14.25" customHeight="1" x14ac:dyDescent="0.45">
      <c r="A5" s="37"/>
      <c r="B5" s="207"/>
      <c r="C5" s="208"/>
      <c r="D5" s="18" t="s">
        <v>123</v>
      </c>
      <c r="E5" s="35">
        <f>SUMMARY!H5</f>
        <v>0.2</v>
      </c>
      <c r="F5" s="37"/>
      <c r="G5" s="45" t="s">
        <v>37</v>
      </c>
      <c r="H5" s="64" t="s">
        <v>39</v>
      </c>
      <c r="I5" s="79">
        <f>I67</f>
        <v>0.23924897119341565</v>
      </c>
      <c r="J5" s="37"/>
      <c r="K5" s="66">
        <f>C127</f>
        <v>20000</v>
      </c>
      <c r="L5" s="65" t="s">
        <v>41</v>
      </c>
      <c r="M5" s="42">
        <f>I129</f>
        <v>2492.176783264747</v>
      </c>
      <c r="N5" s="63">
        <f t="shared" si="0"/>
        <v>620133333.33333349</v>
      </c>
      <c r="O5" s="37"/>
    </row>
    <row r="6" spans="1:15" ht="14.25" customHeight="1" x14ac:dyDescent="0.45">
      <c r="A6" s="37"/>
      <c r="B6" s="207"/>
      <c r="C6" s="208"/>
      <c r="D6" s="18" t="s">
        <v>136</v>
      </c>
      <c r="E6" s="34">
        <f>SUMMARY!L5</f>
        <v>0.02</v>
      </c>
      <c r="F6" s="37"/>
      <c r="G6" s="45" t="s">
        <v>120</v>
      </c>
      <c r="H6" s="64" t="s">
        <v>39</v>
      </c>
      <c r="I6" s="79">
        <f>I80</f>
        <v>5.1962448559670783E-2</v>
      </c>
      <c r="J6" s="37"/>
      <c r="K6" s="66">
        <f>C130</f>
        <v>400000</v>
      </c>
      <c r="L6" s="67" t="s">
        <v>40</v>
      </c>
      <c r="M6" s="42">
        <f>I131</f>
        <v>9968.7071330589861</v>
      </c>
      <c r="N6" s="63">
        <f t="shared" si="0"/>
        <v>2480533333.3333335</v>
      </c>
      <c r="O6" s="37"/>
    </row>
    <row r="7" spans="1:15" ht="14.25" customHeight="1" x14ac:dyDescent="0.45">
      <c r="A7" s="37"/>
      <c r="B7" s="207"/>
      <c r="C7" s="208"/>
      <c r="D7" s="18" t="s">
        <v>122</v>
      </c>
      <c r="E7" s="34">
        <f>SUMMARY!P5</f>
        <v>0.01</v>
      </c>
      <c r="F7" s="37"/>
      <c r="G7" s="45" t="s">
        <v>57</v>
      </c>
      <c r="H7" s="64" t="s">
        <v>39</v>
      </c>
      <c r="I7" s="79">
        <f>I95</f>
        <v>2.5981224279835392E-2</v>
      </c>
      <c r="J7" s="37"/>
      <c r="K7" s="66">
        <f>C130</f>
        <v>400000</v>
      </c>
      <c r="L7" s="65" t="s">
        <v>41</v>
      </c>
      <c r="M7" s="42">
        <f>I132</f>
        <v>49843.535665294941</v>
      </c>
      <c r="N7" s="63">
        <f t="shared" si="0"/>
        <v>12402666666.666672</v>
      </c>
      <c r="O7" s="37"/>
    </row>
    <row r="8" spans="1:15" ht="14.25" customHeight="1" x14ac:dyDescent="0.45">
      <c r="A8" s="9"/>
      <c r="B8" s="207"/>
      <c r="C8" s="208"/>
      <c r="D8" s="32" t="s">
        <v>130</v>
      </c>
      <c r="E8" s="36">
        <f>SUMMARY!H8</f>
        <v>0.115</v>
      </c>
      <c r="F8" s="9"/>
      <c r="G8" s="45" t="s">
        <v>118</v>
      </c>
      <c r="H8" s="64" t="s">
        <v>39</v>
      </c>
      <c r="I8" s="79">
        <f>-I35</f>
        <v>-6.8784079218107003E-2</v>
      </c>
      <c r="J8" s="9"/>
      <c r="K8" s="75">
        <f>C133</f>
        <v>1000000</v>
      </c>
      <c r="L8" s="76" t="s">
        <v>40</v>
      </c>
      <c r="M8" s="42">
        <f>I134</f>
        <v>24921.767832647463</v>
      </c>
      <c r="N8" s="63">
        <f t="shared" si="0"/>
        <v>6201333333.333334</v>
      </c>
      <c r="O8" s="9"/>
    </row>
    <row r="9" spans="1:15" ht="14.25" customHeight="1" x14ac:dyDescent="0.45">
      <c r="A9" s="9"/>
      <c r="B9" s="207"/>
      <c r="C9" s="208"/>
      <c r="D9" s="32" t="s">
        <v>131</v>
      </c>
      <c r="E9" s="36">
        <f>SUMMARY!P8</f>
        <v>0.05</v>
      </c>
      <c r="F9" s="9"/>
      <c r="G9" s="45" t="s">
        <v>117</v>
      </c>
      <c r="H9" s="64" t="s">
        <v>39</v>
      </c>
      <c r="I9" s="79">
        <f>-I51</f>
        <v>-7.4765303497942387E-2</v>
      </c>
      <c r="J9" s="9"/>
      <c r="K9" s="75">
        <f>C133</f>
        <v>1000000</v>
      </c>
      <c r="L9" s="77" t="s">
        <v>41</v>
      </c>
      <c r="M9" s="42">
        <f>I135</f>
        <v>124608.83916323735</v>
      </c>
      <c r="N9" s="63">
        <f t="shared" si="0"/>
        <v>31006666666.666676</v>
      </c>
      <c r="O9" s="9"/>
    </row>
    <row r="10" spans="1:15" ht="14.25" customHeight="1" x14ac:dyDescent="0.45">
      <c r="A10" s="9"/>
      <c r="B10" s="207"/>
      <c r="C10" s="208"/>
      <c r="D10" s="32" t="s">
        <v>132</v>
      </c>
      <c r="E10" s="36">
        <f>SUMMARY!L8</f>
        <v>7.4999999999999997E-2</v>
      </c>
      <c r="F10" s="9"/>
      <c r="G10" s="72" t="s">
        <v>38</v>
      </c>
      <c r="H10" s="73" t="s">
        <v>39</v>
      </c>
      <c r="I10" s="41">
        <f>I110</f>
        <v>0.17364326131687247</v>
      </c>
      <c r="J10" s="8"/>
      <c r="K10" s="10"/>
      <c r="L10" s="10"/>
      <c r="M10" s="3"/>
      <c r="N10" s="8"/>
      <c r="O10" s="9"/>
    </row>
    <row r="11" spans="1:15" ht="15" customHeight="1" x14ac:dyDescent="0.45">
      <c r="A11" s="9"/>
      <c r="B11" s="207"/>
      <c r="C11" s="208"/>
      <c r="D11" s="32" t="s">
        <v>133</v>
      </c>
      <c r="E11" s="36">
        <f>SUMMARY!J12</f>
        <v>1</v>
      </c>
      <c r="F11" s="3"/>
      <c r="G11" s="10"/>
      <c r="H11" s="10"/>
      <c r="I11" s="3"/>
      <c r="J11" s="8"/>
      <c r="K11" s="8"/>
      <c r="L11" s="8"/>
      <c r="M11" s="8"/>
      <c r="N11" s="8"/>
      <c r="O11" s="9"/>
    </row>
    <row r="12" spans="1:15" ht="14.25" x14ac:dyDescent="0.45">
      <c r="A12" s="8"/>
      <c r="B12" s="10"/>
      <c r="C12" s="8"/>
      <c r="D12" s="10"/>
      <c r="E12" s="3"/>
      <c r="F12" s="3"/>
      <c r="G12" s="10"/>
      <c r="H12" s="10"/>
      <c r="I12" s="3"/>
      <c r="J12" s="8"/>
      <c r="K12" s="8"/>
      <c r="L12" s="8"/>
      <c r="M12" s="8"/>
      <c r="N12" s="8"/>
      <c r="O12" s="8"/>
    </row>
    <row r="13" spans="1:15" ht="14.25" x14ac:dyDescent="0.45">
      <c r="B13" s="209" t="s">
        <v>52</v>
      </c>
      <c r="C13" s="209" t="s">
        <v>50</v>
      </c>
      <c r="D13" s="209" t="s">
        <v>51</v>
      </c>
      <c r="E13" s="174" t="s">
        <v>3</v>
      </c>
      <c r="F13" s="174" t="s">
        <v>4</v>
      </c>
      <c r="G13" s="174" t="s">
        <v>5</v>
      </c>
      <c r="H13" s="174" t="s">
        <v>6</v>
      </c>
      <c r="I13" s="174" t="s">
        <v>7</v>
      </c>
      <c r="J13" s="174" t="s">
        <v>8</v>
      </c>
      <c r="K13" s="174" t="s">
        <v>9</v>
      </c>
      <c r="L13" s="174" t="s">
        <v>10</v>
      </c>
      <c r="M13" s="174" t="s">
        <v>11</v>
      </c>
      <c r="N13" s="174" t="s">
        <v>12</v>
      </c>
    </row>
    <row r="14" spans="1:15" ht="14.25" x14ac:dyDescent="0.45">
      <c r="B14" s="210"/>
      <c r="C14" s="210"/>
      <c r="D14" s="210"/>
      <c r="E14" s="175"/>
      <c r="F14" s="175"/>
      <c r="G14" s="175"/>
      <c r="H14" s="175"/>
      <c r="I14" s="175"/>
      <c r="J14" s="175"/>
      <c r="K14" s="175"/>
      <c r="L14" s="175"/>
      <c r="M14" s="175"/>
      <c r="N14" s="175"/>
    </row>
    <row r="15" spans="1:15" ht="14.25" x14ac:dyDescent="0.45">
      <c r="B15" s="184" t="s">
        <v>20</v>
      </c>
      <c r="C15" s="184" t="s">
        <v>33</v>
      </c>
      <c r="D15" s="19" t="s">
        <v>48</v>
      </c>
      <c r="E15" s="21">
        <f>($E$4 * $E$5) + $E$4</f>
        <v>120000</v>
      </c>
      <c r="F15" s="21">
        <f t="shared" ref="F15:N15" si="1">(E15 * $E$5) + E15</f>
        <v>144000</v>
      </c>
      <c r="G15" s="21">
        <f t="shared" si="1"/>
        <v>172800</v>
      </c>
      <c r="H15" s="21">
        <f t="shared" si="1"/>
        <v>207360</v>
      </c>
      <c r="I15" s="21">
        <f t="shared" si="1"/>
        <v>248832</v>
      </c>
      <c r="J15" s="21">
        <f t="shared" si="1"/>
        <v>298598.40000000002</v>
      </c>
      <c r="K15" s="21">
        <f t="shared" si="1"/>
        <v>358318.08000000002</v>
      </c>
      <c r="L15" s="21">
        <f t="shared" si="1"/>
        <v>429981.696</v>
      </c>
      <c r="M15" s="21">
        <f t="shared" si="1"/>
        <v>515978.03519999998</v>
      </c>
      <c r="N15" s="21">
        <f t="shared" si="1"/>
        <v>619173.64223999996</v>
      </c>
    </row>
    <row r="16" spans="1:15" ht="14.25" x14ac:dyDescent="0.45">
      <c r="B16" s="186"/>
      <c r="C16" s="186"/>
      <c r="D16" s="19" t="s">
        <v>49</v>
      </c>
      <c r="E16" s="25">
        <f>E15*21000000</f>
        <v>2520000000000</v>
      </c>
      <c r="F16" s="25">
        <f t="shared" ref="F16:N16" si="2">F15*21000000</f>
        <v>3024000000000</v>
      </c>
      <c r="G16" s="25">
        <f t="shared" si="2"/>
        <v>3628800000000</v>
      </c>
      <c r="H16" s="25">
        <f t="shared" si="2"/>
        <v>4354560000000</v>
      </c>
      <c r="I16" s="25">
        <f t="shared" si="2"/>
        <v>5225472000000</v>
      </c>
      <c r="J16" s="25">
        <f t="shared" si="2"/>
        <v>6270566400000.001</v>
      </c>
      <c r="K16" s="25">
        <f t="shared" si="2"/>
        <v>7524679680000</v>
      </c>
      <c r="L16" s="25">
        <f t="shared" si="2"/>
        <v>9029615616000</v>
      </c>
      <c r="M16" s="25">
        <f t="shared" si="2"/>
        <v>10835538739200</v>
      </c>
      <c r="N16" s="25">
        <f t="shared" si="2"/>
        <v>13002646487040</v>
      </c>
    </row>
    <row r="17" spans="1:15" ht="14.25" x14ac:dyDescent="0.45">
      <c r="B17" s="184" t="s">
        <v>16</v>
      </c>
      <c r="C17" s="202" t="s">
        <v>32</v>
      </c>
      <c r="D17" s="19" t="s">
        <v>124</v>
      </c>
      <c r="E17" s="26">
        <f>(E15-$E4)/E15</f>
        <v>0.16666666666666666</v>
      </c>
      <c r="F17" s="26">
        <f t="shared" ref="F17:N17" si="3">(F15-$E4)/F15</f>
        <v>0.30555555555555558</v>
      </c>
      <c r="G17" s="26">
        <f t="shared" si="3"/>
        <v>0.42129629629629628</v>
      </c>
      <c r="H17" s="26">
        <f t="shared" si="3"/>
        <v>0.51774691358024694</v>
      </c>
      <c r="I17" s="26">
        <f t="shared" si="3"/>
        <v>0.5981224279835391</v>
      </c>
      <c r="J17" s="26">
        <f t="shared" si="3"/>
        <v>0.66510202331961599</v>
      </c>
      <c r="K17" s="26">
        <f t="shared" si="3"/>
        <v>0.72091835276634664</v>
      </c>
      <c r="L17" s="26">
        <f t="shared" si="3"/>
        <v>0.76743196063862218</v>
      </c>
      <c r="M17" s="26">
        <f t="shared" si="3"/>
        <v>0.80619330053218508</v>
      </c>
      <c r="N17" s="26">
        <f t="shared" si="3"/>
        <v>0.83849441711015427</v>
      </c>
    </row>
    <row r="18" spans="1:15" ht="14.25" x14ac:dyDescent="0.45">
      <c r="B18" s="185"/>
      <c r="C18" s="203"/>
      <c r="D18" s="19" t="s">
        <v>125</v>
      </c>
      <c r="E18" s="26">
        <f>1-E17</f>
        <v>0.83333333333333337</v>
      </c>
      <c r="F18" s="26">
        <f t="shared" ref="F18:N18" si="4">1-F17</f>
        <v>0.69444444444444442</v>
      </c>
      <c r="G18" s="26">
        <f t="shared" si="4"/>
        <v>0.57870370370370372</v>
      </c>
      <c r="H18" s="26">
        <f t="shared" si="4"/>
        <v>0.48225308641975306</v>
      </c>
      <c r="I18" s="26">
        <f t="shared" si="4"/>
        <v>0.4018775720164609</v>
      </c>
      <c r="J18" s="26">
        <f t="shared" si="4"/>
        <v>0.33489797668038401</v>
      </c>
      <c r="K18" s="26">
        <f t="shared" si="4"/>
        <v>0.27908164723365336</v>
      </c>
      <c r="L18" s="26">
        <f t="shared" si="4"/>
        <v>0.23256803936137782</v>
      </c>
      <c r="M18" s="26">
        <f t="shared" si="4"/>
        <v>0.19380669946781492</v>
      </c>
      <c r="N18" s="26">
        <f t="shared" si="4"/>
        <v>0.16150558288984573</v>
      </c>
    </row>
    <row r="19" spans="1:15" ht="14.25" x14ac:dyDescent="0.45">
      <c r="B19" s="185"/>
      <c r="C19" s="203"/>
      <c r="D19" s="19" t="s">
        <v>126</v>
      </c>
      <c r="E19" s="78">
        <f>E17</f>
        <v>0.16666666666666666</v>
      </c>
      <c r="F19" s="78">
        <f t="shared" ref="F19:N19" si="5">F17-E17</f>
        <v>0.13888888888888892</v>
      </c>
      <c r="G19" s="78">
        <f>G17-F17</f>
        <v>0.1157407407407407</v>
      </c>
      <c r="H19" s="78">
        <f t="shared" si="5"/>
        <v>9.6450617283950657E-2</v>
      </c>
      <c r="I19" s="78">
        <f t="shared" si="5"/>
        <v>8.0375514403292159E-2</v>
      </c>
      <c r="J19" s="78">
        <f>J17-I17</f>
        <v>6.6979595336076891E-2</v>
      </c>
      <c r="K19" s="78">
        <f t="shared" si="5"/>
        <v>5.581632944673065E-2</v>
      </c>
      <c r="L19" s="78">
        <f t="shared" si="5"/>
        <v>4.6513607872275542E-2</v>
      </c>
      <c r="M19" s="78">
        <f t="shared" si="5"/>
        <v>3.8761339893562896E-2</v>
      </c>
      <c r="N19" s="78">
        <f t="shared" si="5"/>
        <v>3.2301116577969191E-2</v>
      </c>
    </row>
    <row r="20" spans="1:15" ht="14.25" x14ac:dyDescent="0.45">
      <c r="B20" s="185"/>
      <c r="C20" s="203"/>
      <c r="D20" s="19" t="s">
        <v>127</v>
      </c>
      <c r="E20" s="78"/>
      <c r="F20" s="78"/>
      <c r="G20" s="78"/>
      <c r="H20" s="78"/>
      <c r="I20" s="78">
        <f>AVERAGE(E19:I19)</f>
        <v>0.11962448559670782</v>
      </c>
      <c r="J20" s="26"/>
      <c r="K20" s="26"/>
      <c r="L20" s="26"/>
      <c r="M20" s="26"/>
      <c r="N20" s="78">
        <f>AVERAGE(E19:N19)</f>
        <v>8.3849441711015424E-2</v>
      </c>
    </row>
    <row r="21" spans="1:15" ht="14.25" x14ac:dyDescent="0.45">
      <c r="B21" s="185"/>
      <c r="C21" s="203"/>
      <c r="D21" s="19" t="s">
        <v>128</v>
      </c>
      <c r="E21" s="78">
        <f>$E$11*E19</f>
        <v>0.16666666666666666</v>
      </c>
      <c r="F21" s="78">
        <f t="shared" ref="F21:N21" si="6">$E$11*F19</f>
        <v>0.13888888888888892</v>
      </c>
      <c r="G21" s="78">
        <f t="shared" si="6"/>
        <v>0.1157407407407407</v>
      </c>
      <c r="H21" s="78">
        <f t="shared" si="6"/>
        <v>9.6450617283950657E-2</v>
      </c>
      <c r="I21" s="78">
        <f t="shared" si="6"/>
        <v>8.0375514403292159E-2</v>
      </c>
      <c r="J21" s="78">
        <f t="shared" si="6"/>
        <v>6.6979595336076891E-2</v>
      </c>
      <c r="K21" s="78">
        <f t="shared" si="6"/>
        <v>5.581632944673065E-2</v>
      </c>
      <c r="L21" s="78">
        <f t="shared" si="6"/>
        <v>4.6513607872275542E-2</v>
      </c>
      <c r="M21" s="78">
        <f t="shared" si="6"/>
        <v>3.8761339893562896E-2</v>
      </c>
      <c r="N21" s="78">
        <f t="shared" si="6"/>
        <v>3.2301116577969191E-2</v>
      </c>
    </row>
    <row r="22" spans="1:15" ht="14.25" x14ac:dyDescent="0.45">
      <c r="B22" s="185"/>
      <c r="C22" s="203"/>
      <c r="D22" s="19" t="s">
        <v>129</v>
      </c>
      <c r="E22" s="78"/>
      <c r="F22" s="78"/>
      <c r="G22" s="78"/>
      <c r="H22" s="78"/>
      <c r="I22" s="78">
        <f>AVERAGE(E21:I21)</f>
        <v>0.11962448559670782</v>
      </c>
      <c r="J22" s="26"/>
      <c r="K22" s="26"/>
      <c r="L22" s="26"/>
      <c r="M22" s="26"/>
      <c r="N22" s="78">
        <f>AVERAGE(E21:N21)</f>
        <v>8.3849441711015424E-2</v>
      </c>
    </row>
    <row r="23" spans="1:15" ht="14.25" x14ac:dyDescent="0.45">
      <c r="B23" s="185"/>
      <c r="C23" s="203"/>
      <c r="D23" s="15" t="s">
        <v>58</v>
      </c>
      <c r="E23" s="17">
        <f>E19+E21</f>
        <v>0.33333333333333331</v>
      </c>
      <c r="F23" s="17">
        <f t="shared" ref="F23:N23" si="7">F19+F21</f>
        <v>0.27777777777777785</v>
      </c>
      <c r="G23" s="17">
        <f t="shared" si="7"/>
        <v>0.2314814814814814</v>
      </c>
      <c r="H23" s="17">
        <f t="shared" si="7"/>
        <v>0.19290123456790131</v>
      </c>
      <c r="I23" s="17">
        <f t="shared" si="7"/>
        <v>0.16075102880658432</v>
      </c>
      <c r="J23" s="17">
        <f t="shared" si="7"/>
        <v>0.13395919067215378</v>
      </c>
      <c r="K23" s="17">
        <f t="shared" si="7"/>
        <v>0.1116326588934613</v>
      </c>
      <c r="L23" s="17">
        <f t="shared" si="7"/>
        <v>9.3027215744551084E-2</v>
      </c>
      <c r="M23" s="17">
        <f t="shared" si="7"/>
        <v>7.7522679787125792E-2</v>
      </c>
      <c r="N23" s="17">
        <f t="shared" si="7"/>
        <v>6.4602233155938382E-2</v>
      </c>
    </row>
    <row r="24" spans="1:15" ht="14.25" x14ac:dyDescent="0.45">
      <c r="B24" s="186"/>
      <c r="C24" s="204"/>
      <c r="D24" s="15" t="s">
        <v>59</v>
      </c>
      <c r="E24" s="17"/>
      <c r="F24" s="17"/>
      <c r="G24" s="17"/>
      <c r="H24" s="17"/>
      <c r="I24" s="17">
        <f>AVERAGE(E23:I23)</f>
        <v>0.23924897119341565</v>
      </c>
      <c r="J24" s="16"/>
      <c r="K24" s="16"/>
      <c r="L24" s="16"/>
      <c r="M24" s="16"/>
      <c r="N24" s="17">
        <f>AVERAGE(E23:N23)</f>
        <v>0.16769888342203085</v>
      </c>
    </row>
    <row r="25" spans="1:15" ht="14.25" x14ac:dyDescent="0.45">
      <c r="B25" s="184" t="s">
        <v>137</v>
      </c>
      <c r="C25" s="202" t="s">
        <v>32</v>
      </c>
      <c r="D25" s="15" t="s">
        <v>43</v>
      </c>
      <c r="E25" s="17">
        <f>((1+$E$11)*$E$6)+($E$6*E18)</f>
        <v>5.6666666666666671E-2</v>
      </c>
      <c r="F25" s="17">
        <f t="shared" ref="F25:N25" si="8">((1+$E$11)*$E$6)+($E$6*F18)</f>
        <v>5.3888888888888889E-2</v>
      </c>
      <c r="G25" s="17">
        <f t="shared" si="8"/>
        <v>5.1574074074074078E-2</v>
      </c>
      <c r="H25" s="17">
        <f t="shared" si="8"/>
        <v>4.9645061728395064E-2</v>
      </c>
      <c r="I25" s="17">
        <f>((1+$E$11)*$E$6)+($E$6*I18)</f>
        <v>4.8037551440329215E-2</v>
      </c>
      <c r="J25" s="17">
        <f t="shared" si="8"/>
        <v>4.6697959533607683E-2</v>
      </c>
      <c r="K25" s="17">
        <f t="shared" si="8"/>
        <v>4.5581632944673066E-2</v>
      </c>
      <c r="L25" s="17">
        <f t="shared" si="8"/>
        <v>4.4651360787227555E-2</v>
      </c>
      <c r="M25" s="17">
        <f t="shared" si="8"/>
        <v>4.3876133989356303E-2</v>
      </c>
      <c r="N25" s="17">
        <f t="shared" si="8"/>
        <v>4.3230111657796916E-2</v>
      </c>
    </row>
    <row r="26" spans="1:15" ht="14.25" x14ac:dyDescent="0.45">
      <c r="B26" s="185"/>
      <c r="C26" s="203"/>
      <c r="D26" s="15" t="s">
        <v>44</v>
      </c>
      <c r="E26" s="17"/>
      <c r="F26" s="17"/>
      <c r="G26" s="17"/>
      <c r="H26" s="17"/>
      <c r="I26" s="17">
        <f>AVERAGE(E25:I25)</f>
        <v>5.1962448559670783E-2</v>
      </c>
      <c r="J26" s="16"/>
      <c r="K26" s="16"/>
      <c r="L26" s="16"/>
      <c r="M26" s="16"/>
      <c r="N26" s="17">
        <f>AVERAGE(E25:N25)</f>
        <v>4.8384944171101542E-2</v>
      </c>
    </row>
    <row r="27" spans="1:15" ht="14.25" x14ac:dyDescent="0.45">
      <c r="B27" s="185"/>
      <c r="C27" s="203"/>
      <c r="D27" s="19" t="s">
        <v>42</v>
      </c>
      <c r="E27" s="78">
        <f>E25</f>
        <v>5.6666666666666671E-2</v>
      </c>
      <c r="F27" s="78">
        <f>E27+F25</f>
        <v>0.11055555555555556</v>
      </c>
      <c r="G27" s="78">
        <f>F27+G25</f>
        <v>0.16212962962962962</v>
      </c>
      <c r="H27" s="78">
        <f t="shared" ref="H27:I27" si="9">G27+H25</f>
        <v>0.21177469135802468</v>
      </c>
      <c r="I27" s="78">
        <f t="shared" si="9"/>
        <v>0.25981224279835391</v>
      </c>
      <c r="J27" s="78">
        <f>I27+J25</f>
        <v>0.30651020233196158</v>
      </c>
      <c r="K27" s="78">
        <f t="shared" ref="K27:N27" si="10">J27+K25</f>
        <v>0.35209183527663462</v>
      </c>
      <c r="L27" s="78">
        <f t="shared" si="10"/>
        <v>0.39674319606386216</v>
      </c>
      <c r="M27" s="78">
        <f t="shared" si="10"/>
        <v>0.44061933005321846</v>
      </c>
      <c r="N27" s="78">
        <f t="shared" si="10"/>
        <v>0.4838494417110154</v>
      </c>
    </row>
    <row r="28" spans="1:15" ht="14.25" x14ac:dyDescent="0.45">
      <c r="B28" s="184" t="s">
        <v>17</v>
      </c>
      <c r="C28" s="202" t="s">
        <v>32</v>
      </c>
      <c r="D28" s="15" t="s">
        <v>43</v>
      </c>
      <c r="E28" s="17">
        <f t="shared" ref="E28:N28" si="11">((1+$E$11)*$E$7)+($E$7*E18)</f>
        <v>2.8333333333333335E-2</v>
      </c>
      <c r="F28" s="17">
        <f t="shared" si="11"/>
        <v>2.6944444444444444E-2</v>
      </c>
      <c r="G28" s="17">
        <f t="shared" si="11"/>
        <v>2.5787037037037039E-2</v>
      </c>
      <c r="H28" s="17">
        <f t="shared" si="11"/>
        <v>2.4822530864197532E-2</v>
      </c>
      <c r="I28" s="17">
        <f t="shared" si="11"/>
        <v>2.4018775720164608E-2</v>
      </c>
      <c r="J28" s="17">
        <f t="shared" si="11"/>
        <v>2.3348979766803842E-2</v>
      </c>
      <c r="K28" s="17">
        <f t="shared" si="11"/>
        <v>2.2790816472336533E-2</v>
      </c>
      <c r="L28" s="17">
        <f t="shared" si="11"/>
        <v>2.2325680393613778E-2</v>
      </c>
      <c r="M28" s="17">
        <f t="shared" si="11"/>
        <v>2.1938066994678151E-2</v>
      </c>
      <c r="N28" s="17">
        <f t="shared" si="11"/>
        <v>2.1615055828898458E-2</v>
      </c>
    </row>
    <row r="29" spans="1:15" ht="15" customHeight="1" x14ac:dyDescent="0.45">
      <c r="B29" s="185"/>
      <c r="C29" s="203"/>
      <c r="D29" s="15" t="s">
        <v>44</v>
      </c>
      <c r="E29" s="17"/>
      <c r="F29" s="17"/>
      <c r="G29" s="17"/>
      <c r="H29" s="17"/>
      <c r="I29" s="17">
        <f>AVERAGE(E28:I28)</f>
        <v>2.5981224279835392E-2</v>
      </c>
      <c r="J29" s="16"/>
      <c r="K29" s="16"/>
      <c r="L29" s="16"/>
      <c r="M29" s="16"/>
      <c r="N29" s="17">
        <f>AVERAGE(E28:N28)</f>
        <v>2.4192472085550771E-2</v>
      </c>
    </row>
    <row r="30" spans="1:15" ht="14.25" x14ac:dyDescent="0.45">
      <c r="B30" s="185"/>
      <c r="C30" s="203"/>
      <c r="D30" s="19" t="s">
        <v>42</v>
      </c>
      <c r="E30" s="78">
        <f>E28</f>
        <v>2.8333333333333335E-2</v>
      </c>
      <c r="F30" s="78">
        <f t="shared" ref="F30:N30" si="12">E30+F28</f>
        <v>5.527777777777778E-2</v>
      </c>
      <c r="G30" s="78">
        <f>F30+G28</f>
        <v>8.1064814814814812E-2</v>
      </c>
      <c r="H30" s="78">
        <f t="shared" si="12"/>
        <v>0.10588734567901234</v>
      </c>
      <c r="I30" s="78">
        <f t="shared" si="12"/>
        <v>0.12990612139917695</v>
      </c>
      <c r="J30" s="78">
        <f>I30+J28</f>
        <v>0.15325510116598079</v>
      </c>
      <c r="K30" s="78">
        <f t="shared" si="12"/>
        <v>0.17604591763831731</v>
      </c>
      <c r="L30" s="78">
        <f t="shared" si="12"/>
        <v>0.19837159803193108</v>
      </c>
      <c r="M30" s="78">
        <f t="shared" si="12"/>
        <v>0.22030966502660923</v>
      </c>
      <c r="N30" s="78">
        <f t="shared" si="12"/>
        <v>0.2419247208555077</v>
      </c>
    </row>
    <row r="31" spans="1:15" ht="14.25" x14ac:dyDescent="0.45">
      <c r="B31" s="3"/>
      <c r="C31" s="1"/>
      <c r="D31" s="43"/>
      <c r="E31" s="31"/>
      <c r="F31" s="31"/>
      <c r="G31" s="31"/>
      <c r="H31" s="31"/>
      <c r="I31" s="31"/>
      <c r="J31" s="31"/>
      <c r="K31" s="31"/>
      <c r="L31" s="31"/>
      <c r="M31" s="31"/>
      <c r="N31" s="31"/>
    </row>
    <row r="32" spans="1:15" ht="14.25" x14ac:dyDescent="0.45">
      <c r="A32" s="8"/>
      <c r="B32" s="194" t="s">
        <v>114</v>
      </c>
      <c r="C32" s="196" t="s">
        <v>21</v>
      </c>
      <c r="D32" s="198" t="str">
        <f>"10 BTC / "&amp;TEXT($E$4*10, "$###0.00,,")&amp;"M USD"</f>
        <v>10 BTC / $1.00M USD</v>
      </c>
      <c r="E32" s="174" t="s">
        <v>3</v>
      </c>
      <c r="F32" s="174" t="s">
        <v>4</v>
      </c>
      <c r="G32" s="174" t="s">
        <v>5</v>
      </c>
      <c r="H32" s="174" t="s">
        <v>6</v>
      </c>
      <c r="I32" s="174" t="s">
        <v>7</v>
      </c>
      <c r="J32" s="174" t="s">
        <v>8</v>
      </c>
      <c r="K32" s="174" t="s">
        <v>9</v>
      </c>
      <c r="L32" s="174" t="s">
        <v>10</v>
      </c>
      <c r="M32" s="174" t="s">
        <v>11</v>
      </c>
      <c r="N32" s="174" t="s">
        <v>12</v>
      </c>
      <c r="O32" s="8"/>
    </row>
    <row r="33" spans="2:14" ht="14.25" x14ac:dyDescent="0.45">
      <c r="B33" s="195"/>
      <c r="C33" s="197"/>
      <c r="D33" s="199"/>
      <c r="E33" s="175"/>
      <c r="F33" s="175"/>
      <c r="G33" s="175"/>
      <c r="H33" s="175"/>
      <c r="I33" s="175"/>
      <c r="J33" s="175"/>
      <c r="K33" s="175"/>
      <c r="L33" s="175"/>
      <c r="M33" s="175"/>
      <c r="N33" s="175"/>
    </row>
    <row r="34" spans="2:14" ht="14.25" x14ac:dyDescent="0.45">
      <c r="B34" s="184" t="s">
        <v>137</v>
      </c>
      <c r="C34" s="192" t="s">
        <v>32</v>
      </c>
      <c r="D34" s="15" t="s">
        <v>58</v>
      </c>
      <c r="E34" s="16">
        <f>E39*$E$4/E$15</f>
        <v>9.583333333333334E-2</v>
      </c>
      <c r="F34" s="16">
        <f t="shared" ref="F34:N34" si="13">F39*$E$4/F$15</f>
        <v>7.9861111111111105E-2</v>
      </c>
      <c r="G34" s="16">
        <f t="shared" si="13"/>
        <v>6.655092592592593E-2</v>
      </c>
      <c r="H34" s="16">
        <f t="shared" si="13"/>
        <v>5.5459104938271608E-2</v>
      </c>
      <c r="I34" s="16">
        <f t="shared" si="13"/>
        <v>4.6215920781893002E-2</v>
      </c>
      <c r="J34" s="16">
        <f t="shared" si="13"/>
        <v>3.8513267318244164E-2</v>
      </c>
      <c r="K34" s="16">
        <f t="shared" si="13"/>
        <v>3.2094389431870138E-2</v>
      </c>
      <c r="L34" s="16">
        <f t="shared" si="13"/>
        <v>2.674532452655845E-2</v>
      </c>
      <c r="M34" s="16">
        <f t="shared" si="13"/>
        <v>2.2287770438798711E-2</v>
      </c>
      <c r="N34" s="16">
        <f t="shared" si="13"/>
        <v>1.8573142032332259E-2</v>
      </c>
    </row>
    <row r="35" spans="2:14" ht="14.25" x14ac:dyDescent="0.45">
      <c r="B35" s="185"/>
      <c r="C35" s="192"/>
      <c r="D35" s="15" t="s">
        <v>59</v>
      </c>
      <c r="E35" s="16"/>
      <c r="F35" s="16"/>
      <c r="G35" s="16"/>
      <c r="H35" s="16"/>
      <c r="I35" s="80">
        <f>AVERAGE(E34:I34)</f>
        <v>6.8784079218107003E-2</v>
      </c>
      <c r="J35" s="16"/>
      <c r="K35" s="16"/>
      <c r="L35" s="16"/>
      <c r="M35" s="16"/>
      <c r="N35" s="17">
        <f>AVERAGE(E34:N34)</f>
        <v>4.8213428983833864E-2</v>
      </c>
    </row>
    <row r="36" spans="2:14" ht="14.25" x14ac:dyDescent="0.45">
      <c r="B36" s="185"/>
      <c r="C36" s="192"/>
      <c r="D36" s="15" t="s">
        <v>42</v>
      </c>
      <c r="E36" s="16">
        <f t="shared" ref="E36:N36" si="14">E$17*(E34/E$19)</f>
        <v>9.583333333333334E-2</v>
      </c>
      <c r="F36" s="16">
        <f t="shared" si="14"/>
        <v>0.1756944444444444</v>
      </c>
      <c r="G36" s="16">
        <f>G$17*(G34/G$19)</f>
        <v>0.24224537037037047</v>
      </c>
      <c r="H36" s="16">
        <f>H$17*(H34/H$19)</f>
        <v>0.29770447530864191</v>
      </c>
      <c r="I36" s="16">
        <f>I$17*(I34/I$19)</f>
        <v>0.3439203960905351</v>
      </c>
      <c r="J36" s="16">
        <f t="shared" si="14"/>
        <v>0.38243366340877871</v>
      </c>
      <c r="K36" s="16">
        <f t="shared" si="14"/>
        <v>0.41452805284064953</v>
      </c>
      <c r="L36" s="16">
        <f t="shared" si="14"/>
        <v>0.44127337736720795</v>
      </c>
      <c r="M36" s="16">
        <f t="shared" si="14"/>
        <v>0.46356114780600738</v>
      </c>
      <c r="N36" s="16">
        <f t="shared" si="14"/>
        <v>0.482134289838338</v>
      </c>
    </row>
    <row r="37" spans="2:14" ht="14.25" customHeight="1" x14ac:dyDescent="0.45">
      <c r="B37" s="185"/>
      <c r="C37" s="193"/>
      <c r="D37" s="19" t="s">
        <v>45</v>
      </c>
      <c r="E37" s="20">
        <f t="shared" ref="E37:N37" si="15">10*E34</f>
        <v>0.95833333333333337</v>
      </c>
      <c r="F37" s="20">
        <f t="shared" si="15"/>
        <v>0.79861111111111105</v>
      </c>
      <c r="G37" s="20">
        <f t="shared" si="15"/>
        <v>0.6655092592592593</v>
      </c>
      <c r="H37" s="20">
        <f t="shared" si="15"/>
        <v>0.55459104938271608</v>
      </c>
      <c r="I37" s="20">
        <f t="shared" si="15"/>
        <v>0.46215920781893005</v>
      </c>
      <c r="J37" s="20">
        <f t="shared" si="15"/>
        <v>0.38513267318244165</v>
      </c>
      <c r="K37" s="20">
        <f t="shared" si="15"/>
        <v>0.32094389431870141</v>
      </c>
      <c r="L37" s="20">
        <f t="shared" si="15"/>
        <v>0.2674532452655845</v>
      </c>
      <c r="M37" s="20">
        <f t="shared" si="15"/>
        <v>0.2228777043879871</v>
      </c>
      <c r="N37" s="20">
        <f t="shared" si="15"/>
        <v>0.1857314203233226</v>
      </c>
    </row>
    <row r="38" spans="2:14" ht="14.25" x14ac:dyDescent="0.45">
      <c r="B38" s="185"/>
      <c r="C38" s="193"/>
      <c r="D38" s="19" t="s">
        <v>46</v>
      </c>
      <c r="E38" s="20">
        <f>10*E36</f>
        <v>0.95833333333333337</v>
      </c>
      <c r="F38" s="20">
        <f>10*F36</f>
        <v>1.756944444444444</v>
      </c>
      <c r="G38" s="20">
        <f>10*G36</f>
        <v>2.4224537037037046</v>
      </c>
      <c r="H38" s="20">
        <f t="shared" ref="H38:N38" si="16">10*H36</f>
        <v>2.9770447530864192</v>
      </c>
      <c r="I38" s="20">
        <f t="shared" si="16"/>
        <v>3.4392039609053509</v>
      </c>
      <c r="J38" s="20">
        <f t="shared" si="16"/>
        <v>3.8243366340877873</v>
      </c>
      <c r="K38" s="20">
        <f t="shared" si="16"/>
        <v>4.1452805284064951</v>
      </c>
      <c r="L38" s="20">
        <f t="shared" si="16"/>
        <v>4.4127337736720795</v>
      </c>
      <c r="M38" s="20">
        <f t="shared" si="16"/>
        <v>4.6356114780600741</v>
      </c>
      <c r="N38" s="20">
        <f t="shared" si="16"/>
        <v>4.8213428983833797</v>
      </c>
    </row>
    <row r="39" spans="2:14" ht="14.25" x14ac:dyDescent="0.45">
      <c r="B39" s="185"/>
      <c r="C39" s="191" t="s">
        <v>36</v>
      </c>
      <c r="D39" s="15" t="s">
        <v>43</v>
      </c>
      <c r="E39" s="16">
        <f>E8</f>
        <v>0.115</v>
      </c>
      <c r="F39" s="16">
        <f>E39</f>
        <v>0.115</v>
      </c>
      <c r="G39" s="16">
        <f t="shared" ref="G39:N39" si="17">F39</f>
        <v>0.115</v>
      </c>
      <c r="H39" s="16">
        <f t="shared" si="17"/>
        <v>0.115</v>
      </c>
      <c r="I39" s="16">
        <f t="shared" si="17"/>
        <v>0.115</v>
      </c>
      <c r="J39" s="16">
        <f t="shared" si="17"/>
        <v>0.115</v>
      </c>
      <c r="K39" s="16">
        <f t="shared" si="17"/>
        <v>0.115</v>
      </c>
      <c r="L39" s="16">
        <f t="shared" si="17"/>
        <v>0.115</v>
      </c>
      <c r="M39" s="16">
        <f t="shared" si="17"/>
        <v>0.115</v>
      </c>
      <c r="N39" s="16">
        <f t="shared" si="17"/>
        <v>0.115</v>
      </c>
    </row>
    <row r="40" spans="2:14" ht="14.25" customHeight="1" x14ac:dyDescent="0.45">
      <c r="B40" s="185"/>
      <c r="C40" s="193"/>
      <c r="D40" s="19" t="s">
        <v>45</v>
      </c>
      <c r="E40" s="21">
        <f>E37*E$15</f>
        <v>115000</v>
      </c>
      <c r="F40" s="21">
        <f t="shared" ref="F40:N40" si="18">F37*F$15</f>
        <v>114999.99999999999</v>
      </c>
      <c r="G40" s="21">
        <f>G37*G$15</f>
        <v>115000</v>
      </c>
      <c r="H40" s="21">
        <f>H37*H$15</f>
        <v>115000</v>
      </c>
      <c r="I40" s="21">
        <f>I37*I$15</f>
        <v>115000</v>
      </c>
      <c r="J40" s="21">
        <f t="shared" si="18"/>
        <v>115000</v>
      </c>
      <c r="K40" s="21">
        <f t="shared" si="18"/>
        <v>115000</v>
      </c>
      <c r="L40" s="21">
        <f t="shared" si="18"/>
        <v>115000</v>
      </c>
      <c r="M40" s="21">
        <f t="shared" si="18"/>
        <v>115000</v>
      </c>
      <c r="N40" s="21">
        <f t="shared" si="18"/>
        <v>115000</v>
      </c>
    </row>
    <row r="41" spans="2:14" ht="14.25" x14ac:dyDescent="0.45">
      <c r="B41" s="185"/>
      <c r="C41" s="193"/>
      <c r="D41" s="19" t="s">
        <v>46</v>
      </c>
      <c r="E41" s="21">
        <f>E40</f>
        <v>115000</v>
      </c>
      <c r="F41" s="21">
        <f>E41+F40</f>
        <v>230000</v>
      </c>
      <c r="G41" s="21">
        <f>F41+G40</f>
        <v>345000</v>
      </c>
      <c r="H41" s="21">
        <f t="shared" ref="H41:N41" si="19">G41+H40</f>
        <v>460000</v>
      </c>
      <c r="I41" s="21">
        <f t="shared" si="19"/>
        <v>575000</v>
      </c>
      <c r="J41" s="21">
        <f>I41+J40</f>
        <v>690000</v>
      </c>
      <c r="K41" s="21">
        <f t="shared" si="19"/>
        <v>805000</v>
      </c>
      <c r="L41" s="21">
        <f t="shared" si="19"/>
        <v>920000</v>
      </c>
      <c r="M41" s="21">
        <f t="shared" si="19"/>
        <v>1035000</v>
      </c>
      <c r="N41" s="21">
        <f t="shared" si="19"/>
        <v>1150000</v>
      </c>
    </row>
    <row r="42" spans="2:14" ht="14.25" x14ac:dyDescent="0.45">
      <c r="B42" s="185"/>
      <c r="C42" s="191" t="s">
        <v>35</v>
      </c>
      <c r="D42" s="15" t="s">
        <v>43</v>
      </c>
      <c r="E42" s="16">
        <f>E36*E$15/$E$4</f>
        <v>0.115</v>
      </c>
      <c r="F42" s="16">
        <f>F36*F$15/$E$4-E42</f>
        <v>0.13799999999999996</v>
      </c>
      <c r="G42" s="16">
        <f>G36*G$15/$E$4-F42-E42</f>
        <v>0.16560000000000019</v>
      </c>
      <c r="H42" s="16">
        <f>H36*H$15/$E$4-G42-F42-E42</f>
        <v>0.19871999999999973</v>
      </c>
      <c r="I42" s="16">
        <f>I36*I$15/$E$4-H42-G42-F42-E42</f>
        <v>0.2384640000000004</v>
      </c>
      <c r="J42" s="16">
        <f>J36*J$15/$E$4-I42-H42-G42-F42-E42</f>
        <v>0.28615679999999849</v>
      </c>
      <c r="K42" s="16">
        <f>K36*K$15/$E$4-J42-I42-H42-G42-F42-E42</f>
        <v>0.34338816000000211</v>
      </c>
      <c r="L42" s="16">
        <f>L36*L$15/$E$4-K42-J42-I42-H42-G42-F42-E42</f>
        <v>0.41206579199999993</v>
      </c>
      <c r="M42" s="16">
        <f>M36*M$15/$E$4-L42-K42-J42-I42-H42-G42-F42-E42</f>
        <v>0.49447895040000378</v>
      </c>
      <c r="N42" s="16">
        <f>N36*N$15/$E$4-M42-L42-K42-J42-I42-H42-G42-F42-E42</f>
        <v>0.59337474047999117</v>
      </c>
    </row>
    <row r="43" spans="2:14" ht="14.25" x14ac:dyDescent="0.45">
      <c r="B43" s="185"/>
      <c r="C43" s="192"/>
      <c r="D43" s="15" t="s">
        <v>44</v>
      </c>
      <c r="E43" s="17"/>
      <c r="F43" s="17"/>
      <c r="G43" s="17"/>
      <c r="H43" s="17"/>
      <c r="I43" s="38">
        <f>AVERAGE(E42:I42)</f>
        <v>0.17115680000000005</v>
      </c>
      <c r="J43" s="17"/>
      <c r="K43" s="17"/>
      <c r="L43" s="17"/>
      <c r="M43" s="17"/>
      <c r="N43" s="17">
        <f>AVERAGE(E42:N42)</f>
        <v>0.29852484428799964</v>
      </c>
    </row>
    <row r="44" spans="2:14" ht="14.25" x14ac:dyDescent="0.45">
      <c r="B44" s="185"/>
      <c r="C44" s="193"/>
      <c r="D44" s="19" t="s">
        <v>45</v>
      </c>
      <c r="E44" s="22">
        <f>E46</f>
        <v>115000</v>
      </c>
      <c r="F44" s="22">
        <f>F46-E46</f>
        <v>137999.99999999994</v>
      </c>
      <c r="G44" s="22">
        <f>G46-F46</f>
        <v>165600.00000000023</v>
      </c>
      <c r="H44" s="22">
        <f t="shared" ref="H44:N44" si="20">H46-G46</f>
        <v>198719.99999999971</v>
      </c>
      <c r="I44" s="22">
        <f t="shared" si="20"/>
        <v>238464.00000000035</v>
      </c>
      <c r="J44" s="22">
        <f>J46-I46</f>
        <v>286156.79999999865</v>
      </c>
      <c r="K44" s="22">
        <f t="shared" si="20"/>
        <v>343388.16000000201</v>
      </c>
      <c r="L44" s="22">
        <f t="shared" si="20"/>
        <v>412065.7919999999</v>
      </c>
      <c r="M44" s="22">
        <f t="shared" si="20"/>
        <v>494478.95040000416</v>
      </c>
      <c r="N44" s="22">
        <f t="shared" si="20"/>
        <v>593374.74047999037</v>
      </c>
    </row>
    <row r="45" spans="2:14" ht="15" customHeight="1" x14ac:dyDescent="0.45">
      <c r="B45" s="185"/>
      <c r="C45" s="193"/>
      <c r="D45" s="19" t="s">
        <v>47</v>
      </c>
      <c r="E45" s="22"/>
      <c r="F45" s="22"/>
      <c r="G45" s="22"/>
      <c r="H45" s="22"/>
      <c r="I45" s="22">
        <f>AVERAGE(E44:I44)</f>
        <v>171156.80000000005</v>
      </c>
      <c r="J45" s="22"/>
      <c r="K45" s="22"/>
      <c r="L45" s="22"/>
      <c r="M45" s="22"/>
      <c r="N45" s="22">
        <f>AVERAGE(E44:N44)</f>
        <v>298524.84428799956</v>
      </c>
    </row>
    <row r="46" spans="2:14" ht="14.25" x14ac:dyDescent="0.45">
      <c r="B46" s="186"/>
      <c r="C46" s="193"/>
      <c r="D46" s="19" t="s">
        <v>46</v>
      </c>
      <c r="E46" s="21">
        <f t="shared" ref="E46:N46" si="21">E38*E$15</f>
        <v>115000</v>
      </c>
      <c r="F46" s="21">
        <f t="shared" si="21"/>
        <v>252999.99999999994</v>
      </c>
      <c r="G46" s="21">
        <f>G38*G$15</f>
        <v>418600.00000000017</v>
      </c>
      <c r="H46" s="21">
        <f>H38*H$15</f>
        <v>617319.99999999988</v>
      </c>
      <c r="I46" s="21">
        <f>I38*I$15</f>
        <v>855784.00000000023</v>
      </c>
      <c r="J46" s="21">
        <f t="shared" si="21"/>
        <v>1141940.7999999989</v>
      </c>
      <c r="K46" s="21">
        <f t="shared" si="21"/>
        <v>1485328.9600000009</v>
      </c>
      <c r="L46" s="21">
        <f t="shared" si="21"/>
        <v>1897394.7520000008</v>
      </c>
      <c r="M46" s="21">
        <f t="shared" si="21"/>
        <v>2391873.702400005</v>
      </c>
      <c r="N46" s="21">
        <f t="shared" si="21"/>
        <v>2985248.4428799953</v>
      </c>
    </row>
    <row r="47" spans="2:14" ht="14.25" x14ac:dyDescent="0.45">
      <c r="B47" s="3"/>
      <c r="C47" s="1"/>
      <c r="D47" s="43"/>
      <c r="E47" s="31"/>
      <c r="F47" s="31"/>
      <c r="G47" s="31"/>
      <c r="H47" s="31"/>
      <c r="I47" s="31"/>
      <c r="J47" s="31"/>
      <c r="K47" s="31"/>
      <c r="L47" s="31"/>
      <c r="M47" s="31"/>
      <c r="N47" s="31"/>
    </row>
    <row r="48" spans="2:14" ht="14.25" x14ac:dyDescent="0.45">
      <c r="B48" s="176" t="s">
        <v>116</v>
      </c>
      <c r="C48" s="200" t="s">
        <v>21</v>
      </c>
      <c r="D48" s="178" t="str">
        <f>"10 BTC / "&amp;TEXT($E$4*10, "$###0.00,,")&amp;"M USD"</f>
        <v>10 BTC / $1.00M USD</v>
      </c>
      <c r="E48" s="174" t="s">
        <v>3</v>
      </c>
      <c r="F48" s="174" t="s">
        <v>4</v>
      </c>
      <c r="G48" s="174" t="s">
        <v>5</v>
      </c>
      <c r="H48" s="174" t="s">
        <v>6</v>
      </c>
      <c r="I48" s="174" t="s">
        <v>7</v>
      </c>
      <c r="J48" s="174" t="s">
        <v>8</v>
      </c>
      <c r="K48" s="174" t="s">
        <v>9</v>
      </c>
      <c r="L48" s="174" t="s">
        <v>10</v>
      </c>
      <c r="M48" s="174" t="s">
        <v>11</v>
      </c>
      <c r="N48" s="174" t="s">
        <v>12</v>
      </c>
    </row>
    <row r="49" spans="1:15" ht="14.25" x14ac:dyDescent="0.45">
      <c r="B49" s="177"/>
      <c r="C49" s="201"/>
      <c r="D49" s="179"/>
      <c r="E49" s="175"/>
      <c r="F49" s="175"/>
      <c r="G49" s="175"/>
      <c r="H49" s="175"/>
      <c r="I49" s="175"/>
      <c r="J49" s="175"/>
      <c r="K49" s="175"/>
      <c r="L49" s="175"/>
      <c r="M49" s="175"/>
      <c r="N49" s="175"/>
    </row>
    <row r="50" spans="1:15" ht="14.25" x14ac:dyDescent="0.45">
      <c r="B50" s="184" t="s">
        <v>137</v>
      </c>
      <c r="C50" s="192" t="s">
        <v>32</v>
      </c>
      <c r="D50" s="15" t="s">
        <v>43</v>
      </c>
      <c r="E50" s="16">
        <f>E55*$E$4/E$15</f>
        <v>0.10416666666666667</v>
      </c>
      <c r="F50" s="16">
        <f t="shared" ref="F50:N50" si="22">F55*$E$4/F$15</f>
        <v>8.6805555555555552E-2</v>
      </c>
      <c r="G50" s="16">
        <f t="shared" si="22"/>
        <v>7.2337962962962965E-2</v>
      </c>
      <c r="H50" s="16">
        <f t="shared" si="22"/>
        <v>6.0281635802469133E-2</v>
      </c>
      <c r="I50" s="16">
        <f t="shared" si="22"/>
        <v>5.0234696502057613E-2</v>
      </c>
      <c r="J50" s="16">
        <f t="shared" si="22"/>
        <v>4.1862247085048009E-2</v>
      </c>
      <c r="K50" s="16">
        <f t="shared" si="22"/>
        <v>3.4885205904206677E-2</v>
      </c>
      <c r="L50" s="16">
        <f t="shared" si="22"/>
        <v>2.9071004920172231E-2</v>
      </c>
      <c r="M50" s="16">
        <f t="shared" si="22"/>
        <v>2.4225837433476859E-2</v>
      </c>
      <c r="N50" s="16">
        <f t="shared" si="22"/>
        <v>2.0188197861230717E-2</v>
      </c>
    </row>
    <row r="51" spans="1:15" ht="14.25" x14ac:dyDescent="0.45">
      <c r="B51" s="185"/>
      <c r="C51" s="192"/>
      <c r="D51" s="15" t="s">
        <v>44</v>
      </c>
      <c r="E51" s="16"/>
      <c r="F51" s="16"/>
      <c r="G51" s="16"/>
      <c r="H51" s="16"/>
      <c r="I51" s="125">
        <f>AVERAGE(E50:I50)</f>
        <v>7.4765303497942387E-2</v>
      </c>
      <c r="J51" s="16"/>
      <c r="K51" s="16"/>
      <c r="L51" s="16"/>
      <c r="M51" s="16"/>
      <c r="N51" s="17">
        <f>AVERAGE(E50:N50)</f>
        <v>5.2405901069384642E-2</v>
      </c>
    </row>
    <row r="52" spans="1:15" ht="14.25" x14ac:dyDescent="0.45">
      <c r="B52" s="185"/>
      <c r="C52" s="192"/>
      <c r="D52" s="15" t="s">
        <v>42</v>
      </c>
      <c r="E52" s="16">
        <f t="shared" ref="E52:N52" si="23">E$17*(E50/E$19)</f>
        <v>0.10416666666666669</v>
      </c>
      <c r="F52" s="16">
        <f t="shared" si="23"/>
        <v>0.19097222222222218</v>
      </c>
      <c r="G52" s="16">
        <f t="shared" si="23"/>
        <v>0.26331018518518529</v>
      </c>
      <c r="H52" s="16">
        <f t="shared" si="23"/>
        <v>0.32359182098765416</v>
      </c>
      <c r="I52" s="16">
        <f t="shared" si="23"/>
        <v>0.37382651748971207</v>
      </c>
      <c r="J52" s="16">
        <f t="shared" si="23"/>
        <v>0.41568876457475945</v>
      </c>
      <c r="K52" s="16">
        <f t="shared" si="23"/>
        <v>0.45057397047896691</v>
      </c>
      <c r="L52" s="16">
        <f t="shared" si="23"/>
        <v>0.47964497539913914</v>
      </c>
      <c r="M52" s="16">
        <f t="shared" si="23"/>
        <v>0.5038708128326167</v>
      </c>
      <c r="N52" s="16">
        <f t="shared" si="23"/>
        <v>0.52405901069384564</v>
      </c>
    </row>
    <row r="53" spans="1:15" ht="14.25" customHeight="1" x14ac:dyDescent="0.45">
      <c r="B53" s="185"/>
      <c r="C53" s="193"/>
      <c r="D53" s="19" t="s">
        <v>45</v>
      </c>
      <c r="E53" s="20">
        <f>10*E50</f>
        <v>1.0416666666666667</v>
      </c>
      <c r="F53" s="20">
        <f t="shared" ref="F53:N53" si="24">10*F50</f>
        <v>0.86805555555555558</v>
      </c>
      <c r="G53" s="20">
        <f t="shared" si="24"/>
        <v>0.72337962962962965</v>
      </c>
      <c r="H53" s="20">
        <f t="shared" si="24"/>
        <v>0.60281635802469136</v>
      </c>
      <c r="I53" s="20">
        <f t="shared" si="24"/>
        <v>0.50234696502057608</v>
      </c>
      <c r="J53" s="20">
        <f t="shared" si="24"/>
        <v>0.4186224708504801</v>
      </c>
      <c r="K53" s="20">
        <f t="shared" si="24"/>
        <v>0.34885205904206679</v>
      </c>
      <c r="L53" s="20">
        <f t="shared" si="24"/>
        <v>0.29071004920172233</v>
      </c>
      <c r="M53" s="20">
        <f t="shared" si="24"/>
        <v>0.2422583743347686</v>
      </c>
      <c r="N53" s="20">
        <f t="shared" si="24"/>
        <v>0.20188197861230717</v>
      </c>
    </row>
    <row r="54" spans="1:15" ht="14.25" x14ac:dyDescent="0.45">
      <c r="B54" s="185"/>
      <c r="C54" s="193"/>
      <c r="D54" s="19" t="s">
        <v>46</v>
      </c>
      <c r="E54" s="20">
        <f>10*E52</f>
        <v>1.041666666666667</v>
      </c>
      <c r="F54" s="20">
        <f>10*F52</f>
        <v>1.9097222222222219</v>
      </c>
      <c r="G54" s="20">
        <f>10*G52</f>
        <v>2.633101851851853</v>
      </c>
      <c r="H54" s="20">
        <f t="shared" ref="H54:N54" si="25">10*H52</f>
        <v>3.2359182098765418</v>
      </c>
      <c r="I54" s="20">
        <f t="shared" si="25"/>
        <v>3.738265174897121</v>
      </c>
      <c r="J54" s="20">
        <f t="shared" si="25"/>
        <v>4.1568876457475943</v>
      </c>
      <c r="K54" s="20">
        <f t="shared" si="25"/>
        <v>4.5057397047896695</v>
      </c>
      <c r="L54" s="20">
        <f t="shared" si="25"/>
        <v>4.7964497539913911</v>
      </c>
      <c r="M54" s="20">
        <f t="shared" si="25"/>
        <v>5.0387081283261672</v>
      </c>
      <c r="N54" s="20">
        <f t="shared" si="25"/>
        <v>5.2405901069384564</v>
      </c>
    </row>
    <row r="55" spans="1:15" ht="14.25" x14ac:dyDescent="0.45">
      <c r="B55" s="185"/>
      <c r="C55" s="191" t="s">
        <v>36</v>
      </c>
      <c r="D55" s="15" t="s">
        <v>43</v>
      </c>
      <c r="E55" s="16">
        <f t="shared" ref="E55:N55" si="26">$E9+($E$10*$E$11)</f>
        <v>0.125</v>
      </c>
      <c r="F55" s="16">
        <f t="shared" si="26"/>
        <v>0.125</v>
      </c>
      <c r="G55" s="16">
        <f t="shared" si="26"/>
        <v>0.125</v>
      </c>
      <c r="H55" s="16">
        <f t="shared" si="26"/>
        <v>0.125</v>
      </c>
      <c r="I55" s="16">
        <f t="shared" si="26"/>
        <v>0.125</v>
      </c>
      <c r="J55" s="16">
        <f t="shared" si="26"/>
        <v>0.125</v>
      </c>
      <c r="K55" s="16">
        <f t="shared" si="26"/>
        <v>0.125</v>
      </c>
      <c r="L55" s="16">
        <f t="shared" si="26"/>
        <v>0.125</v>
      </c>
      <c r="M55" s="16">
        <f t="shared" si="26"/>
        <v>0.125</v>
      </c>
      <c r="N55" s="16">
        <f t="shared" si="26"/>
        <v>0.125</v>
      </c>
    </row>
    <row r="56" spans="1:15" ht="14.25" customHeight="1" x14ac:dyDescent="0.45">
      <c r="B56" s="185"/>
      <c r="C56" s="193"/>
      <c r="D56" s="19" t="s">
        <v>45</v>
      </c>
      <c r="E56" s="21">
        <f t="shared" ref="E56:N56" si="27">E53*E$15</f>
        <v>125000.00000000001</v>
      </c>
      <c r="F56" s="21">
        <f t="shared" si="27"/>
        <v>125000</v>
      </c>
      <c r="G56" s="21">
        <f t="shared" si="27"/>
        <v>125000</v>
      </c>
      <c r="H56" s="21">
        <f t="shared" si="27"/>
        <v>125000</v>
      </c>
      <c r="I56" s="21">
        <f t="shared" si="27"/>
        <v>124999.99999999999</v>
      </c>
      <c r="J56" s="21">
        <f t="shared" si="27"/>
        <v>125000</v>
      </c>
      <c r="K56" s="21">
        <f t="shared" si="27"/>
        <v>125000.00000000001</v>
      </c>
      <c r="L56" s="21">
        <f t="shared" si="27"/>
        <v>125000.00000000001</v>
      </c>
      <c r="M56" s="21">
        <f t="shared" si="27"/>
        <v>125000</v>
      </c>
      <c r="N56" s="21">
        <f t="shared" si="27"/>
        <v>125000</v>
      </c>
    </row>
    <row r="57" spans="1:15" ht="14.25" x14ac:dyDescent="0.45">
      <c r="B57" s="185"/>
      <c r="C57" s="193"/>
      <c r="D57" s="19" t="s">
        <v>46</v>
      </c>
      <c r="E57" s="21">
        <f>E56</f>
        <v>125000.00000000001</v>
      </c>
      <c r="F57" s="21">
        <f>E57+F56</f>
        <v>250000</v>
      </c>
      <c r="G57" s="21">
        <f>F57+G56</f>
        <v>375000</v>
      </c>
      <c r="H57" s="21">
        <f t="shared" ref="H57:N57" si="28">G57+H56</f>
        <v>500000</v>
      </c>
      <c r="I57" s="21">
        <f t="shared" si="28"/>
        <v>625000</v>
      </c>
      <c r="J57" s="21">
        <f>I57+J56</f>
        <v>750000</v>
      </c>
      <c r="K57" s="21">
        <f t="shared" si="28"/>
        <v>875000</v>
      </c>
      <c r="L57" s="21">
        <f t="shared" si="28"/>
        <v>1000000</v>
      </c>
      <c r="M57" s="21">
        <f t="shared" si="28"/>
        <v>1125000</v>
      </c>
      <c r="N57" s="21">
        <f t="shared" si="28"/>
        <v>1250000</v>
      </c>
    </row>
    <row r="58" spans="1:15" ht="14.25" x14ac:dyDescent="0.45">
      <c r="B58" s="185"/>
      <c r="C58" s="191" t="s">
        <v>35</v>
      </c>
      <c r="D58" s="15" t="s">
        <v>43</v>
      </c>
      <c r="E58" s="16">
        <f>E52*E$15/$E$4</f>
        <v>0.12500000000000003</v>
      </c>
      <c r="F58" s="16">
        <f>F52*F$15/$E$4-E58</f>
        <v>0.14999999999999988</v>
      </c>
      <c r="G58" s="16">
        <f>G52*G$15/$E$4-F58-E58</f>
        <v>0.18000000000000024</v>
      </c>
      <c r="H58" s="16">
        <f>H52*H$15/$E$4-G58-F58-E58</f>
        <v>0.2159999999999995</v>
      </c>
      <c r="I58" s="16">
        <f>I52*I$15/$E$4-H58-G58-F58-E58</f>
        <v>0.25920000000000054</v>
      </c>
      <c r="J58" s="16">
        <f>J52*J$15/$E$4-I58-H58-G58-F58-E58</f>
        <v>0.31103999999999854</v>
      </c>
      <c r="K58" s="16">
        <f>K52*K$15/$E$4-J58-I58-H58-G58-F58-E58</f>
        <v>0.37324800000000236</v>
      </c>
      <c r="L58" s="16">
        <f>L52*L$15/$E$4-K58-J58-I58-H58-G58-F58-E58</f>
        <v>0.44789760000000001</v>
      </c>
      <c r="M58" s="16">
        <f>M52*M$15/$E$4-L58-K58-J58-I58-H58-G58-F58-E58</f>
        <v>0.53747712000000358</v>
      </c>
      <c r="N58" s="16">
        <f>N52*N$15/$E$4-M58-L58-K58-J58-I58-H58-G58-F58-E58</f>
        <v>0.64497254399998993</v>
      </c>
    </row>
    <row r="59" spans="1:15" ht="14.25" x14ac:dyDescent="0.45">
      <c r="B59" s="185"/>
      <c r="C59" s="192"/>
      <c r="D59" s="15" t="s">
        <v>44</v>
      </c>
      <c r="E59" s="17"/>
      <c r="F59" s="17"/>
      <c r="G59" s="17"/>
      <c r="H59" s="17"/>
      <c r="I59" s="17">
        <f>AVERAGE(E58:I58)</f>
        <v>0.18604000000000004</v>
      </c>
      <c r="J59" s="17"/>
      <c r="K59" s="17"/>
      <c r="L59" s="17"/>
      <c r="M59" s="17"/>
      <c r="N59" s="17">
        <f>AVERAGE(E58:N58)</f>
        <v>0.3244835263999995</v>
      </c>
    </row>
    <row r="60" spans="1:15" ht="14.25" x14ac:dyDescent="0.45">
      <c r="B60" s="185"/>
      <c r="C60" s="193"/>
      <c r="D60" s="19" t="s">
        <v>45</v>
      </c>
      <c r="E60" s="22">
        <f>E62</f>
        <v>125000.00000000003</v>
      </c>
      <c r="F60" s="22">
        <f>F62-E62</f>
        <v>149999.99999999991</v>
      </c>
      <c r="G60" s="22">
        <f>G62-F62</f>
        <v>180000.00000000023</v>
      </c>
      <c r="H60" s="22">
        <f t="shared" ref="H60:N60" si="29">H62-G62</f>
        <v>215999.99999999948</v>
      </c>
      <c r="I60" s="22">
        <f t="shared" si="29"/>
        <v>259200.0000000007</v>
      </c>
      <c r="J60" s="22">
        <f>J62-I62</f>
        <v>311039.99999999825</v>
      </c>
      <c r="K60" s="22">
        <f t="shared" si="29"/>
        <v>373248.00000000256</v>
      </c>
      <c r="L60" s="22">
        <f t="shared" si="29"/>
        <v>447897.59999999986</v>
      </c>
      <c r="M60" s="22">
        <f t="shared" si="29"/>
        <v>537477.1200000043</v>
      </c>
      <c r="N60" s="22">
        <f t="shared" si="29"/>
        <v>644972.54399998952</v>
      </c>
    </row>
    <row r="61" spans="1:15" ht="15" customHeight="1" x14ac:dyDescent="0.45">
      <c r="B61" s="185"/>
      <c r="C61" s="193"/>
      <c r="D61" s="19" t="s">
        <v>47</v>
      </c>
      <c r="E61" s="22"/>
      <c r="F61" s="22"/>
      <c r="G61" s="22"/>
      <c r="H61" s="22"/>
      <c r="I61" s="22">
        <f>AVERAGE(E60:I60)</f>
        <v>186040.00000000006</v>
      </c>
      <c r="J61" s="22"/>
      <c r="K61" s="22"/>
      <c r="L61" s="22"/>
      <c r="M61" s="22"/>
      <c r="N61" s="22">
        <f>AVERAGE(E60:N60)</f>
        <v>324483.52639999951</v>
      </c>
    </row>
    <row r="62" spans="1:15" ht="14.25" x14ac:dyDescent="0.45">
      <c r="B62" s="186"/>
      <c r="C62" s="193"/>
      <c r="D62" s="19" t="s">
        <v>46</v>
      </c>
      <c r="E62" s="21">
        <f t="shared" ref="E62:N62" si="30">E54*E$15</f>
        <v>125000.00000000003</v>
      </c>
      <c r="F62" s="21">
        <f t="shared" si="30"/>
        <v>274999.99999999994</v>
      </c>
      <c r="G62" s="21">
        <f t="shared" si="30"/>
        <v>455000.00000000017</v>
      </c>
      <c r="H62" s="21">
        <f t="shared" si="30"/>
        <v>670999.99999999965</v>
      </c>
      <c r="I62" s="21">
        <f t="shared" si="30"/>
        <v>930200.00000000035</v>
      </c>
      <c r="J62" s="21">
        <f t="shared" si="30"/>
        <v>1241239.9999999986</v>
      </c>
      <c r="K62" s="21">
        <f t="shared" si="30"/>
        <v>1614488.0000000012</v>
      </c>
      <c r="L62" s="21">
        <f t="shared" si="30"/>
        <v>2062385.600000001</v>
      </c>
      <c r="M62" s="21">
        <f t="shared" si="30"/>
        <v>2599862.7200000053</v>
      </c>
      <c r="N62" s="21">
        <f t="shared" si="30"/>
        <v>3244835.2639999948</v>
      </c>
    </row>
    <row r="63" spans="1:15" ht="14.25" x14ac:dyDescent="0.45">
      <c r="A63" s="8"/>
      <c r="B63" s="3"/>
      <c r="C63" s="1"/>
      <c r="D63" s="43"/>
      <c r="E63" s="31"/>
      <c r="F63" s="31"/>
      <c r="G63" s="31"/>
      <c r="H63" s="31"/>
      <c r="I63" s="31"/>
      <c r="J63" s="31"/>
      <c r="K63" s="31"/>
      <c r="L63" s="31"/>
      <c r="M63" s="31"/>
      <c r="N63" s="31"/>
      <c r="O63" s="8"/>
    </row>
    <row r="64" spans="1:15" ht="14.25" x14ac:dyDescent="0.45">
      <c r="B64" s="189" t="s">
        <v>115</v>
      </c>
      <c r="C64" s="187" t="s">
        <v>21</v>
      </c>
      <c r="D64" s="180" t="str">
        <f>"10 BTC / "&amp;TEXT($E$4*10, "$###0.00,,")&amp;"M USD"</f>
        <v>10 BTC / $1.00M USD</v>
      </c>
      <c r="E64" s="174" t="s">
        <v>3</v>
      </c>
      <c r="F64" s="174" t="s">
        <v>4</v>
      </c>
      <c r="G64" s="174" t="s">
        <v>5</v>
      </c>
      <c r="H64" s="174" t="s">
        <v>6</v>
      </c>
      <c r="I64" s="174" t="s">
        <v>7</v>
      </c>
      <c r="J64" s="174" t="s">
        <v>8</v>
      </c>
      <c r="K64" s="174" t="s">
        <v>9</v>
      </c>
      <c r="L64" s="174" t="s">
        <v>10</v>
      </c>
      <c r="M64" s="174" t="s">
        <v>11</v>
      </c>
      <c r="N64" s="174" t="s">
        <v>12</v>
      </c>
    </row>
    <row r="65" spans="2:14" ht="14.25" x14ac:dyDescent="0.45">
      <c r="B65" s="190"/>
      <c r="C65" s="188"/>
      <c r="D65" s="181"/>
      <c r="E65" s="175"/>
      <c r="F65" s="175"/>
      <c r="G65" s="175"/>
      <c r="H65" s="175"/>
      <c r="I65" s="175"/>
      <c r="J65" s="175"/>
      <c r="K65" s="175"/>
      <c r="L65" s="175"/>
      <c r="M65" s="175"/>
      <c r="N65" s="175"/>
    </row>
    <row r="66" spans="2:14" ht="14.25" x14ac:dyDescent="0.45">
      <c r="B66" s="193" t="s">
        <v>16</v>
      </c>
      <c r="C66" s="192" t="s">
        <v>32</v>
      </c>
      <c r="D66" s="15" t="s">
        <v>58</v>
      </c>
      <c r="E66" s="16">
        <f>E$23</f>
        <v>0.33333333333333331</v>
      </c>
      <c r="F66" s="16">
        <f t="shared" ref="F66:N66" si="31">F$23</f>
        <v>0.27777777777777785</v>
      </c>
      <c r="G66" s="16">
        <f t="shared" si="31"/>
        <v>0.2314814814814814</v>
      </c>
      <c r="H66" s="16">
        <f t="shared" si="31"/>
        <v>0.19290123456790131</v>
      </c>
      <c r="I66" s="16">
        <f t="shared" si="31"/>
        <v>0.16075102880658432</v>
      </c>
      <c r="J66" s="16">
        <f t="shared" si="31"/>
        <v>0.13395919067215378</v>
      </c>
      <c r="K66" s="16">
        <f t="shared" si="31"/>
        <v>0.1116326588934613</v>
      </c>
      <c r="L66" s="16">
        <f t="shared" si="31"/>
        <v>9.3027215744551084E-2</v>
      </c>
      <c r="M66" s="16">
        <f t="shared" si="31"/>
        <v>7.7522679787125792E-2</v>
      </c>
      <c r="N66" s="16">
        <f t="shared" si="31"/>
        <v>6.4602233155938382E-2</v>
      </c>
    </row>
    <row r="67" spans="2:14" ht="14.25" x14ac:dyDescent="0.45">
      <c r="B67" s="193"/>
      <c r="C67" s="192"/>
      <c r="D67" s="15" t="s">
        <v>59</v>
      </c>
      <c r="E67" s="16"/>
      <c r="F67" s="16"/>
      <c r="G67" s="16"/>
      <c r="H67" s="16"/>
      <c r="I67" s="80">
        <f>AVERAGE(E66:I66)</f>
        <v>0.23924897119341565</v>
      </c>
      <c r="J67" s="16"/>
      <c r="K67" s="16"/>
      <c r="L67" s="16"/>
      <c r="M67" s="16"/>
      <c r="N67" s="17">
        <f>AVERAGE(E66:N66)</f>
        <v>0.16769888342203085</v>
      </c>
    </row>
    <row r="68" spans="2:14" ht="14.25" x14ac:dyDescent="0.45">
      <c r="B68" s="193"/>
      <c r="C68" s="192"/>
      <c r="D68" s="15" t="s">
        <v>42</v>
      </c>
      <c r="E68" s="16">
        <f>E$17*(E66/E$19)</f>
        <v>0.33333333333333331</v>
      </c>
      <c r="F68" s="16">
        <f t="shared" ref="F68:N68" si="32">F$17*(F66/F$19)</f>
        <v>0.61111111111111116</v>
      </c>
      <c r="G68" s="16">
        <f>G$17*(G66/G$19)</f>
        <v>0.84259259259259256</v>
      </c>
      <c r="H68" s="16">
        <f>H$17*(H66/H$19)</f>
        <v>1.0354938271604939</v>
      </c>
      <c r="I68" s="16">
        <f>I$17*(I66/I$19)</f>
        <v>1.1962448559670782</v>
      </c>
      <c r="J68" s="16">
        <f t="shared" si="32"/>
        <v>1.330204046639232</v>
      </c>
      <c r="K68" s="16">
        <f t="shared" si="32"/>
        <v>1.4418367055326933</v>
      </c>
      <c r="L68" s="16">
        <f t="shared" si="32"/>
        <v>1.5348639212772444</v>
      </c>
      <c r="M68" s="16">
        <f t="shared" si="32"/>
        <v>1.6123866010643702</v>
      </c>
      <c r="N68" s="16">
        <f t="shared" si="32"/>
        <v>1.6769888342203085</v>
      </c>
    </row>
    <row r="69" spans="2:14" ht="14.25" customHeight="1" x14ac:dyDescent="0.45">
      <c r="B69" s="193"/>
      <c r="C69" s="193"/>
      <c r="D69" s="19" t="s">
        <v>45</v>
      </c>
      <c r="E69" s="20">
        <f>10*E66</f>
        <v>3.333333333333333</v>
      </c>
      <c r="F69" s="20">
        <f t="shared" ref="F69:N69" si="33">10*F66</f>
        <v>2.7777777777777786</v>
      </c>
      <c r="G69" s="20">
        <f t="shared" si="33"/>
        <v>2.314814814814814</v>
      </c>
      <c r="H69" s="20">
        <f t="shared" si="33"/>
        <v>1.9290123456790131</v>
      </c>
      <c r="I69" s="20">
        <f t="shared" si="33"/>
        <v>1.6075102880658432</v>
      </c>
      <c r="J69" s="20">
        <f t="shared" si="33"/>
        <v>1.3395919067215378</v>
      </c>
      <c r="K69" s="20">
        <f t="shared" si="33"/>
        <v>1.116326588934613</v>
      </c>
      <c r="L69" s="20">
        <f t="shared" si="33"/>
        <v>0.93027215744551084</v>
      </c>
      <c r="M69" s="20">
        <f t="shared" si="33"/>
        <v>0.77522679787125792</v>
      </c>
      <c r="N69" s="20">
        <f t="shared" si="33"/>
        <v>0.64602233155938382</v>
      </c>
    </row>
    <row r="70" spans="2:14" ht="14.25" x14ac:dyDescent="0.45">
      <c r="B70" s="193"/>
      <c r="C70" s="193"/>
      <c r="D70" s="19" t="s">
        <v>46</v>
      </c>
      <c r="E70" s="20">
        <f>10*E68</f>
        <v>3.333333333333333</v>
      </c>
      <c r="F70" s="20">
        <f>10*F68</f>
        <v>6.1111111111111116</v>
      </c>
      <c r="G70" s="20">
        <f>10*G68</f>
        <v>8.4259259259259256</v>
      </c>
      <c r="H70" s="20">
        <f t="shared" ref="H70:N70" si="34">10*H68</f>
        <v>10.354938271604938</v>
      </c>
      <c r="I70" s="20">
        <f t="shared" si="34"/>
        <v>11.962448559670783</v>
      </c>
      <c r="J70" s="20">
        <f t="shared" si="34"/>
        <v>13.30204046639232</v>
      </c>
      <c r="K70" s="20">
        <f t="shared" si="34"/>
        <v>14.418367055326932</v>
      </c>
      <c r="L70" s="20">
        <f t="shared" si="34"/>
        <v>15.348639212772444</v>
      </c>
      <c r="M70" s="20">
        <f t="shared" si="34"/>
        <v>16.123866010643702</v>
      </c>
      <c r="N70" s="20">
        <f t="shared" si="34"/>
        <v>16.769888342203085</v>
      </c>
    </row>
    <row r="71" spans="2:14" ht="14.25" x14ac:dyDescent="0.45">
      <c r="B71" s="193"/>
      <c r="C71" s="191" t="s">
        <v>36</v>
      </c>
      <c r="D71" s="15" t="s">
        <v>43</v>
      </c>
      <c r="E71" s="16">
        <f t="shared" ref="E71:N71" si="35">E66*E$15/$E$4</f>
        <v>0.4</v>
      </c>
      <c r="F71" s="16">
        <f t="shared" si="35"/>
        <v>0.40000000000000008</v>
      </c>
      <c r="G71" s="16">
        <f t="shared" si="35"/>
        <v>0.39999999999999986</v>
      </c>
      <c r="H71" s="16">
        <f t="shared" si="35"/>
        <v>0.40000000000000013</v>
      </c>
      <c r="I71" s="16">
        <f t="shared" si="35"/>
        <v>0.39999999999999986</v>
      </c>
      <c r="J71" s="16">
        <f t="shared" si="35"/>
        <v>0.40000000000000041</v>
      </c>
      <c r="K71" s="16">
        <f t="shared" si="35"/>
        <v>0.3999999999999998</v>
      </c>
      <c r="L71" s="16">
        <f t="shared" si="35"/>
        <v>0.3999999999999998</v>
      </c>
      <c r="M71" s="16">
        <f t="shared" si="35"/>
        <v>0.39999999999999919</v>
      </c>
      <c r="N71" s="16">
        <f t="shared" si="35"/>
        <v>0.40000000000000058</v>
      </c>
    </row>
    <row r="72" spans="2:14" ht="14.25" customHeight="1" x14ac:dyDescent="0.45">
      <c r="B72" s="193"/>
      <c r="C72" s="193"/>
      <c r="D72" s="19" t="s">
        <v>45</v>
      </c>
      <c r="E72" s="21">
        <f t="shared" ref="E72:N72" si="36">E69*E$15</f>
        <v>399999.99999999994</v>
      </c>
      <c r="F72" s="21">
        <f t="shared" si="36"/>
        <v>400000.00000000012</v>
      </c>
      <c r="G72" s="21">
        <f>G69*G$15</f>
        <v>399999.99999999988</v>
      </c>
      <c r="H72" s="21">
        <f>H69*H$15</f>
        <v>400000.00000000017</v>
      </c>
      <c r="I72" s="21">
        <f>I69*I$15</f>
        <v>399999.99999999988</v>
      </c>
      <c r="J72" s="21">
        <f t="shared" si="36"/>
        <v>400000.00000000047</v>
      </c>
      <c r="K72" s="21">
        <f t="shared" si="36"/>
        <v>399999.99999999977</v>
      </c>
      <c r="L72" s="21">
        <f t="shared" si="36"/>
        <v>399999.99999999977</v>
      </c>
      <c r="M72" s="21">
        <f t="shared" si="36"/>
        <v>399999.99999999919</v>
      </c>
      <c r="N72" s="21">
        <f t="shared" si="36"/>
        <v>400000.00000000052</v>
      </c>
    </row>
    <row r="73" spans="2:14" ht="14.25" x14ac:dyDescent="0.45">
      <c r="B73" s="193"/>
      <c r="C73" s="193"/>
      <c r="D73" s="19" t="s">
        <v>46</v>
      </c>
      <c r="E73" s="21">
        <f>E72</f>
        <v>399999.99999999994</v>
      </c>
      <c r="F73" s="21">
        <f>E73+F72</f>
        <v>800000</v>
      </c>
      <c r="G73" s="21">
        <f>F73+G72</f>
        <v>1200000</v>
      </c>
      <c r="H73" s="21">
        <f t="shared" ref="H73:N73" si="37">G73+H72</f>
        <v>1600000.0000000002</v>
      </c>
      <c r="I73" s="21">
        <f t="shared" si="37"/>
        <v>2000000</v>
      </c>
      <c r="J73" s="21">
        <f>I73+J72</f>
        <v>2400000.0000000005</v>
      </c>
      <c r="K73" s="21">
        <f t="shared" si="37"/>
        <v>2800000</v>
      </c>
      <c r="L73" s="21">
        <f t="shared" si="37"/>
        <v>3200000</v>
      </c>
      <c r="M73" s="21">
        <f t="shared" si="37"/>
        <v>3599999.9999999991</v>
      </c>
      <c r="N73" s="21">
        <f t="shared" si="37"/>
        <v>3999999.9999999995</v>
      </c>
    </row>
    <row r="74" spans="2:14" ht="14.25" x14ac:dyDescent="0.45">
      <c r="B74" s="193"/>
      <c r="C74" s="191" t="s">
        <v>35</v>
      </c>
      <c r="D74" s="15" t="s">
        <v>43</v>
      </c>
      <c r="E74" s="16">
        <f>E68*E$15/$E$4</f>
        <v>0.4</v>
      </c>
      <c r="F74" s="16">
        <f>F68*F$15/$E$4-E74</f>
        <v>0.48</v>
      </c>
      <c r="G74" s="16">
        <f>G68*G$15/$E$4-F74-E74</f>
        <v>0.57599999999999996</v>
      </c>
      <c r="H74" s="16">
        <f>H68*H$15/$E$4-G74-F74-E74</f>
        <v>0.69120000000000015</v>
      </c>
      <c r="I74" s="16">
        <f>I68*I$15/$E$4-H74-G74-F74-E74</f>
        <v>0.82943999999999984</v>
      </c>
      <c r="J74" s="16">
        <f>J68*J$15/$E$4-I74-H74-G74-F74-E74</f>
        <v>0.9953280000000001</v>
      </c>
      <c r="K74" s="16">
        <f>K68*K$15/$E$4-J74-I74-H74-G74-F74-E74</f>
        <v>1.1943936000000002</v>
      </c>
      <c r="L74" s="16">
        <f>L68*L$15/$E$4-K74-J74-I74-H74-G74-F74-E74</f>
        <v>1.433272319999999</v>
      </c>
      <c r="M74" s="16">
        <f>M68*M$15/$E$4-L74-K74-J74-I74-H74-G74-F74-E74</f>
        <v>1.7199267840000005</v>
      </c>
      <c r="N74" s="16">
        <f>N68*N$15/$E$4-M74-L74-K74-J74-I74-H74-G74-F74-E74</f>
        <v>2.0639121408000016</v>
      </c>
    </row>
    <row r="75" spans="2:14" ht="14.25" x14ac:dyDescent="0.45">
      <c r="B75" s="193"/>
      <c r="C75" s="192"/>
      <c r="D75" s="15" t="s">
        <v>44</v>
      </c>
      <c r="E75" s="17"/>
      <c r="F75" s="17"/>
      <c r="G75" s="17"/>
      <c r="H75" s="17"/>
      <c r="I75" s="17">
        <f>AVERAGE(E74:I74)</f>
        <v>0.59532800000000008</v>
      </c>
      <c r="J75" s="17"/>
      <c r="K75" s="17"/>
      <c r="L75" s="17"/>
      <c r="M75" s="17"/>
      <c r="N75" s="17">
        <f>AVERAGE(E74:N74)</f>
        <v>1.0383472844799999</v>
      </c>
    </row>
    <row r="76" spans="2:14" ht="14.25" x14ac:dyDescent="0.45">
      <c r="B76" s="193"/>
      <c r="C76" s="193"/>
      <c r="D76" s="19" t="s">
        <v>45</v>
      </c>
      <c r="E76" s="22">
        <f>E78</f>
        <v>399999.99999999994</v>
      </c>
      <c r="F76" s="22">
        <f>F78-E78</f>
        <v>480000.00000000017</v>
      </c>
      <c r="G76" s="22">
        <f>G78-F78</f>
        <v>575999.99999999988</v>
      </c>
      <c r="H76" s="22">
        <f t="shared" ref="H76:N76" si="38">H78-G78</f>
        <v>691200</v>
      </c>
      <c r="I76" s="22">
        <f t="shared" si="38"/>
        <v>829440</v>
      </c>
      <c r="J76" s="22">
        <f>J78-I78</f>
        <v>995328.00000000093</v>
      </c>
      <c r="K76" s="22">
        <f t="shared" si="38"/>
        <v>1194393.5999999996</v>
      </c>
      <c r="L76" s="22">
        <f t="shared" si="38"/>
        <v>1433272.3199999994</v>
      </c>
      <c r="M76" s="22">
        <f t="shared" si="38"/>
        <v>1719926.784</v>
      </c>
      <c r="N76" s="22">
        <f t="shared" si="38"/>
        <v>2063912.1407999992</v>
      </c>
    </row>
    <row r="77" spans="2:14" ht="14.25" x14ac:dyDescent="0.45">
      <c r="B77" s="193"/>
      <c r="C77" s="193"/>
      <c r="D77" s="19" t="s">
        <v>47</v>
      </c>
      <c r="E77" s="22"/>
      <c r="F77" s="22"/>
      <c r="G77" s="22"/>
      <c r="H77" s="22"/>
      <c r="I77" s="22">
        <f>AVERAGE(E76:I76)</f>
        <v>595328</v>
      </c>
      <c r="J77" s="22"/>
      <c r="K77" s="22"/>
      <c r="L77" s="22"/>
      <c r="M77" s="22"/>
      <c r="N77" s="22">
        <f>AVERAGE(E76:N76)</f>
        <v>1038347.2844799999</v>
      </c>
    </row>
    <row r="78" spans="2:14" ht="14.25" x14ac:dyDescent="0.45">
      <c r="B78" s="193"/>
      <c r="C78" s="193"/>
      <c r="D78" s="19" t="s">
        <v>46</v>
      </c>
      <c r="E78" s="21">
        <f t="shared" ref="E78:N78" si="39">E70*E$15</f>
        <v>399999.99999999994</v>
      </c>
      <c r="F78" s="21">
        <f t="shared" si="39"/>
        <v>880000.00000000012</v>
      </c>
      <c r="G78" s="21">
        <f>G70*G$15</f>
        <v>1456000</v>
      </c>
      <c r="H78" s="21">
        <f>H70*H$15</f>
        <v>2147200</v>
      </c>
      <c r="I78" s="21">
        <f>I70*I$15</f>
        <v>2976640</v>
      </c>
      <c r="J78" s="21">
        <f t="shared" si="39"/>
        <v>3971968.0000000009</v>
      </c>
      <c r="K78" s="21">
        <f t="shared" si="39"/>
        <v>5166361.6000000006</v>
      </c>
      <c r="L78" s="21">
        <f t="shared" si="39"/>
        <v>6599633.9199999999</v>
      </c>
      <c r="M78" s="21">
        <f t="shared" si="39"/>
        <v>8319560.7039999999</v>
      </c>
      <c r="N78" s="21">
        <f t="shared" si="39"/>
        <v>10383472.844799999</v>
      </c>
    </row>
    <row r="79" spans="2:14" ht="14.25" x14ac:dyDescent="0.45">
      <c r="B79" s="193" t="s">
        <v>137</v>
      </c>
      <c r="C79" s="192" t="s">
        <v>32</v>
      </c>
      <c r="D79" s="15" t="s">
        <v>43</v>
      </c>
      <c r="E79" s="16">
        <f>E$25</f>
        <v>5.6666666666666671E-2</v>
      </c>
      <c r="F79" s="16">
        <f t="shared" ref="F79:N79" si="40">F$25</f>
        <v>5.3888888888888889E-2</v>
      </c>
      <c r="G79" s="16">
        <f t="shared" si="40"/>
        <v>5.1574074074074078E-2</v>
      </c>
      <c r="H79" s="16">
        <f t="shared" si="40"/>
        <v>4.9645061728395064E-2</v>
      </c>
      <c r="I79" s="16">
        <f t="shared" si="40"/>
        <v>4.8037551440329215E-2</v>
      </c>
      <c r="J79" s="16">
        <f t="shared" si="40"/>
        <v>4.6697959533607683E-2</v>
      </c>
      <c r="K79" s="16">
        <f t="shared" si="40"/>
        <v>4.5581632944673066E-2</v>
      </c>
      <c r="L79" s="16">
        <f t="shared" si="40"/>
        <v>4.4651360787227555E-2</v>
      </c>
      <c r="M79" s="16">
        <f t="shared" si="40"/>
        <v>4.3876133989356303E-2</v>
      </c>
      <c r="N79" s="16">
        <f t="shared" si="40"/>
        <v>4.3230111657796916E-2</v>
      </c>
    </row>
    <row r="80" spans="2:14" ht="14.25" x14ac:dyDescent="0.45">
      <c r="B80" s="193"/>
      <c r="C80" s="192"/>
      <c r="D80" s="15" t="s">
        <v>44</v>
      </c>
      <c r="E80" s="16"/>
      <c r="F80" s="16"/>
      <c r="G80" s="16"/>
      <c r="H80" s="16"/>
      <c r="I80" s="80">
        <f>AVERAGE(E79:I79)</f>
        <v>5.1962448559670783E-2</v>
      </c>
      <c r="J80" s="17"/>
      <c r="K80" s="17"/>
      <c r="L80" s="17"/>
      <c r="M80" s="17"/>
      <c r="N80" s="17">
        <f>AVERAGE(E79:N79)</f>
        <v>4.8384944171101542E-2</v>
      </c>
    </row>
    <row r="81" spans="2:14" ht="14.25" x14ac:dyDescent="0.45">
      <c r="B81" s="193"/>
      <c r="C81" s="192"/>
      <c r="D81" s="15" t="s">
        <v>42</v>
      </c>
      <c r="E81" s="16">
        <f>E$27</f>
        <v>5.6666666666666671E-2</v>
      </c>
      <c r="F81" s="16">
        <f t="shared" ref="F81:N81" si="41">F$27</f>
        <v>0.11055555555555556</v>
      </c>
      <c r="G81" s="16">
        <f t="shared" si="41"/>
        <v>0.16212962962962962</v>
      </c>
      <c r="H81" s="16">
        <f t="shared" si="41"/>
        <v>0.21177469135802468</v>
      </c>
      <c r="I81" s="16">
        <f t="shared" si="41"/>
        <v>0.25981224279835391</v>
      </c>
      <c r="J81" s="16">
        <f t="shared" si="41"/>
        <v>0.30651020233196158</v>
      </c>
      <c r="K81" s="16">
        <f t="shared" si="41"/>
        <v>0.35209183527663462</v>
      </c>
      <c r="L81" s="16">
        <f t="shared" si="41"/>
        <v>0.39674319606386216</v>
      </c>
      <c r="M81" s="16">
        <f t="shared" si="41"/>
        <v>0.44061933005321846</v>
      </c>
      <c r="N81" s="16">
        <f t="shared" si="41"/>
        <v>0.4838494417110154</v>
      </c>
    </row>
    <row r="82" spans="2:14" ht="14.25" customHeight="1" x14ac:dyDescent="0.45">
      <c r="B82" s="193"/>
      <c r="C82" s="193"/>
      <c r="D82" s="19" t="s">
        <v>45</v>
      </c>
      <c r="E82" s="20">
        <f t="shared" ref="E82:N82" si="42">10*E79</f>
        <v>0.56666666666666665</v>
      </c>
      <c r="F82" s="20">
        <f t="shared" si="42"/>
        <v>0.53888888888888886</v>
      </c>
      <c r="G82" s="20">
        <f t="shared" si="42"/>
        <v>0.51574074074074083</v>
      </c>
      <c r="H82" s="20">
        <f t="shared" si="42"/>
        <v>0.49645061728395062</v>
      </c>
      <c r="I82" s="20">
        <f t="shared" si="42"/>
        <v>0.48037551440329218</v>
      </c>
      <c r="J82" s="20">
        <f t="shared" si="42"/>
        <v>0.4669795953360768</v>
      </c>
      <c r="K82" s="20">
        <f t="shared" si="42"/>
        <v>0.45581632944673067</v>
      </c>
      <c r="L82" s="20">
        <f t="shared" si="42"/>
        <v>0.44651360787227556</v>
      </c>
      <c r="M82" s="20">
        <f t="shared" si="42"/>
        <v>0.43876133989356303</v>
      </c>
      <c r="N82" s="20">
        <f t="shared" si="42"/>
        <v>0.43230111657796916</v>
      </c>
    </row>
    <row r="83" spans="2:14" ht="14.25" x14ac:dyDescent="0.45">
      <c r="B83" s="193"/>
      <c r="C83" s="193"/>
      <c r="D83" s="19" t="s">
        <v>46</v>
      </c>
      <c r="E83" s="20">
        <f>10*E81</f>
        <v>0.56666666666666665</v>
      </c>
      <c r="F83" s="20">
        <f t="shared" ref="F83:N83" si="43">10*F81</f>
        <v>1.1055555555555556</v>
      </c>
      <c r="G83" s="20">
        <f t="shared" si="43"/>
        <v>1.6212962962962962</v>
      </c>
      <c r="H83" s="20">
        <f t="shared" si="43"/>
        <v>2.1177469135802469</v>
      </c>
      <c r="I83" s="20">
        <f t="shared" si="43"/>
        <v>2.5981224279835393</v>
      </c>
      <c r="J83" s="20">
        <f t="shared" si="43"/>
        <v>3.065102023319616</v>
      </c>
      <c r="K83" s="20">
        <f t="shared" si="43"/>
        <v>3.5209183527663463</v>
      </c>
      <c r="L83" s="20">
        <f t="shared" si="43"/>
        <v>3.9674319606386215</v>
      </c>
      <c r="M83" s="20">
        <f t="shared" si="43"/>
        <v>4.4061933005321849</v>
      </c>
      <c r="N83" s="20">
        <f t="shared" si="43"/>
        <v>4.8384944171101543</v>
      </c>
    </row>
    <row r="84" spans="2:14" ht="14.25" x14ac:dyDescent="0.45">
      <c r="B84" s="193"/>
      <c r="C84" s="191" t="s">
        <v>36</v>
      </c>
      <c r="D84" s="15" t="s">
        <v>43</v>
      </c>
      <c r="E84" s="16">
        <f>E79*E$15/$E$4</f>
        <v>6.8000000000000005E-2</v>
      </c>
      <c r="F84" s="16">
        <f t="shared" ref="F84:N84" si="44">F79*F$15/$E$4</f>
        <v>7.7600000000000002E-2</v>
      </c>
      <c r="G84" s="16">
        <f t="shared" si="44"/>
        <v>8.9120000000000005E-2</v>
      </c>
      <c r="H84" s="16">
        <f t="shared" si="44"/>
        <v>0.10294399999999999</v>
      </c>
      <c r="I84" s="16">
        <f t="shared" si="44"/>
        <v>0.11953279999999999</v>
      </c>
      <c r="J84" s="16">
        <f t="shared" si="44"/>
        <v>0.13943936000000001</v>
      </c>
      <c r="K84" s="16">
        <f t="shared" si="44"/>
        <v>0.16332723200000002</v>
      </c>
      <c r="L84" s="16">
        <f t="shared" si="44"/>
        <v>0.19199267840000001</v>
      </c>
      <c r="M84" s="16">
        <f t="shared" si="44"/>
        <v>0.22639121408000001</v>
      </c>
      <c r="N84" s="16">
        <f t="shared" si="44"/>
        <v>0.26766945689599997</v>
      </c>
    </row>
    <row r="85" spans="2:14" ht="14.25" x14ac:dyDescent="0.45">
      <c r="B85" s="193"/>
      <c r="C85" s="192"/>
      <c r="D85" s="15" t="s">
        <v>44</v>
      </c>
      <c r="E85" s="16"/>
      <c r="F85" s="16"/>
      <c r="G85" s="16"/>
      <c r="H85" s="16"/>
      <c r="I85" s="17">
        <f>AVERAGE(E84:I84)</f>
        <v>9.1439359999999997E-2</v>
      </c>
      <c r="J85" s="17"/>
      <c r="K85" s="17"/>
      <c r="L85" s="17"/>
      <c r="M85" s="17"/>
      <c r="N85" s="17">
        <f>AVERAGE(E84:N84)</f>
        <v>0.1446016741376</v>
      </c>
    </row>
    <row r="86" spans="2:14" ht="14.25" x14ac:dyDescent="0.45">
      <c r="B86" s="193"/>
      <c r="C86" s="193"/>
      <c r="D86" s="19" t="s">
        <v>45</v>
      </c>
      <c r="E86" s="23">
        <f t="shared" ref="E86:F86" si="45">E82*E$15</f>
        <v>68000</v>
      </c>
      <c r="F86" s="23">
        <f t="shared" si="45"/>
        <v>77600</v>
      </c>
      <c r="G86" s="23">
        <f>G82*G$15</f>
        <v>89120.000000000015</v>
      </c>
      <c r="H86" s="23">
        <f>H82*H$15</f>
        <v>102944</v>
      </c>
      <c r="I86" s="23">
        <f>I82*I$15</f>
        <v>119532.8</v>
      </c>
      <c r="J86" s="23">
        <f t="shared" ref="J86:N86" si="46">J82*J$15</f>
        <v>139439.36000000002</v>
      </c>
      <c r="K86" s="23">
        <f t="shared" si="46"/>
        <v>163327.23200000002</v>
      </c>
      <c r="L86" s="23">
        <f t="shared" si="46"/>
        <v>191992.6784</v>
      </c>
      <c r="M86" s="23">
        <f t="shared" si="46"/>
        <v>226391.21408000003</v>
      </c>
      <c r="N86" s="23">
        <f t="shared" si="46"/>
        <v>267669.45689600002</v>
      </c>
    </row>
    <row r="87" spans="2:14" ht="14.25" customHeight="1" x14ac:dyDescent="0.45">
      <c r="B87" s="193"/>
      <c r="C87" s="193"/>
      <c r="D87" s="19" t="s">
        <v>47</v>
      </c>
      <c r="E87" s="24"/>
      <c r="F87" s="24"/>
      <c r="G87" s="24"/>
      <c r="H87" s="24"/>
      <c r="I87" s="23">
        <f>AVERAGE(E86:I86)</f>
        <v>91439.360000000001</v>
      </c>
      <c r="J87" s="23"/>
      <c r="K87" s="23"/>
      <c r="L87" s="23"/>
      <c r="M87" s="23"/>
      <c r="N87" s="23">
        <f>AVERAGE(E86:N86)</f>
        <v>144601.6741376</v>
      </c>
    </row>
    <row r="88" spans="2:14" ht="14.25" x14ac:dyDescent="0.45">
      <c r="B88" s="193"/>
      <c r="C88" s="193"/>
      <c r="D88" s="19" t="s">
        <v>46</v>
      </c>
      <c r="E88" s="24">
        <f>E86</f>
        <v>68000</v>
      </c>
      <c r="F88" s="24">
        <f t="shared" ref="F88" si="47">E88+F86</f>
        <v>145600</v>
      </c>
      <c r="G88" s="24">
        <f>F88+G86</f>
        <v>234720</v>
      </c>
      <c r="H88" s="24">
        <f t="shared" ref="H88:I88" si="48">G88+H86</f>
        <v>337664</v>
      </c>
      <c r="I88" s="24">
        <f t="shared" si="48"/>
        <v>457196.79999999999</v>
      </c>
      <c r="J88" s="24">
        <f>I88+J86</f>
        <v>596636.16000000003</v>
      </c>
      <c r="K88" s="24">
        <f t="shared" ref="K88:N88" si="49">J88+K86</f>
        <v>759963.39199999999</v>
      </c>
      <c r="L88" s="24">
        <f t="shared" si="49"/>
        <v>951956.07039999997</v>
      </c>
      <c r="M88" s="24">
        <f t="shared" si="49"/>
        <v>1178347.2844799999</v>
      </c>
      <c r="N88" s="24">
        <f t="shared" si="49"/>
        <v>1446016.741376</v>
      </c>
    </row>
    <row r="89" spans="2:14" ht="14.25" x14ac:dyDescent="0.45">
      <c r="B89" s="193"/>
      <c r="C89" s="191" t="s">
        <v>35</v>
      </c>
      <c r="D89" s="15" t="s">
        <v>43</v>
      </c>
      <c r="E89" s="16">
        <f>E81*E$15/$E$4</f>
        <v>6.8000000000000005E-2</v>
      </c>
      <c r="F89" s="16">
        <f>F81*F$15/$E$4-E89</f>
        <v>9.1200000000000003E-2</v>
      </c>
      <c r="G89" s="16">
        <f>G81*G$15/$E$4-F89-E89</f>
        <v>0.12096000000000001</v>
      </c>
      <c r="H89" s="16">
        <f>H81*H$15/$E$4-G89-F89-E89</f>
        <v>0.15897599999999995</v>
      </c>
      <c r="I89" s="16">
        <f>I81*I$15/$E$4-H89-G89-F89-E89</f>
        <v>0.20735999999999999</v>
      </c>
      <c r="J89" s="16">
        <f>J81*J$15/$E$4-I89-H89-G89-F89-E89</f>
        <v>0.26873856000000002</v>
      </c>
      <c r="K89" s="16">
        <f>K81*K$15/$E$4-J89-I89-H89-G89-F89-E89</f>
        <v>0.34637414399999988</v>
      </c>
      <c r="L89" s="16">
        <f>L81*L$15/$E$4-K89-J89-I89-H89-G89-F89-E89</f>
        <v>0.44431441919999975</v>
      </c>
      <c r="M89" s="16">
        <f>M81*M$15/$E$4-L89-K89-J89-I89-H89-G89-F89-E89</f>
        <v>0.56757583872000006</v>
      </c>
      <c r="N89" s="16">
        <f>N81*N$15/$E$4-M89-L89-K89-J89-I89-H89-G89-F89-E89</f>
        <v>0.72236924928000001</v>
      </c>
    </row>
    <row r="90" spans="2:14" ht="14.25" x14ac:dyDescent="0.45">
      <c r="B90" s="193"/>
      <c r="C90" s="192"/>
      <c r="D90" s="15" t="s">
        <v>44</v>
      </c>
      <c r="E90" s="17"/>
      <c r="F90" s="17"/>
      <c r="G90" s="17"/>
      <c r="H90" s="17"/>
      <c r="I90" s="17">
        <f>AVERAGE(E89:I89)</f>
        <v>0.1292992</v>
      </c>
      <c r="J90" s="17"/>
      <c r="K90" s="17"/>
      <c r="L90" s="17"/>
      <c r="M90" s="17"/>
      <c r="N90" s="17">
        <f>AVERAGE(E89:N89)</f>
        <v>0.29958682111999996</v>
      </c>
    </row>
    <row r="91" spans="2:14" ht="14.25" x14ac:dyDescent="0.45">
      <c r="B91" s="193"/>
      <c r="C91" s="193"/>
      <c r="D91" s="19" t="s">
        <v>45</v>
      </c>
      <c r="E91" s="23">
        <f>E93</f>
        <v>68000</v>
      </c>
      <c r="F91" s="23">
        <f>F93-E93</f>
        <v>91200</v>
      </c>
      <c r="G91" s="23">
        <f>G93-F93</f>
        <v>120960</v>
      </c>
      <c r="H91" s="23">
        <f>H93-G93</f>
        <v>158976</v>
      </c>
      <c r="I91" s="23">
        <f>I93-H93</f>
        <v>207360</v>
      </c>
      <c r="J91" s="23">
        <f>J93-I93</f>
        <v>268738.56000000006</v>
      </c>
      <c r="K91" s="23">
        <f t="shared" ref="K91:N91" si="50">K93-J93</f>
        <v>346374.14399999985</v>
      </c>
      <c r="L91" s="23">
        <f t="shared" si="50"/>
        <v>444314.41919999989</v>
      </c>
      <c r="M91" s="23">
        <f t="shared" si="50"/>
        <v>567575.83871999988</v>
      </c>
      <c r="N91" s="23">
        <f t="shared" si="50"/>
        <v>722369.24928000011</v>
      </c>
    </row>
    <row r="92" spans="2:14" ht="14.25" x14ac:dyDescent="0.45">
      <c r="B92" s="193"/>
      <c r="C92" s="193"/>
      <c r="D92" s="19" t="s">
        <v>47</v>
      </c>
      <c r="E92" s="23"/>
      <c r="F92" s="23"/>
      <c r="G92" s="23"/>
      <c r="H92" s="23"/>
      <c r="I92" s="23">
        <f>AVERAGE(E91:I91)</f>
        <v>129299.2</v>
      </c>
      <c r="J92" s="23"/>
      <c r="K92" s="23"/>
      <c r="L92" s="23"/>
      <c r="M92" s="23"/>
      <c r="N92" s="23">
        <f>AVERAGE(E91:N91)</f>
        <v>299586.82111999998</v>
      </c>
    </row>
    <row r="93" spans="2:14" ht="14.25" x14ac:dyDescent="0.45">
      <c r="B93" s="193"/>
      <c r="C93" s="193"/>
      <c r="D93" s="19" t="s">
        <v>46</v>
      </c>
      <c r="E93" s="24">
        <f t="shared" ref="E93:F93" si="51">E83*E$15</f>
        <v>68000</v>
      </c>
      <c r="F93" s="24">
        <f t="shared" si="51"/>
        <v>159200</v>
      </c>
      <c r="G93" s="24">
        <f>G83*G$15</f>
        <v>280160</v>
      </c>
      <c r="H93" s="24">
        <f>H83*H$15</f>
        <v>439136</v>
      </c>
      <c r="I93" s="24">
        <f>I83*I$15</f>
        <v>646496</v>
      </c>
      <c r="J93" s="24">
        <f t="shared" ref="J93:N93" si="52">J83*J$15</f>
        <v>915234.56</v>
      </c>
      <c r="K93" s="24">
        <f t="shared" si="52"/>
        <v>1261608.7039999999</v>
      </c>
      <c r="L93" s="24">
        <f t="shared" si="52"/>
        <v>1705923.1231999998</v>
      </c>
      <c r="M93" s="24">
        <f t="shared" si="52"/>
        <v>2273498.9619199997</v>
      </c>
      <c r="N93" s="24">
        <f t="shared" si="52"/>
        <v>2995868.2111999998</v>
      </c>
    </row>
    <row r="94" spans="2:14" ht="14.25" x14ac:dyDescent="0.45">
      <c r="B94" s="193" t="s">
        <v>17</v>
      </c>
      <c r="C94" s="192" t="s">
        <v>32</v>
      </c>
      <c r="D94" s="15" t="s">
        <v>43</v>
      </c>
      <c r="E94" s="16">
        <f>E$28</f>
        <v>2.8333333333333335E-2</v>
      </c>
      <c r="F94" s="16">
        <f t="shared" ref="F94:N94" si="53">F$28</f>
        <v>2.6944444444444444E-2</v>
      </c>
      <c r="G94" s="16">
        <f t="shared" si="53"/>
        <v>2.5787037037037039E-2</v>
      </c>
      <c r="H94" s="16">
        <f t="shared" si="53"/>
        <v>2.4822530864197532E-2</v>
      </c>
      <c r="I94" s="16">
        <f t="shared" si="53"/>
        <v>2.4018775720164608E-2</v>
      </c>
      <c r="J94" s="16">
        <f t="shared" si="53"/>
        <v>2.3348979766803842E-2</v>
      </c>
      <c r="K94" s="16">
        <f t="shared" si="53"/>
        <v>2.2790816472336533E-2</v>
      </c>
      <c r="L94" s="16">
        <f t="shared" si="53"/>
        <v>2.2325680393613778E-2</v>
      </c>
      <c r="M94" s="16">
        <f t="shared" si="53"/>
        <v>2.1938066994678151E-2</v>
      </c>
      <c r="N94" s="16">
        <f t="shared" si="53"/>
        <v>2.1615055828898458E-2</v>
      </c>
    </row>
    <row r="95" spans="2:14" ht="14.25" x14ac:dyDescent="0.45">
      <c r="B95" s="193"/>
      <c r="C95" s="192"/>
      <c r="D95" s="15" t="s">
        <v>44</v>
      </c>
      <c r="E95" s="16"/>
      <c r="F95" s="16"/>
      <c r="G95" s="16"/>
      <c r="H95" s="16"/>
      <c r="I95" s="80">
        <f>AVERAGE(E94:I94)</f>
        <v>2.5981224279835392E-2</v>
      </c>
      <c r="J95" s="17"/>
      <c r="K95" s="17"/>
      <c r="L95" s="17"/>
      <c r="M95" s="17"/>
      <c r="N95" s="17">
        <f>AVERAGE(E94:N94)</f>
        <v>2.4192472085550771E-2</v>
      </c>
    </row>
    <row r="96" spans="2:14" ht="14.25" x14ac:dyDescent="0.45">
      <c r="B96" s="193"/>
      <c r="C96" s="192"/>
      <c r="D96" s="15" t="s">
        <v>42</v>
      </c>
      <c r="E96" s="16">
        <f t="shared" ref="E96:N96" si="54">E$30</f>
        <v>2.8333333333333335E-2</v>
      </c>
      <c r="F96" s="16">
        <f t="shared" si="54"/>
        <v>5.527777777777778E-2</v>
      </c>
      <c r="G96" s="16">
        <f t="shared" si="54"/>
        <v>8.1064814814814812E-2</v>
      </c>
      <c r="H96" s="16">
        <f t="shared" si="54"/>
        <v>0.10588734567901234</v>
      </c>
      <c r="I96" s="16">
        <f t="shared" si="54"/>
        <v>0.12990612139917695</v>
      </c>
      <c r="J96" s="16">
        <f t="shared" si="54"/>
        <v>0.15325510116598079</v>
      </c>
      <c r="K96" s="16">
        <f t="shared" si="54"/>
        <v>0.17604591763831731</v>
      </c>
      <c r="L96" s="16">
        <f t="shared" si="54"/>
        <v>0.19837159803193108</v>
      </c>
      <c r="M96" s="16">
        <f t="shared" si="54"/>
        <v>0.22030966502660923</v>
      </c>
      <c r="N96" s="16">
        <f t="shared" si="54"/>
        <v>0.2419247208555077</v>
      </c>
    </row>
    <row r="97" spans="2:14" ht="14.25" customHeight="1" x14ac:dyDescent="0.45">
      <c r="B97" s="193"/>
      <c r="C97" s="193"/>
      <c r="D97" s="19" t="s">
        <v>45</v>
      </c>
      <c r="E97" s="20">
        <f t="shared" ref="E97:N97" si="55">10*E94</f>
        <v>0.28333333333333333</v>
      </c>
      <c r="F97" s="20">
        <f t="shared" si="55"/>
        <v>0.26944444444444443</v>
      </c>
      <c r="G97" s="20">
        <f t="shared" si="55"/>
        <v>0.25787037037037042</v>
      </c>
      <c r="H97" s="20">
        <f t="shared" si="55"/>
        <v>0.24822530864197531</v>
      </c>
      <c r="I97" s="20">
        <f t="shared" si="55"/>
        <v>0.24018775720164609</v>
      </c>
      <c r="J97" s="20">
        <f t="shared" si="55"/>
        <v>0.2334897976680384</v>
      </c>
      <c r="K97" s="20">
        <f t="shared" si="55"/>
        <v>0.22790816472336534</v>
      </c>
      <c r="L97" s="20">
        <f t="shared" si="55"/>
        <v>0.22325680393613778</v>
      </c>
      <c r="M97" s="20">
        <f t="shared" si="55"/>
        <v>0.21938066994678151</v>
      </c>
      <c r="N97" s="20">
        <f t="shared" si="55"/>
        <v>0.21615055828898458</v>
      </c>
    </row>
    <row r="98" spans="2:14" ht="14.25" x14ac:dyDescent="0.45">
      <c r="B98" s="193"/>
      <c r="C98" s="193"/>
      <c r="D98" s="19" t="s">
        <v>46</v>
      </c>
      <c r="E98" s="20">
        <f>10*E96</f>
        <v>0.28333333333333333</v>
      </c>
      <c r="F98" s="20">
        <f t="shared" ref="F98:N98" si="56">10*F96</f>
        <v>0.55277777777777781</v>
      </c>
      <c r="G98" s="20">
        <f t="shared" si="56"/>
        <v>0.81064814814814812</v>
      </c>
      <c r="H98" s="20">
        <f t="shared" si="56"/>
        <v>1.0588734567901235</v>
      </c>
      <c r="I98" s="20">
        <f t="shared" si="56"/>
        <v>1.2990612139917697</v>
      </c>
      <c r="J98" s="20">
        <f t="shared" si="56"/>
        <v>1.532551011659808</v>
      </c>
      <c r="K98" s="20">
        <f t="shared" si="56"/>
        <v>1.7604591763831732</v>
      </c>
      <c r="L98" s="20">
        <f t="shared" si="56"/>
        <v>1.9837159803193107</v>
      </c>
      <c r="M98" s="20">
        <f t="shared" si="56"/>
        <v>2.2030966502660925</v>
      </c>
      <c r="N98" s="20">
        <f t="shared" si="56"/>
        <v>2.4192472085550771</v>
      </c>
    </row>
    <row r="99" spans="2:14" ht="14.25" x14ac:dyDescent="0.45">
      <c r="B99" s="193"/>
      <c r="C99" s="191" t="s">
        <v>36</v>
      </c>
      <c r="D99" s="15" t="s">
        <v>43</v>
      </c>
      <c r="E99" s="16">
        <f t="shared" ref="E99:N99" si="57">E94*E$15/$E$4</f>
        <v>3.4000000000000002E-2</v>
      </c>
      <c r="F99" s="16">
        <f t="shared" si="57"/>
        <v>3.8800000000000001E-2</v>
      </c>
      <c r="G99" s="16">
        <f t="shared" si="57"/>
        <v>4.4560000000000002E-2</v>
      </c>
      <c r="H99" s="16">
        <f t="shared" si="57"/>
        <v>5.1471999999999997E-2</v>
      </c>
      <c r="I99" s="16">
        <f t="shared" si="57"/>
        <v>5.9766399999999997E-2</v>
      </c>
      <c r="J99" s="16">
        <f t="shared" si="57"/>
        <v>6.9719680000000006E-2</v>
      </c>
      <c r="K99" s="16">
        <f t="shared" si="57"/>
        <v>8.1663616000000008E-2</v>
      </c>
      <c r="L99" s="16">
        <f t="shared" si="57"/>
        <v>9.5996339200000003E-2</v>
      </c>
      <c r="M99" s="16">
        <f t="shared" si="57"/>
        <v>0.11319560704000001</v>
      </c>
      <c r="N99" s="16">
        <f t="shared" si="57"/>
        <v>0.13383472844799998</v>
      </c>
    </row>
    <row r="100" spans="2:14" ht="14.25" x14ac:dyDescent="0.45">
      <c r="B100" s="193"/>
      <c r="C100" s="192"/>
      <c r="D100" s="15" t="s">
        <v>44</v>
      </c>
      <c r="E100" s="16"/>
      <c r="F100" s="16"/>
      <c r="G100" s="16"/>
      <c r="H100" s="16"/>
      <c r="I100" s="17">
        <f>AVERAGE(E99:I99)</f>
        <v>4.5719679999999999E-2</v>
      </c>
      <c r="J100" s="17"/>
      <c r="K100" s="17"/>
      <c r="L100" s="17"/>
      <c r="M100" s="17"/>
      <c r="N100" s="17">
        <f>AVERAGE(E99:N99)</f>
        <v>7.23008370688E-2</v>
      </c>
    </row>
    <row r="101" spans="2:14" ht="14.25" x14ac:dyDescent="0.45">
      <c r="B101" s="193"/>
      <c r="C101" s="193"/>
      <c r="D101" s="19" t="s">
        <v>45</v>
      </c>
      <c r="E101" s="23">
        <f t="shared" ref="E101:N101" si="58">E97*E$15</f>
        <v>34000</v>
      </c>
      <c r="F101" s="23">
        <f t="shared" si="58"/>
        <v>38800</v>
      </c>
      <c r="G101" s="23">
        <f>G97*G$15</f>
        <v>44560.000000000007</v>
      </c>
      <c r="H101" s="23">
        <f>H97*H$15</f>
        <v>51472</v>
      </c>
      <c r="I101" s="23">
        <f>I97*I$15</f>
        <v>59766.400000000001</v>
      </c>
      <c r="J101" s="23">
        <f t="shared" si="58"/>
        <v>69719.680000000008</v>
      </c>
      <c r="K101" s="23">
        <f t="shared" si="58"/>
        <v>81663.616000000009</v>
      </c>
      <c r="L101" s="23">
        <f t="shared" si="58"/>
        <v>95996.339200000002</v>
      </c>
      <c r="M101" s="23">
        <f t="shared" si="58"/>
        <v>113195.60704000002</v>
      </c>
      <c r="N101" s="23">
        <f t="shared" si="58"/>
        <v>133834.72844800001</v>
      </c>
    </row>
    <row r="102" spans="2:14" ht="14.25" customHeight="1" x14ac:dyDescent="0.45">
      <c r="B102" s="193"/>
      <c r="C102" s="193"/>
      <c r="D102" s="19" t="s">
        <v>47</v>
      </c>
      <c r="E102" s="24"/>
      <c r="F102" s="24"/>
      <c r="G102" s="24"/>
      <c r="H102" s="24"/>
      <c r="I102" s="23">
        <f>AVERAGE(E101:I101)</f>
        <v>45719.68</v>
      </c>
      <c r="J102" s="23"/>
      <c r="K102" s="23"/>
      <c r="L102" s="23"/>
      <c r="M102" s="23"/>
      <c r="N102" s="23">
        <f>AVERAGE(E101:N101)</f>
        <v>72300.8370688</v>
      </c>
    </row>
    <row r="103" spans="2:14" ht="14.25" x14ac:dyDescent="0.45">
      <c r="B103" s="193"/>
      <c r="C103" s="193"/>
      <c r="D103" s="19" t="s">
        <v>46</v>
      </c>
      <c r="E103" s="24">
        <f>E101</f>
        <v>34000</v>
      </c>
      <c r="F103" s="24">
        <f t="shared" ref="F103:N103" si="59">E103+F101</f>
        <v>72800</v>
      </c>
      <c r="G103" s="24">
        <f>F103+G101</f>
        <v>117360</v>
      </c>
      <c r="H103" s="24">
        <f t="shared" si="59"/>
        <v>168832</v>
      </c>
      <c r="I103" s="24">
        <f t="shared" si="59"/>
        <v>228598.39999999999</v>
      </c>
      <c r="J103" s="24">
        <f>I103+J101</f>
        <v>298318.08000000002</v>
      </c>
      <c r="K103" s="24">
        <f t="shared" si="59"/>
        <v>379981.696</v>
      </c>
      <c r="L103" s="24">
        <f t="shared" si="59"/>
        <v>475978.03519999998</v>
      </c>
      <c r="M103" s="24">
        <f t="shared" si="59"/>
        <v>589173.64223999996</v>
      </c>
      <c r="N103" s="24">
        <f t="shared" si="59"/>
        <v>723008.370688</v>
      </c>
    </row>
    <row r="104" spans="2:14" ht="14.25" x14ac:dyDescent="0.45">
      <c r="B104" s="193"/>
      <c r="C104" s="191" t="s">
        <v>35</v>
      </c>
      <c r="D104" s="15" t="s">
        <v>43</v>
      </c>
      <c r="E104" s="16">
        <f>E96*E$15/$E$4</f>
        <v>3.4000000000000002E-2</v>
      </c>
      <c r="F104" s="16">
        <f>F96*F$15/$E$4-E104</f>
        <v>4.5600000000000002E-2</v>
      </c>
      <c r="G104" s="16">
        <f>G96*G$15/$E$4-F104-E104</f>
        <v>6.0480000000000006E-2</v>
      </c>
      <c r="H104" s="16">
        <f>H96*H$15/$E$4-G104-F104-E104</f>
        <v>7.9487999999999975E-2</v>
      </c>
      <c r="I104" s="16">
        <f>I96*I$15/$E$4-H104-G104-F104-E104</f>
        <v>0.10367999999999999</v>
      </c>
      <c r="J104" s="16">
        <f>J96*J$15/$E$4-I104-H104-G104-F104-E104</f>
        <v>0.13436928000000001</v>
      </c>
      <c r="K104" s="16">
        <f>K96*K$15/$E$4-J104-I104-H104-G104-F104-E104</f>
        <v>0.17318707199999994</v>
      </c>
      <c r="L104" s="16">
        <f>L96*L$15/$E$4-K104-J104-I104-H104-G104-F104-E104</f>
        <v>0.22215720959999988</v>
      </c>
      <c r="M104" s="16">
        <f>M96*M$15/$E$4-L104-K104-J104-I104-H104-G104-F104-E104</f>
        <v>0.28378791936000003</v>
      </c>
      <c r="N104" s="16">
        <f>N96*N$15/$E$4-M104-L104-K104-J104-I104-H104-G104-F104-E104</f>
        <v>0.36118462464000001</v>
      </c>
    </row>
    <row r="105" spans="2:14" ht="14.25" x14ac:dyDescent="0.45">
      <c r="B105" s="193"/>
      <c r="C105" s="192"/>
      <c r="D105" s="15" t="s">
        <v>44</v>
      </c>
      <c r="E105" s="17"/>
      <c r="F105" s="17"/>
      <c r="G105" s="17"/>
      <c r="H105" s="17"/>
      <c r="I105" s="17">
        <f>AVERAGE(E104:I104)</f>
        <v>6.4649600000000002E-2</v>
      </c>
      <c r="J105" s="17"/>
      <c r="K105" s="17"/>
      <c r="L105" s="17"/>
      <c r="M105" s="17"/>
      <c r="N105" s="17">
        <f>AVERAGE(E104:N104)</f>
        <v>0.14979341055999998</v>
      </c>
    </row>
    <row r="106" spans="2:14" ht="14.25" x14ac:dyDescent="0.45">
      <c r="B106" s="193"/>
      <c r="C106" s="193"/>
      <c r="D106" s="19" t="s">
        <v>45</v>
      </c>
      <c r="E106" s="23">
        <f>E108</f>
        <v>34000</v>
      </c>
      <c r="F106" s="23">
        <f>F108-E108</f>
        <v>45600</v>
      </c>
      <c r="G106" s="23">
        <f>G108-F108</f>
        <v>60480</v>
      </c>
      <c r="H106" s="23">
        <f>H108-G108</f>
        <v>79488</v>
      </c>
      <c r="I106" s="23">
        <f>I108-H108</f>
        <v>103680</v>
      </c>
      <c r="J106" s="23">
        <f>J108-I108</f>
        <v>134369.28000000003</v>
      </c>
      <c r="K106" s="23">
        <f t="shared" ref="K106:N106" si="60">K108-J108</f>
        <v>173187.07199999993</v>
      </c>
      <c r="L106" s="23">
        <f t="shared" si="60"/>
        <v>222157.20959999994</v>
      </c>
      <c r="M106" s="23">
        <f t="shared" si="60"/>
        <v>283787.91935999994</v>
      </c>
      <c r="N106" s="23">
        <f t="shared" si="60"/>
        <v>361184.62464000005</v>
      </c>
    </row>
    <row r="107" spans="2:14" ht="15" customHeight="1" x14ac:dyDescent="0.45">
      <c r="B107" s="193"/>
      <c r="C107" s="193"/>
      <c r="D107" s="19" t="s">
        <v>47</v>
      </c>
      <c r="E107" s="23"/>
      <c r="F107" s="23"/>
      <c r="G107" s="23"/>
      <c r="H107" s="23"/>
      <c r="I107" s="23">
        <f>AVERAGE(E106:I106)</f>
        <v>64649.599999999999</v>
      </c>
      <c r="J107" s="23"/>
      <c r="K107" s="23"/>
      <c r="L107" s="23"/>
      <c r="M107" s="23"/>
      <c r="N107" s="23">
        <f>AVERAGE(E106:N106)</f>
        <v>149793.41055999999</v>
      </c>
    </row>
    <row r="108" spans="2:14" ht="14.25" x14ac:dyDescent="0.45">
      <c r="B108" s="193"/>
      <c r="C108" s="193"/>
      <c r="D108" s="19" t="s">
        <v>46</v>
      </c>
      <c r="E108" s="24">
        <f t="shared" ref="E108:N108" si="61">E98*E$15</f>
        <v>34000</v>
      </c>
      <c r="F108" s="24">
        <f t="shared" si="61"/>
        <v>79600</v>
      </c>
      <c r="G108" s="24">
        <f>G98*G$15</f>
        <v>140080</v>
      </c>
      <c r="H108" s="24">
        <f>H98*H$15</f>
        <v>219568</v>
      </c>
      <c r="I108" s="24">
        <f>I98*I$15</f>
        <v>323248</v>
      </c>
      <c r="J108" s="24">
        <f t="shared" si="61"/>
        <v>457617.28</v>
      </c>
      <c r="K108" s="24">
        <f t="shared" si="61"/>
        <v>630804.35199999996</v>
      </c>
      <c r="L108" s="24">
        <f t="shared" si="61"/>
        <v>852961.5615999999</v>
      </c>
      <c r="M108" s="24">
        <f t="shared" si="61"/>
        <v>1136749.4809599998</v>
      </c>
      <c r="N108" s="24">
        <f t="shared" si="61"/>
        <v>1497934.1055999999</v>
      </c>
    </row>
    <row r="109" spans="2:14" ht="14.25" x14ac:dyDescent="0.45">
      <c r="B109" s="193" t="s">
        <v>18</v>
      </c>
      <c r="C109" s="192" t="s">
        <v>32</v>
      </c>
      <c r="D109" s="15" t="s">
        <v>43</v>
      </c>
      <c r="E109" s="16">
        <f>E66+E79+E94-E34-E50</f>
        <v>0.21833333333333332</v>
      </c>
      <c r="F109" s="16">
        <f t="shared" ref="F109:N109" si="62">F66+F79+F94-F34-F50</f>
        <v>0.1919444444444445</v>
      </c>
      <c r="G109" s="16">
        <f t="shared" si="62"/>
        <v>0.16995370370370366</v>
      </c>
      <c r="H109" s="16">
        <f t="shared" si="62"/>
        <v>0.15162808641975317</v>
      </c>
      <c r="I109" s="16">
        <f t="shared" si="62"/>
        <v>0.13635673868312756</v>
      </c>
      <c r="J109" s="16">
        <f t="shared" si="62"/>
        <v>0.1236306155692731</v>
      </c>
      <c r="K109" s="16">
        <f t="shared" si="62"/>
        <v>0.11302551297439406</v>
      </c>
      <c r="L109" s="16">
        <f t="shared" si="62"/>
        <v>0.10418792747866173</v>
      </c>
      <c r="M109" s="16">
        <f t="shared" si="62"/>
        <v>9.6823272898884677E-2</v>
      </c>
      <c r="N109" s="16">
        <f t="shared" si="62"/>
        <v>9.068606074907079E-2</v>
      </c>
    </row>
    <row r="110" spans="2:14" ht="14.25" x14ac:dyDescent="0.45">
      <c r="B110" s="193"/>
      <c r="C110" s="192"/>
      <c r="D110" s="15" t="s">
        <v>44</v>
      </c>
      <c r="E110" s="16"/>
      <c r="F110" s="16"/>
      <c r="G110" s="16"/>
      <c r="H110" s="16"/>
      <c r="I110" s="38">
        <f>AVERAGE(E109:I109)</f>
        <v>0.17364326131687247</v>
      </c>
      <c r="J110" s="16"/>
      <c r="K110" s="16"/>
      <c r="L110" s="16"/>
      <c r="M110" s="16"/>
      <c r="N110" s="17">
        <f>AVERAGE(E109:N109)</f>
        <v>0.13965696962546464</v>
      </c>
    </row>
    <row r="111" spans="2:14" ht="14.25" x14ac:dyDescent="0.45">
      <c r="B111" s="193"/>
      <c r="C111" s="192"/>
      <c r="D111" s="15" t="s">
        <v>42</v>
      </c>
      <c r="E111" s="16">
        <f>E68+E81+E96-E36-E52</f>
        <v>0.21833333333333332</v>
      </c>
      <c r="F111" s="16">
        <f t="shared" ref="F111:N111" si="63">F68+F81+F96-F36-F52</f>
        <v>0.41027777777777785</v>
      </c>
      <c r="G111" s="16">
        <f t="shared" si="63"/>
        <v>0.58023148148148107</v>
      </c>
      <c r="H111" s="16">
        <f t="shared" si="63"/>
        <v>0.73185956790123485</v>
      </c>
      <c r="I111" s="16">
        <f t="shared" si="63"/>
        <v>0.86821630658436211</v>
      </c>
      <c r="J111" s="16">
        <f t="shared" si="63"/>
        <v>0.99184692215363623</v>
      </c>
      <c r="K111" s="16">
        <f t="shared" si="63"/>
        <v>1.104872435128029</v>
      </c>
      <c r="L111" s="16">
        <f t="shared" si="63"/>
        <v>1.2090603626066905</v>
      </c>
      <c r="M111" s="16">
        <f t="shared" si="63"/>
        <v>1.3058836355055736</v>
      </c>
      <c r="N111" s="16">
        <f t="shared" si="63"/>
        <v>1.3965696962546481</v>
      </c>
    </row>
    <row r="112" spans="2:14" ht="14.25" x14ac:dyDescent="0.45">
      <c r="B112" s="193"/>
      <c r="C112" s="193"/>
      <c r="D112" s="19" t="s">
        <v>45</v>
      </c>
      <c r="E112" s="20">
        <f>10*E109</f>
        <v>2.1833333333333331</v>
      </c>
      <c r="F112" s="20">
        <f t="shared" ref="F112:N112" si="64">10*F109</f>
        <v>1.919444444444445</v>
      </c>
      <c r="G112" s="20">
        <f t="shared" si="64"/>
        <v>1.6995370370370366</v>
      </c>
      <c r="H112" s="20">
        <f t="shared" si="64"/>
        <v>1.5162808641975318</v>
      </c>
      <c r="I112" s="20">
        <f t="shared" si="64"/>
        <v>1.3635673868312757</v>
      </c>
      <c r="J112" s="20">
        <f t="shared" si="64"/>
        <v>1.2363061556927311</v>
      </c>
      <c r="K112" s="20">
        <f t="shared" si="64"/>
        <v>1.1302551297439405</v>
      </c>
      <c r="L112" s="20">
        <f t="shared" si="64"/>
        <v>1.0418792747866172</v>
      </c>
      <c r="M112" s="20">
        <f t="shared" si="64"/>
        <v>0.96823272898884682</v>
      </c>
      <c r="N112" s="20">
        <f t="shared" si="64"/>
        <v>0.90686060749070796</v>
      </c>
    </row>
    <row r="113" spans="1:15" ht="14.25" x14ac:dyDescent="0.45">
      <c r="B113" s="193"/>
      <c r="C113" s="193"/>
      <c r="D113" s="19" t="s">
        <v>46</v>
      </c>
      <c r="E113" s="20">
        <f>10*E111</f>
        <v>2.1833333333333331</v>
      </c>
      <c r="F113" s="20">
        <f>10*F111</f>
        <v>4.1027777777777787</v>
      </c>
      <c r="G113" s="20">
        <f>10*G111</f>
        <v>5.8023148148148103</v>
      </c>
      <c r="H113" s="20">
        <f t="shared" ref="H113:N113" si="65">10*H111</f>
        <v>7.3185956790123488</v>
      </c>
      <c r="I113" s="20">
        <f t="shared" si="65"/>
        <v>8.6821630658436213</v>
      </c>
      <c r="J113" s="20">
        <f t="shared" si="65"/>
        <v>9.9184692215363626</v>
      </c>
      <c r="K113" s="20">
        <f t="shared" si="65"/>
        <v>11.04872435128029</v>
      </c>
      <c r="L113" s="20">
        <f t="shared" si="65"/>
        <v>12.090603626066905</v>
      </c>
      <c r="M113" s="20">
        <f t="shared" si="65"/>
        <v>13.058836355055735</v>
      </c>
      <c r="N113" s="20">
        <f t="shared" si="65"/>
        <v>13.965696962546481</v>
      </c>
    </row>
    <row r="114" spans="1:15" ht="14.25" x14ac:dyDescent="0.45">
      <c r="B114" s="193"/>
      <c r="C114" s="191" t="s">
        <v>36</v>
      </c>
      <c r="D114" s="15" t="s">
        <v>43</v>
      </c>
      <c r="E114" s="16">
        <f>E71+E84+E99-E39-E55</f>
        <v>0.26200000000000001</v>
      </c>
      <c r="F114" s="16">
        <f t="shared" ref="F114:N114" si="66">F71+F84+F99-F39-F55</f>
        <v>0.27640000000000009</v>
      </c>
      <c r="G114" s="16">
        <f t="shared" si="66"/>
        <v>0.29367999999999994</v>
      </c>
      <c r="H114" s="16">
        <f t="shared" si="66"/>
        <v>0.31441600000000014</v>
      </c>
      <c r="I114" s="16">
        <f t="shared" si="66"/>
        <v>0.33929919999999991</v>
      </c>
      <c r="J114" s="16">
        <f t="shared" si="66"/>
        <v>0.36915904000000044</v>
      </c>
      <c r="K114" s="16">
        <f t="shared" si="66"/>
        <v>0.40499084799999985</v>
      </c>
      <c r="L114" s="16">
        <f t="shared" si="66"/>
        <v>0.44798901759999987</v>
      </c>
      <c r="M114" s="16">
        <f t="shared" si="66"/>
        <v>0.49958682111999919</v>
      </c>
      <c r="N114" s="16">
        <f t="shared" si="66"/>
        <v>0.56150418534400059</v>
      </c>
    </row>
    <row r="115" spans="1:15" ht="14.25" x14ac:dyDescent="0.45">
      <c r="B115" s="193"/>
      <c r="C115" s="192"/>
      <c r="D115" s="15" t="s">
        <v>44</v>
      </c>
      <c r="E115" s="16"/>
      <c r="F115" s="16"/>
      <c r="G115" s="16"/>
      <c r="H115" s="16"/>
      <c r="I115" s="17">
        <f>AVERAGE(E114:I114)</f>
        <v>0.29715904000000004</v>
      </c>
      <c r="J115" s="17"/>
      <c r="K115" s="17"/>
      <c r="L115" s="17"/>
      <c r="M115" s="17"/>
      <c r="N115" s="17">
        <f>AVERAGE(E114:N114)</f>
        <v>0.3769025112064</v>
      </c>
    </row>
    <row r="116" spans="1:15" ht="14.25" x14ac:dyDescent="0.45">
      <c r="B116" s="193"/>
      <c r="C116" s="193"/>
      <c r="D116" s="19" t="s">
        <v>45</v>
      </c>
      <c r="E116" s="22">
        <f t="shared" ref="E116:N116" si="67">E112*E$15</f>
        <v>261999.99999999997</v>
      </c>
      <c r="F116" s="22">
        <f t="shared" si="67"/>
        <v>276400.00000000006</v>
      </c>
      <c r="G116" s="22">
        <f>G112*G$15</f>
        <v>293679.99999999994</v>
      </c>
      <c r="H116" s="22">
        <f>H112*H$15</f>
        <v>314416.00000000017</v>
      </c>
      <c r="I116" s="22">
        <f>I112*I$15</f>
        <v>339299.2</v>
      </c>
      <c r="J116" s="22">
        <f t="shared" si="67"/>
        <v>369159.04000000039</v>
      </c>
      <c r="K116" s="22">
        <f t="shared" si="67"/>
        <v>404990.84799999965</v>
      </c>
      <c r="L116" s="22">
        <f t="shared" si="67"/>
        <v>447989.01759999973</v>
      </c>
      <c r="M116" s="22">
        <f t="shared" si="67"/>
        <v>499586.82111999928</v>
      </c>
      <c r="N116" s="22">
        <f t="shared" si="67"/>
        <v>561504.18534400058</v>
      </c>
    </row>
    <row r="117" spans="1:15" ht="14.25" x14ac:dyDescent="0.45">
      <c r="B117" s="193"/>
      <c r="C117" s="193"/>
      <c r="D117" s="19" t="s">
        <v>47</v>
      </c>
      <c r="E117" s="21"/>
      <c r="F117" s="21"/>
      <c r="G117" s="21"/>
      <c r="H117" s="21"/>
      <c r="I117" s="22">
        <f>AVERAGE(E116:I116)</f>
        <v>297159.04000000004</v>
      </c>
      <c r="J117" s="22"/>
      <c r="K117" s="22"/>
      <c r="L117" s="22"/>
      <c r="M117" s="22"/>
      <c r="N117" s="22">
        <f>AVERAGE(E116:N116)</f>
        <v>376902.5112064</v>
      </c>
    </row>
    <row r="118" spans="1:15" ht="14.25" x14ac:dyDescent="0.45">
      <c r="B118" s="193"/>
      <c r="C118" s="193"/>
      <c r="D118" s="19" t="s">
        <v>46</v>
      </c>
      <c r="E118" s="21">
        <f>E116</f>
        <v>261999.99999999997</v>
      </c>
      <c r="F118" s="21">
        <f t="shared" ref="F118:N118" si="68">E118+F116</f>
        <v>538400</v>
      </c>
      <c r="G118" s="21">
        <f>F118+G116</f>
        <v>832080</v>
      </c>
      <c r="H118" s="21">
        <f t="shared" si="68"/>
        <v>1146496.0000000002</v>
      </c>
      <c r="I118" s="21">
        <f t="shared" si="68"/>
        <v>1485795.2000000002</v>
      </c>
      <c r="J118" s="21">
        <f>I118+J116</f>
        <v>1854954.2400000007</v>
      </c>
      <c r="K118" s="21">
        <f t="shared" si="68"/>
        <v>2259945.0880000005</v>
      </c>
      <c r="L118" s="21">
        <f t="shared" si="68"/>
        <v>2707934.1056000004</v>
      </c>
      <c r="M118" s="21">
        <f t="shared" si="68"/>
        <v>3207520.9267199999</v>
      </c>
      <c r="N118" s="21">
        <f t="shared" si="68"/>
        <v>3769025.1120640002</v>
      </c>
    </row>
    <row r="119" spans="1:15" ht="15" customHeight="1" x14ac:dyDescent="0.45">
      <c r="B119" s="193"/>
      <c r="C119" s="191" t="s">
        <v>35</v>
      </c>
      <c r="D119" s="15" t="s">
        <v>43</v>
      </c>
      <c r="E119" s="16">
        <f>E74+E89+E104-E42-E58</f>
        <v>0.26200000000000001</v>
      </c>
      <c r="F119" s="16">
        <f t="shared" ref="F119:N119" si="69">F74+F89+F104-F42-F58</f>
        <v>0.32880000000000009</v>
      </c>
      <c r="G119" s="16">
        <f t="shared" si="69"/>
        <v>0.41183999999999954</v>
      </c>
      <c r="H119" s="16">
        <f t="shared" si="69"/>
        <v>0.51494400000000073</v>
      </c>
      <c r="I119" s="16">
        <f t="shared" si="69"/>
        <v>0.64281599999999894</v>
      </c>
      <c r="J119" s="16">
        <f t="shared" si="69"/>
        <v>0.80123904000000301</v>
      </c>
      <c r="K119" s="16">
        <f t="shared" si="69"/>
        <v>0.99731865599999547</v>
      </c>
      <c r="L119" s="16">
        <f t="shared" si="69"/>
        <v>1.2397805567999987</v>
      </c>
      <c r="M119" s="16">
        <f t="shared" si="69"/>
        <v>1.539334471679993</v>
      </c>
      <c r="N119" s="16">
        <f t="shared" si="69"/>
        <v>1.9091187302400208</v>
      </c>
    </row>
    <row r="120" spans="1:15" ht="15" customHeight="1" x14ac:dyDescent="0.45">
      <c r="B120" s="193"/>
      <c r="C120" s="192"/>
      <c r="D120" s="15" t="s">
        <v>44</v>
      </c>
      <c r="E120" s="17"/>
      <c r="F120" s="17"/>
      <c r="G120" s="17"/>
      <c r="H120" s="17"/>
      <c r="I120" s="17">
        <f>AVERAGE(E119:I119)</f>
        <v>0.43207999999999985</v>
      </c>
      <c r="J120" s="17"/>
      <c r="K120" s="17"/>
      <c r="L120" s="17"/>
      <c r="M120" s="17"/>
      <c r="N120" s="17">
        <f>AVERAGE(E119:N119)</f>
        <v>0.86471914547200102</v>
      </c>
    </row>
    <row r="121" spans="1:15" ht="15" customHeight="1" x14ac:dyDescent="0.45">
      <c r="B121" s="193"/>
      <c r="C121" s="193"/>
      <c r="D121" s="19" t="s">
        <v>45</v>
      </c>
      <c r="E121" s="22">
        <f>E123</f>
        <v>261999.99999999997</v>
      </c>
      <c r="F121" s="22">
        <f>F123-E123</f>
        <v>328800.00000000012</v>
      </c>
      <c r="G121" s="22">
        <f>G123-F123</f>
        <v>411839.99999999907</v>
      </c>
      <c r="H121" s="22">
        <f t="shared" ref="H121:N121" si="70">H123-G123</f>
        <v>514944.00000000151</v>
      </c>
      <c r="I121" s="22">
        <f t="shared" si="70"/>
        <v>642815.9999999993</v>
      </c>
      <c r="J121" s="22">
        <f>J123-I123</f>
        <v>801239.04000000376</v>
      </c>
      <c r="K121" s="22">
        <f t="shared" si="70"/>
        <v>997318.65599999577</v>
      </c>
      <c r="L121" s="22">
        <f t="shared" si="70"/>
        <v>1239780.5567999976</v>
      </c>
      <c r="M121" s="22">
        <f t="shared" si="70"/>
        <v>1539334.4716799902</v>
      </c>
      <c r="N121" s="22">
        <f t="shared" si="70"/>
        <v>1909118.7302400218</v>
      </c>
    </row>
    <row r="122" spans="1:15" ht="15" customHeight="1" x14ac:dyDescent="0.45">
      <c r="A122" s="8"/>
      <c r="B122" s="193"/>
      <c r="C122" s="193"/>
      <c r="D122" s="19" t="s">
        <v>47</v>
      </c>
      <c r="E122" s="22"/>
      <c r="F122" s="22"/>
      <c r="G122" s="22"/>
      <c r="H122" s="22"/>
      <c r="I122" s="22">
        <f>AVERAGE(E121:I121)</f>
        <v>432080</v>
      </c>
      <c r="J122" s="22"/>
      <c r="K122" s="22"/>
      <c r="L122" s="22"/>
      <c r="M122" s="22"/>
      <c r="N122" s="22">
        <f>AVERAGE(E121:N121)</f>
        <v>864719.14547200094</v>
      </c>
      <c r="O122" s="8"/>
    </row>
    <row r="123" spans="1:15" ht="15" customHeight="1" x14ac:dyDescent="0.45">
      <c r="B123" s="193"/>
      <c r="C123" s="193"/>
      <c r="D123" s="19" t="s">
        <v>46</v>
      </c>
      <c r="E123" s="21">
        <f t="shared" ref="E123:N123" si="71">E113*E$15</f>
        <v>261999.99999999997</v>
      </c>
      <c r="F123" s="21">
        <f t="shared" si="71"/>
        <v>590800.00000000012</v>
      </c>
      <c r="G123" s="21">
        <f>G113*G$15</f>
        <v>1002639.9999999992</v>
      </c>
      <c r="H123" s="21">
        <f>H113*H$15</f>
        <v>1517584.0000000007</v>
      </c>
      <c r="I123" s="21">
        <f>I113*I$15</f>
        <v>2160400</v>
      </c>
      <c r="J123" s="21">
        <f t="shared" si="71"/>
        <v>2961639.0400000038</v>
      </c>
      <c r="K123" s="21">
        <f t="shared" si="71"/>
        <v>3958957.6959999995</v>
      </c>
      <c r="L123" s="21">
        <f t="shared" si="71"/>
        <v>5198738.2527999971</v>
      </c>
      <c r="M123" s="21">
        <f t="shared" si="71"/>
        <v>6738072.7244799873</v>
      </c>
      <c r="N123" s="21">
        <f t="shared" si="71"/>
        <v>8647191.4547200091</v>
      </c>
    </row>
    <row r="124" spans="1:15" ht="15" customHeight="1" x14ac:dyDescent="0.45">
      <c r="B124" s="1"/>
      <c r="C124" s="1"/>
      <c r="D124" s="40"/>
      <c r="E124" s="10"/>
      <c r="F124" s="10"/>
      <c r="G124" s="10"/>
      <c r="H124" s="10"/>
      <c r="I124" s="10"/>
      <c r="J124" s="10"/>
      <c r="K124" s="10"/>
      <c r="L124" s="10"/>
      <c r="M124" s="10"/>
      <c r="N124" s="10"/>
    </row>
    <row r="125" spans="1:15" ht="15" customHeight="1" x14ac:dyDescent="0.45">
      <c r="B125" s="176" t="s">
        <v>116</v>
      </c>
      <c r="C125" s="178" t="s">
        <v>55</v>
      </c>
      <c r="D125" s="178" t="s">
        <v>54</v>
      </c>
      <c r="E125" s="174" t="s">
        <v>3</v>
      </c>
      <c r="F125" s="174" t="s">
        <v>4</v>
      </c>
      <c r="G125" s="174" t="s">
        <v>5</v>
      </c>
      <c r="H125" s="174" t="s">
        <v>6</v>
      </c>
      <c r="I125" s="174" t="s">
        <v>7</v>
      </c>
      <c r="J125" s="174" t="s">
        <v>8</v>
      </c>
      <c r="K125" s="174" t="s">
        <v>9</v>
      </c>
      <c r="L125" s="174" t="s">
        <v>10</v>
      </c>
      <c r="M125" s="174" t="s">
        <v>11</v>
      </c>
      <c r="N125" s="174" t="s">
        <v>12</v>
      </c>
    </row>
    <row r="126" spans="1:15" ht="15" customHeight="1" x14ac:dyDescent="0.45">
      <c r="B126" s="177"/>
      <c r="C126" s="179"/>
      <c r="D126" s="179"/>
      <c r="E126" s="175"/>
      <c r="F126" s="175"/>
      <c r="G126" s="175"/>
      <c r="H126" s="175"/>
      <c r="I126" s="175"/>
      <c r="J126" s="175"/>
      <c r="K126" s="175"/>
      <c r="L126" s="175"/>
      <c r="M126" s="175"/>
      <c r="N126" s="175"/>
    </row>
    <row r="127" spans="1:15" ht="15" customHeight="1" x14ac:dyDescent="0.45">
      <c r="B127" s="184" t="s">
        <v>137</v>
      </c>
      <c r="C127" s="182">
        <v>20000</v>
      </c>
      <c r="D127" s="44" t="s">
        <v>19</v>
      </c>
      <c r="E127" s="27">
        <f t="shared" ref="E127:N127" si="72">E$53/10*$C127/(2+$E$11)</f>
        <v>694.44444444444446</v>
      </c>
      <c r="F127" s="27">
        <f t="shared" si="72"/>
        <v>578.7037037037037</v>
      </c>
      <c r="G127" s="27">
        <f t="shared" si="72"/>
        <v>482.25308641975312</v>
      </c>
      <c r="H127" s="27">
        <f t="shared" si="72"/>
        <v>401.87757201646087</v>
      </c>
      <c r="I127" s="27">
        <f t="shared" si="72"/>
        <v>334.89797668038403</v>
      </c>
      <c r="J127" s="27">
        <f t="shared" si="72"/>
        <v>279.08164723365343</v>
      </c>
      <c r="K127" s="27">
        <f t="shared" si="72"/>
        <v>232.56803936137786</v>
      </c>
      <c r="L127" s="27">
        <f t="shared" si="72"/>
        <v>193.80669946781492</v>
      </c>
      <c r="M127" s="27">
        <f t="shared" si="72"/>
        <v>161.50558288984573</v>
      </c>
      <c r="N127" s="27">
        <f t="shared" si="72"/>
        <v>134.58798574153812</v>
      </c>
    </row>
    <row r="128" spans="1:15" ht="15" customHeight="1" x14ac:dyDescent="0.45">
      <c r="B128" s="185"/>
      <c r="C128" s="182"/>
      <c r="D128" s="19" t="s">
        <v>22</v>
      </c>
      <c r="E128" s="27"/>
      <c r="F128" s="27"/>
      <c r="G128" s="27"/>
      <c r="H128" s="27"/>
      <c r="I128" s="28">
        <f>AVERAGE(E127:I127)</f>
        <v>498.43535665294928</v>
      </c>
      <c r="J128" s="27"/>
      <c r="K128" s="27"/>
      <c r="L128" s="27"/>
      <c r="M128" s="27"/>
      <c r="N128" s="27">
        <f>AVERAGE(E127:N127)</f>
        <v>349.37267379589764</v>
      </c>
    </row>
    <row r="129" spans="2:14" ht="15" customHeight="1" x14ac:dyDescent="0.45">
      <c r="B129" s="185"/>
      <c r="C129" s="182"/>
      <c r="D129" s="19" t="s">
        <v>41</v>
      </c>
      <c r="E129" s="27">
        <f t="shared" ref="E129:N129" si="73">E$54/10*$C127/(2+$E$11)</f>
        <v>694.44444444444468</v>
      </c>
      <c r="F129" s="27">
        <f t="shared" si="73"/>
        <v>1273.1481481481478</v>
      </c>
      <c r="G129" s="27">
        <f t="shared" si="73"/>
        <v>1755.4012345679018</v>
      </c>
      <c r="H129" s="27">
        <f t="shared" si="73"/>
        <v>2157.2788065843611</v>
      </c>
      <c r="I129" s="28">
        <f t="shared" si="73"/>
        <v>2492.176783264747</v>
      </c>
      <c r="J129" s="27">
        <f t="shared" si="73"/>
        <v>2771.2584304983961</v>
      </c>
      <c r="K129" s="27">
        <f t="shared" si="73"/>
        <v>3003.8264698597795</v>
      </c>
      <c r="L129" s="27">
        <f t="shared" si="73"/>
        <v>3197.6331693275938</v>
      </c>
      <c r="M129" s="27">
        <f t="shared" si="73"/>
        <v>3359.1387522174446</v>
      </c>
      <c r="N129" s="27">
        <f t="shared" si="73"/>
        <v>3493.7267379589707</v>
      </c>
    </row>
    <row r="130" spans="2:14" ht="15" customHeight="1" x14ac:dyDescent="0.45">
      <c r="B130" s="185"/>
      <c r="C130" s="182">
        <v>400000</v>
      </c>
      <c r="D130" s="44" t="s">
        <v>19</v>
      </c>
      <c r="E130" s="27">
        <f t="shared" ref="E130:N130" si="74">E$53/10*$C130/(2+$E$11)</f>
        <v>13888.888888888891</v>
      </c>
      <c r="F130" s="27">
        <f t="shared" si="74"/>
        <v>11574.074074074073</v>
      </c>
      <c r="G130" s="27">
        <f t="shared" si="74"/>
        <v>9645.0617283950614</v>
      </c>
      <c r="H130" s="27">
        <f t="shared" si="74"/>
        <v>8037.5514403292182</v>
      </c>
      <c r="I130" s="27">
        <f t="shared" si="74"/>
        <v>6697.9595336076809</v>
      </c>
      <c r="J130" s="27">
        <f t="shared" si="74"/>
        <v>5581.6329446730679</v>
      </c>
      <c r="K130" s="27">
        <f t="shared" si="74"/>
        <v>4651.360787227557</v>
      </c>
      <c r="L130" s="27">
        <f t="shared" si="74"/>
        <v>3876.1339893562981</v>
      </c>
      <c r="M130" s="27">
        <f t="shared" si="74"/>
        <v>3230.1116577969146</v>
      </c>
      <c r="N130" s="27">
        <f t="shared" si="74"/>
        <v>2691.7597148307623</v>
      </c>
    </row>
    <row r="131" spans="2:14" ht="15" customHeight="1" x14ac:dyDescent="0.45">
      <c r="B131" s="185"/>
      <c r="C131" s="182"/>
      <c r="D131" s="19" t="s">
        <v>22</v>
      </c>
      <c r="E131" s="27"/>
      <c r="F131" s="27"/>
      <c r="G131" s="27"/>
      <c r="H131" s="27"/>
      <c r="I131" s="28">
        <f>AVERAGE(E130:I130)</f>
        <v>9968.7071330589861</v>
      </c>
      <c r="J131" s="27"/>
      <c r="K131" s="27"/>
      <c r="L131" s="27"/>
      <c r="M131" s="27"/>
      <c r="N131" s="27">
        <f>AVERAGE(E130:N130)</f>
        <v>6987.4534759179533</v>
      </c>
    </row>
    <row r="132" spans="2:14" ht="15" customHeight="1" x14ac:dyDescent="0.45">
      <c r="B132" s="185"/>
      <c r="C132" s="182"/>
      <c r="D132" s="19" t="s">
        <v>41</v>
      </c>
      <c r="E132" s="27">
        <f t="shared" ref="E132:N132" si="75">E$54/10*$C130/(2+$E$11)</f>
        <v>13888.888888888892</v>
      </c>
      <c r="F132" s="27">
        <f t="shared" si="75"/>
        <v>25462.96296296296</v>
      </c>
      <c r="G132" s="27">
        <f t="shared" si="75"/>
        <v>35108.024691358041</v>
      </c>
      <c r="H132" s="27">
        <f t="shared" si="75"/>
        <v>43145.576131687223</v>
      </c>
      <c r="I132" s="28">
        <f t="shared" si="75"/>
        <v>49843.535665294941</v>
      </c>
      <c r="J132" s="27">
        <f t="shared" si="75"/>
        <v>55425.168609967928</v>
      </c>
      <c r="K132" s="27">
        <f t="shared" si="75"/>
        <v>60076.529397195591</v>
      </c>
      <c r="L132" s="27">
        <f t="shared" si="75"/>
        <v>63952.663386551874</v>
      </c>
      <c r="M132" s="27">
        <f t="shared" si="75"/>
        <v>67182.775044348891</v>
      </c>
      <c r="N132" s="27">
        <f t="shared" si="75"/>
        <v>69874.534759179413</v>
      </c>
    </row>
    <row r="133" spans="2:14" ht="15" customHeight="1" x14ac:dyDescent="0.45">
      <c r="B133" s="185"/>
      <c r="C133" s="183">
        <v>1000000</v>
      </c>
      <c r="D133" s="15" t="s">
        <v>19</v>
      </c>
      <c r="E133" s="29">
        <f t="shared" ref="E133:N133" si="76">E$53/10*$C133/(2+$E$11)</f>
        <v>34722.222222222226</v>
      </c>
      <c r="F133" s="29">
        <f t="shared" si="76"/>
        <v>28935.185185185182</v>
      </c>
      <c r="G133" s="29">
        <f t="shared" si="76"/>
        <v>24112.654320987655</v>
      </c>
      <c r="H133" s="29">
        <f t="shared" si="76"/>
        <v>20093.878600823045</v>
      </c>
      <c r="I133" s="29">
        <f t="shared" si="76"/>
        <v>16744.898834019201</v>
      </c>
      <c r="J133" s="29">
        <f t="shared" si="76"/>
        <v>13954.082361682669</v>
      </c>
      <c r="K133" s="29">
        <f t="shared" si="76"/>
        <v>11628.401968068893</v>
      </c>
      <c r="L133" s="29">
        <f t="shared" si="76"/>
        <v>9690.3349733907453</v>
      </c>
      <c r="M133" s="29">
        <f t="shared" si="76"/>
        <v>8075.2791444922868</v>
      </c>
      <c r="N133" s="29">
        <f t="shared" si="76"/>
        <v>6729.3992870769061</v>
      </c>
    </row>
    <row r="134" spans="2:14" ht="15" customHeight="1" x14ac:dyDescent="0.45">
      <c r="B134" s="185"/>
      <c r="C134" s="183"/>
      <c r="D134" s="15" t="s">
        <v>22</v>
      </c>
      <c r="E134" s="29"/>
      <c r="F134" s="29"/>
      <c r="G134" s="29"/>
      <c r="H134" s="29"/>
      <c r="I134" s="30">
        <f>AVERAGE(E133:I133)</f>
        <v>24921.767832647463</v>
      </c>
      <c r="J134" s="29"/>
      <c r="K134" s="29"/>
      <c r="L134" s="29"/>
      <c r="M134" s="29"/>
      <c r="N134" s="29">
        <f>AVERAGE(E133:N133)</f>
        <v>17468.633689794879</v>
      </c>
    </row>
    <row r="135" spans="2:14" ht="15" customHeight="1" x14ac:dyDescent="0.45">
      <c r="B135" s="186"/>
      <c r="C135" s="183"/>
      <c r="D135" s="15" t="s">
        <v>41</v>
      </c>
      <c r="E135" s="29">
        <f t="shared" ref="E135:N135" si="77">E$54/10*$C133/(2+$E$11)</f>
        <v>34722.222222222234</v>
      </c>
      <c r="F135" s="29">
        <f t="shared" si="77"/>
        <v>63657.407407407394</v>
      </c>
      <c r="G135" s="29">
        <f t="shared" si="77"/>
        <v>87770.0617283951</v>
      </c>
      <c r="H135" s="29">
        <f t="shared" si="77"/>
        <v>107863.94032921805</v>
      </c>
      <c r="I135" s="30">
        <f t="shared" si="77"/>
        <v>124608.83916323735</v>
      </c>
      <c r="J135" s="29">
        <f t="shared" si="77"/>
        <v>138562.92152491983</v>
      </c>
      <c r="K135" s="29">
        <f t="shared" si="77"/>
        <v>150191.32349298897</v>
      </c>
      <c r="L135" s="29">
        <f t="shared" si="77"/>
        <v>159881.65846637971</v>
      </c>
      <c r="M135" s="29">
        <f t="shared" si="77"/>
        <v>167956.93761087224</v>
      </c>
      <c r="N135" s="29">
        <f t="shared" si="77"/>
        <v>174686.33689794855</v>
      </c>
    </row>
    <row r="136" spans="2:14" ht="15" customHeight="1" x14ac:dyDescent="0.45">
      <c r="B136" s="3"/>
      <c r="C136" s="1"/>
      <c r="D136" s="40"/>
      <c r="E136" s="10"/>
      <c r="F136" s="10"/>
      <c r="G136" s="10"/>
      <c r="H136" s="10"/>
      <c r="I136" s="10"/>
      <c r="J136" s="10"/>
      <c r="K136" s="10"/>
      <c r="L136" s="10"/>
      <c r="M136" s="10"/>
      <c r="N136" s="10"/>
    </row>
  </sheetData>
  <mergeCells count="105">
    <mergeCell ref="B109:B123"/>
    <mergeCell ref="C109:C113"/>
    <mergeCell ref="C114:C118"/>
    <mergeCell ref="C119:C123"/>
    <mergeCell ref="B79:B93"/>
    <mergeCell ref="C79:C83"/>
    <mergeCell ref="B94:B108"/>
    <mergeCell ref="C94:C98"/>
    <mergeCell ref="C99:C103"/>
    <mergeCell ref="C104:C108"/>
    <mergeCell ref="C84:C88"/>
    <mergeCell ref="C89:C93"/>
    <mergeCell ref="J13:J14"/>
    <mergeCell ref="K13:K14"/>
    <mergeCell ref="L13:L14"/>
    <mergeCell ref="M13:M14"/>
    <mergeCell ref="N13:N14"/>
    <mergeCell ref="D2:E3"/>
    <mergeCell ref="G2:I3"/>
    <mergeCell ref="K2:N2"/>
    <mergeCell ref="B15:B16"/>
    <mergeCell ref="C15:C16"/>
    <mergeCell ref="B2:C11"/>
    <mergeCell ref="B13:B14"/>
    <mergeCell ref="C13:C14"/>
    <mergeCell ref="D13:D14"/>
    <mergeCell ref="E13:E14"/>
    <mergeCell ref="F13:F14"/>
    <mergeCell ref="G13:G14"/>
    <mergeCell ref="H13:H14"/>
    <mergeCell ref="I13:I14"/>
    <mergeCell ref="K32:K33"/>
    <mergeCell ref="L32:L33"/>
    <mergeCell ref="M32:M33"/>
    <mergeCell ref="B25:B27"/>
    <mergeCell ref="C25:C27"/>
    <mergeCell ref="B17:B24"/>
    <mergeCell ref="C17:C24"/>
    <mergeCell ref="B28:B30"/>
    <mergeCell ref="C28:C30"/>
    <mergeCell ref="B32:B33"/>
    <mergeCell ref="C32:C33"/>
    <mergeCell ref="D32:D33"/>
    <mergeCell ref="N32:N33"/>
    <mergeCell ref="B34:B46"/>
    <mergeCell ref="C34:C38"/>
    <mergeCell ref="C39:C41"/>
    <mergeCell ref="C42:C46"/>
    <mergeCell ref="B48:B49"/>
    <mergeCell ref="C48:C49"/>
    <mergeCell ref="D48:D49"/>
    <mergeCell ref="E48:E49"/>
    <mergeCell ref="F48:F49"/>
    <mergeCell ref="G48:G49"/>
    <mergeCell ref="H48:H49"/>
    <mergeCell ref="I48:I49"/>
    <mergeCell ref="J48:J49"/>
    <mergeCell ref="K48:K49"/>
    <mergeCell ref="L48:L49"/>
    <mergeCell ref="M48:M49"/>
    <mergeCell ref="N48:N49"/>
    <mergeCell ref="E32:E33"/>
    <mergeCell ref="F32:F33"/>
    <mergeCell ref="G32:G33"/>
    <mergeCell ref="H32:H33"/>
    <mergeCell ref="I32:I33"/>
    <mergeCell ref="J32:J33"/>
    <mergeCell ref="B50:B62"/>
    <mergeCell ref="C50:C54"/>
    <mergeCell ref="C55:C57"/>
    <mergeCell ref="C58:C62"/>
    <mergeCell ref="B64:B65"/>
    <mergeCell ref="C64:C65"/>
    <mergeCell ref="D64:D65"/>
    <mergeCell ref="E64:E65"/>
    <mergeCell ref="F64:F65"/>
    <mergeCell ref="G64:G65"/>
    <mergeCell ref="H64:H65"/>
    <mergeCell ref="I64:I65"/>
    <mergeCell ref="J64:J65"/>
    <mergeCell ref="K64:K65"/>
    <mergeCell ref="L64:L65"/>
    <mergeCell ref="M64:M65"/>
    <mergeCell ref="N64:N65"/>
    <mergeCell ref="B66:B78"/>
    <mergeCell ref="C66:C70"/>
    <mergeCell ref="C71:C73"/>
    <mergeCell ref="C74:C78"/>
    <mergeCell ref="K125:K126"/>
    <mergeCell ref="L125:L126"/>
    <mergeCell ref="M125:M126"/>
    <mergeCell ref="N125:N126"/>
    <mergeCell ref="B127:B135"/>
    <mergeCell ref="C127:C129"/>
    <mergeCell ref="C130:C132"/>
    <mergeCell ref="C133:C135"/>
    <mergeCell ref="B125:B126"/>
    <mergeCell ref="C125:C126"/>
    <mergeCell ref="D125:D126"/>
    <mergeCell ref="E125:E126"/>
    <mergeCell ref="F125:F126"/>
    <mergeCell ref="G125:G126"/>
    <mergeCell ref="H125:H126"/>
    <mergeCell ref="I125:I126"/>
    <mergeCell ref="J125:J126"/>
  </mergeCells>
  <pageMargins left="0.7" right="0.7" top="0.75" bottom="0.75" header="0.3" footer="0.3"/>
  <pageSetup orientation="portrait" r:id="rId1"/>
  <headerFooter>
    <oddHeader>&amp;R&amp;"Aptos"&amp;12&amp;K000000 Unclassified / Non classifié&amp;1#_x000D_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3260D-3EF0-4ED9-B602-7BC16BDB6DAB}">
  <dimension ref="A1:P136"/>
  <sheetViews>
    <sheetView topLeftCell="A19" zoomScaleNormal="100" workbookViewId="0">
      <selection activeCell="E50" sqref="E5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10.398437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6" width="1.73046875" style="4" customWidth="1"/>
    <col min="17" max="16384" width="9" style="2"/>
  </cols>
  <sheetData>
    <row r="1" spans="1:16" ht="15" customHeight="1" x14ac:dyDescent="0.45">
      <c r="A1" s="8"/>
      <c r="B1" s="8"/>
      <c r="C1" s="8"/>
      <c r="D1" s="8"/>
      <c r="E1" s="8"/>
      <c r="F1" s="8"/>
      <c r="G1" s="8"/>
      <c r="H1" s="8"/>
      <c r="I1" s="8"/>
      <c r="J1" s="8"/>
      <c r="K1" s="61"/>
      <c r="L1" s="61"/>
      <c r="M1" s="61"/>
      <c r="N1" s="61"/>
      <c r="O1" s="8"/>
    </row>
    <row r="2" spans="1:16" ht="58.5" customHeight="1" x14ac:dyDescent="0.45">
      <c r="A2" s="8"/>
      <c r="B2" s="205" t="s">
        <v>110</v>
      </c>
      <c r="C2" s="206"/>
      <c r="D2" s="211" t="s">
        <v>135</v>
      </c>
      <c r="E2" s="212"/>
      <c r="F2" s="8"/>
      <c r="G2" s="214" t="s">
        <v>121</v>
      </c>
      <c r="H2" s="211"/>
      <c r="I2" s="211"/>
      <c r="J2" s="4"/>
      <c r="K2" s="217" t="s">
        <v>113</v>
      </c>
      <c r="L2" s="217"/>
      <c r="M2" s="217"/>
      <c r="N2" s="217"/>
      <c r="O2" s="8"/>
    </row>
    <row r="3" spans="1:16" ht="14.25" x14ac:dyDescent="0.45">
      <c r="A3" s="8"/>
      <c r="B3" s="207"/>
      <c r="C3" s="208"/>
      <c r="D3" s="210"/>
      <c r="E3" s="213"/>
      <c r="F3" s="8"/>
      <c r="G3" s="215"/>
      <c r="H3" s="216"/>
      <c r="I3" s="216"/>
      <c r="J3" s="4"/>
      <c r="K3" s="62" t="s">
        <v>53</v>
      </c>
      <c r="L3" s="62" t="s">
        <v>51</v>
      </c>
      <c r="M3" s="62" t="s">
        <v>32</v>
      </c>
      <c r="N3" s="62" t="s">
        <v>33</v>
      </c>
      <c r="O3" s="8"/>
      <c r="P3" s="9"/>
    </row>
    <row r="4" spans="1:16" ht="14.25" customHeight="1" x14ac:dyDescent="0.45">
      <c r="A4" s="9"/>
      <c r="B4" s="207"/>
      <c r="C4" s="208"/>
      <c r="D4" s="32" t="s">
        <v>2</v>
      </c>
      <c r="E4" s="33">
        <v>100000</v>
      </c>
      <c r="F4" s="9"/>
      <c r="G4" s="74" t="s">
        <v>34</v>
      </c>
      <c r="H4" s="73" t="s">
        <v>39</v>
      </c>
      <c r="I4" s="41">
        <f>I43</f>
        <v>0.17115680000000005</v>
      </c>
      <c r="J4" s="9"/>
      <c r="K4" s="66">
        <f>C127</f>
        <v>20000</v>
      </c>
      <c r="L4" s="67" t="s">
        <v>40</v>
      </c>
      <c r="M4" s="42">
        <f>I128</f>
        <v>555.39939741328612</v>
      </c>
      <c r="N4" s="63">
        <f t="shared" ref="N4:N9" si="0">M4*$I$15</f>
        <v>138201142.85714281</v>
      </c>
      <c r="O4" s="9"/>
      <c r="P4" s="9"/>
    </row>
    <row r="5" spans="1:16" ht="14.25" customHeight="1" x14ac:dyDescent="0.45">
      <c r="A5" s="37"/>
      <c r="B5" s="207"/>
      <c r="C5" s="208"/>
      <c r="D5" s="18" t="s">
        <v>123</v>
      </c>
      <c r="E5" s="35">
        <f>SUMMARY!H5</f>
        <v>0.2</v>
      </c>
      <c r="F5" s="37"/>
      <c r="G5" s="45" t="s">
        <v>37</v>
      </c>
      <c r="H5" s="64" t="s">
        <v>39</v>
      </c>
      <c r="I5" s="79">
        <f>I67</f>
        <v>0.29906121399176955</v>
      </c>
      <c r="J5" s="37"/>
      <c r="K5" s="66">
        <f>C127</f>
        <v>20000</v>
      </c>
      <c r="L5" s="65" t="s">
        <v>41</v>
      </c>
      <c r="M5" s="42">
        <f>I129</f>
        <v>2776.9969870664322</v>
      </c>
      <c r="N5" s="63">
        <f t="shared" si="0"/>
        <v>691005714.28571451</v>
      </c>
      <c r="O5" s="37"/>
      <c r="P5" s="37"/>
    </row>
    <row r="6" spans="1:16" ht="14.25" customHeight="1" x14ac:dyDescent="0.45">
      <c r="A6" s="37"/>
      <c r="B6" s="207"/>
      <c r="C6" s="208"/>
      <c r="D6" s="18" t="s">
        <v>136</v>
      </c>
      <c r="E6" s="34">
        <f>SUMMARY!L5</f>
        <v>0.02</v>
      </c>
      <c r="F6" s="37"/>
      <c r="G6" s="45" t="s">
        <v>120</v>
      </c>
      <c r="H6" s="64" t="s">
        <v>39</v>
      </c>
      <c r="I6" s="79">
        <f>I80</f>
        <v>6.1962448559670778E-2</v>
      </c>
      <c r="J6" s="37"/>
      <c r="K6" s="66">
        <f>C130</f>
        <v>400000</v>
      </c>
      <c r="L6" s="67" t="s">
        <v>40</v>
      </c>
      <c r="M6" s="42">
        <f>I131</f>
        <v>11107.987948265725</v>
      </c>
      <c r="N6" s="63">
        <f t="shared" si="0"/>
        <v>2764022857.1428571</v>
      </c>
      <c r="O6" s="37"/>
      <c r="P6" s="37"/>
    </row>
    <row r="7" spans="1:16" ht="14.25" customHeight="1" x14ac:dyDescent="0.45">
      <c r="A7" s="37"/>
      <c r="B7" s="207"/>
      <c r="C7" s="208"/>
      <c r="D7" s="18" t="s">
        <v>122</v>
      </c>
      <c r="E7" s="34">
        <f>SUMMARY!P5</f>
        <v>0.01</v>
      </c>
      <c r="F7" s="37"/>
      <c r="G7" s="45" t="s">
        <v>57</v>
      </c>
      <c r="H7" s="64" t="s">
        <v>39</v>
      </c>
      <c r="I7" s="79">
        <f>I95</f>
        <v>3.0981224279835389E-2</v>
      </c>
      <c r="J7" s="37"/>
      <c r="K7" s="66">
        <f>C130</f>
        <v>400000</v>
      </c>
      <c r="L7" s="65" t="s">
        <v>41</v>
      </c>
      <c r="M7" s="42">
        <f>I132</f>
        <v>55539.939741328642</v>
      </c>
      <c r="N7" s="63">
        <f t="shared" si="0"/>
        <v>13820114285.714289</v>
      </c>
      <c r="O7" s="37"/>
      <c r="P7" s="37"/>
    </row>
    <row r="8" spans="1:16" ht="14.25" customHeight="1" x14ac:dyDescent="0.45">
      <c r="A8" s="9"/>
      <c r="B8" s="207"/>
      <c r="C8" s="208"/>
      <c r="D8" s="32" t="s">
        <v>130</v>
      </c>
      <c r="E8" s="36">
        <f>SUMMARY!H8</f>
        <v>0.115</v>
      </c>
      <c r="F8" s="9"/>
      <c r="G8" s="45" t="s">
        <v>118</v>
      </c>
      <c r="H8" s="64" t="s">
        <v>39</v>
      </c>
      <c r="I8" s="79">
        <f>-I35</f>
        <v>-6.8784079218107003E-2</v>
      </c>
      <c r="J8" s="9"/>
      <c r="K8" s="75">
        <f>C133</f>
        <v>1000000</v>
      </c>
      <c r="L8" s="76" t="s">
        <v>40</v>
      </c>
      <c r="M8" s="42">
        <f>I134</f>
        <v>27769.969870664307</v>
      </c>
      <c r="N8" s="63">
        <f t="shared" si="0"/>
        <v>6910057142.8571405</v>
      </c>
      <c r="O8" s="9"/>
      <c r="P8" s="9"/>
    </row>
    <row r="9" spans="1:16" ht="14.25" customHeight="1" x14ac:dyDescent="0.45">
      <c r="A9" s="9"/>
      <c r="B9" s="207"/>
      <c r="C9" s="208"/>
      <c r="D9" s="32" t="s">
        <v>131</v>
      </c>
      <c r="E9" s="36">
        <f>SUMMARY!P8</f>
        <v>0.05</v>
      </c>
      <c r="F9" s="9"/>
      <c r="G9" s="45" t="s">
        <v>117</v>
      </c>
      <c r="H9" s="64" t="s">
        <v>39</v>
      </c>
      <c r="I9" s="79">
        <f>-I51</f>
        <v>-9.7194894547325078E-2</v>
      </c>
      <c r="J9" s="9"/>
      <c r="K9" s="75">
        <f>C133</f>
        <v>1000000</v>
      </c>
      <c r="L9" s="77" t="s">
        <v>41</v>
      </c>
      <c r="M9" s="42">
        <f>I135</f>
        <v>138849.84935332162</v>
      </c>
      <c r="N9" s="63">
        <f t="shared" si="0"/>
        <v>34550285714.285728</v>
      </c>
      <c r="O9" s="9"/>
      <c r="P9" s="9"/>
    </row>
    <row r="10" spans="1:16" ht="14.25" customHeight="1" x14ac:dyDescent="0.45">
      <c r="A10" s="9"/>
      <c r="B10" s="207"/>
      <c r="C10" s="208"/>
      <c r="D10" s="32" t="s">
        <v>132</v>
      </c>
      <c r="E10" s="36">
        <f>SUMMARY!L8</f>
        <v>7.4999999999999997E-2</v>
      </c>
      <c r="F10" s="9"/>
      <c r="G10" s="72" t="s">
        <v>38</v>
      </c>
      <c r="H10" s="73" t="s">
        <v>39</v>
      </c>
      <c r="I10" s="41">
        <f>I110</f>
        <v>0.2260259130658436</v>
      </c>
      <c r="J10" s="8"/>
      <c r="K10" s="10"/>
      <c r="L10" s="10"/>
      <c r="M10" s="3"/>
      <c r="N10" s="8"/>
      <c r="O10" s="9"/>
      <c r="P10" s="9"/>
    </row>
    <row r="11" spans="1:16" ht="15" customHeight="1" x14ac:dyDescent="0.45">
      <c r="A11" s="9"/>
      <c r="B11" s="207"/>
      <c r="C11" s="208"/>
      <c r="D11" s="32" t="s">
        <v>133</v>
      </c>
      <c r="E11" s="36">
        <f>SUMMARY!L12</f>
        <v>1.5</v>
      </c>
      <c r="F11" s="3"/>
      <c r="G11" s="10"/>
      <c r="H11" s="10"/>
      <c r="I11" s="3"/>
      <c r="J11" s="8"/>
      <c r="K11" s="8"/>
      <c r="L11" s="8"/>
      <c r="M11" s="8"/>
      <c r="N11" s="8"/>
      <c r="O11" s="9"/>
      <c r="P11" s="9"/>
    </row>
    <row r="12" spans="1:16" ht="14.25" x14ac:dyDescent="0.45">
      <c r="A12" s="8"/>
      <c r="B12" s="10"/>
      <c r="C12" s="8"/>
      <c r="D12" s="10"/>
      <c r="E12" s="3"/>
      <c r="F12" s="3"/>
      <c r="G12" s="10"/>
      <c r="H12" s="10"/>
      <c r="I12" s="3"/>
      <c r="J12" s="8"/>
      <c r="K12" s="8"/>
      <c r="L12" s="8"/>
      <c r="M12" s="8"/>
      <c r="N12" s="8"/>
      <c r="O12" s="8"/>
      <c r="P12" s="8"/>
    </row>
    <row r="13" spans="1:16" ht="14.25" x14ac:dyDescent="0.45">
      <c r="B13" s="209" t="s">
        <v>52</v>
      </c>
      <c r="C13" s="209" t="s">
        <v>50</v>
      </c>
      <c r="D13" s="209" t="s">
        <v>51</v>
      </c>
      <c r="E13" s="174" t="s">
        <v>3</v>
      </c>
      <c r="F13" s="174" t="s">
        <v>4</v>
      </c>
      <c r="G13" s="174" t="s">
        <v>5</v>
      </c>
      <c r="H13" s="174" t="s">
        <v>6</v>
      </c>
      <c r="I13" s="174" t="s">
        <v>7</v>
      </c>
      <c r="J13" s="174" t="s">
        <v>8</v>
      </c>
      <c r="K13" s="174" t="s">
        <v>9</v>
      </c>
      <c r="L13" s="174" t="s">
        <v>10</v>
      </c>
      <c r="M13" s="174" t="s">
        <v>11</v>
      </c>
      <c r="N13" s="174" t="s">
        <v>12</v>
      </c>
    </row>
    <row r="14" spans="1:16" ht="14.25" x14ac:dyDescent="0.45">
      <c r="B14" s="210"/>
      <c r="C14" s="210"/>
      <c r="D14" s="210"/>
      <c r="E14" s="175"/>
      <c r="F14" s="175"/>
      <c r="G14" s="175"/>
      <c r="H14" s="175"/>
      <c r="I14" s="175"/>
      <c r="J14" s="175"/>
      <c r="K14" s="175"/>
      <c r="L14" s="175"/>
      <c r="M14" s="175"/>
      <c r="N14" s="175"/>
    </row>
    <row r="15" spans="1:16" ht="14.25" x14ac:dyDescent="0.45">
      <c r="B15" s="184" t="s">
        <v>20</v>
      </c>
      <c r="C15" s="184" t="s">
        <v>33</v>
      </c>
      <c r="D15" s="19" t="s">
        <v>48</v>
      </c>
      <c r="E15" s="21">
        <f>($E$4 * $E$5) + $E$4</f>
        <v>120000</v>
      </c>
      <c r="F15" s="21">
        <f t="shared" ref="F15:N15" si="1">(E15 * $E$5) + E15</f>
        <v>144000</v>
      </c>
      <c r="G15" s="21">
        <f t="shared" si="1"/>
        <v>172800</v>
      </c>
      <c r="H15" s="21">
        <f t="shared" si="1"/>
        <v>207360</v>
      </c>
      <c r="I15" s="21">
        <f t="shared" si="1"/>
        <v>248832</v>
      </c>
      <c r="J15" s="21">
        <f t="shared" si="1"/>
        <v>298598.40000000002</v>
      </c>
      <c r="K15" s="21">
        <f t="shared" si="1"/>
        <v>358318.08000000002</v>
      </c>
      <c r="L15" s="21">
        <f t="shared" si="1"/>
        <v>429981.696</v>
      </c>
      <c r="M15" s="21">
        <f t="shared" si="1"/>
        <v>515978.03519999998</v>
      </c>
      <c r="N15" s="21">
        <f t="shared" si="1"/>
        <v>619173.64223999996</v>
      </c>
    </row>
    <row r="16" spans="1:16" ht="14.25" x14ac:dyDescent="0.45">
      <c r="B16" s="186"/>
      <c r="C16" s="186"/>
      <c r="D16" s="19" t="s">
        <v>49</v>
      </c>
      <c r="E16" s="25">
        <f>E15*21000000</f>
        <v>2520000000000</v>
      </c>
      <c r="F16" s="25">
        <f t="shared" ref="F16:N16" si="2">F15*21000000</f>
        <v>3024000000000</v>
      </c>
      <c r="G16" s="25">
        <f t="shared" si="2"/>
        <v>3628800000000</v>
      </c>
      <c r="H16" s="25">
        <f t="shared" si="2"/>
        <v>4354560000000</v>
      </c>
      <c r="I16" s="25">
        <f t="shared" si="2"/>
        <v>5225472000000</v>
      </c>
      <c r="J16" s="25">
        <f t="shared" si="2"/>
        <v>6270566400000.001</v>
      </c>
      <c r="K16" s="25">
        <f t="shared" si="2"/>
        <v>7524679680000</v>
      </c>
      <c r="L16" s="25">
        <f t="shared" si="2"/>
        <v>9029615616000</v>
      </c>
      <c r="M16" s="25">
        <f t="shared" si="2"/>
        <v>10835538739200</v>
      </c>
      <c r="N16" s="25">
        <f t="shared" si="2"/>
        <v>13002646487040</v>
      </c>
    </row>
    <row r="17" spans="1:16" ht="14.25" x14ac:dyDescent="0.45">
      <c r="B17" s="184" t="s">
        <v>16</v>
      </c>
      <c r="C17" s="202" t="s">
        <v>32</v>
      </c>
      <c r="D17" s="19" t="s">
        <v>124</v>
      </c>
      <c r="E17" s="26">
        <f>(E15-$E4)/E15</f>
        <v>0.16666666666666666</v>
      </c>
      <c r="F17" s="26">
        <f t="shared" ref="F17:N17" si="3">(F15-$E4)/F15</f>
        <v>0.30555555555555558</v>
      </c>
      <c r="G17" s="26">
        <f t="shared" si="3"/>
        <v>0.42129629629629628</v>
      </c>
      <c r="H17" s="26">
        <f t="shared" si="3"/>
        <v>0.51774691358024694</v>
      </c>
      <c r="I17" s="26">
        <f t="shared" si="3"/>
        <v>0.5981224279835391</v>
      </c>
      <c r="J17" s="26">
        <f t="shared" si="3"/>
        <v>0.66510202331961599</v>
      </c>
      <c r="K17" s="26">
        <f t="shared" si="3"/>
        <v>0.72091835276634664</v>
      </c>
      <c r="L17" s="26">
        <f t="shared" si="3"/>
        <v>0.76743196063862218</v>
      </c>
      <c r="M17" s="26">
        <f t="shared" si="3"/>
        <v>0.80619330053218508</v>
      </c>
      <c r="N17" s="26">
        <f t="shared" si="3"/>
        <v>0.83849441711015427</v>
      </c>
    </row>
    <row r="18" spans="1:16" ht="14.25" x14ac:dyDescent="0.45">
      <c r="B18" s="185"/>
      <c r="C18" s="203"/>
      <c r="D18" s="19" t="s">
        <v>125</v>
      </c>
      <c r="E18" s="26">
        <f>1-E17</f>
        <v>0.83333333333333337</v>
      </c>
      <c r="F18" s="26">
        <f t="shared" ref="F18:N18" si="4">1-F17</f>
        <v>0.69444444444444442</v>
      </c>
      <c r="G18" s="26">
        <f t="shared" si="4"/>
        <v>0.57870370370370372</v>
      </c>
      <c r="H18" s="26">
        <f t="shared" si="4"/>
        <v>0.48225308641975306</v>
      </c>
      <c r="I18" s="26">
        <f t="shared" si="4"/>
        <v>0.4018775720164609</v>
      </c>
      <c r="J18" s="26">
        <f t="shared" si="4"/>
        <v>0.33489797668038401</v>
      </c>
      <c r="K18" s="26">
        <f t="shared" si="4"/>
        <v>0.27908164723365336</v>
      </c>
      <c r="L18" s="26">
        <f t="shared" si="4"/>
        <v>0.23256803936137782</v>
      </c>
      <c r="M18" s="26">
        <f t="shared" si="4"/>
        <v>0.19380669946781492</v>
      </c>
      <c r="N18" s="26">
        <f t="shared" si="4"/>
        <v>0.16150558288984573</v>
      </c>
    </row>
    <row r="19" spans="1:16" ht="14.25" x14ac:dyDescent="0.45">
      <c r="B19" s="185"/>
      <c r="C19" s="203"/>
      <c r="D19" s="19" t="s">
        <v>126</v>
      </c>
      <c r="E19" s="78">
        <f>E17</f>
        <v>0.16666666666666666</v>
      </c>
      <c r="F19" s="78">
        <f t="shared" ref="F19:N19" si="5">F17-E17</f>
        <v>0.13888888888888892</v>
      </c>
      <c r="G19" s="78">
        <f>G17-F17</f>
        <v>0.1157407407407407</v>
      </c>
      <c r="H19" s="78">
        <f t="shared" si="5"/>
        <v>9.6450617283950657E-2</v>
      </c>
      <c r="I19" s="78">
        <f t="shared" si="5"/>
        <v>8.0375514403292159E-2</v>
      </c>
      <c r="J19" s="78">
        <f>J17-I17</f>
        <v>6.6979595336076891E-2</v>
      </c>
      <c r="K19" s="78">
        <f t="shared" si="5"/>
        <v>5.581632944673065E-2</v>
      </c>
      <c r="L19" s="78">
        <f t="shared" si="5"/>
        <v>4.6513607872275542E-2</v>
      </c>
      <c r="M19" s="78">
        <f t="shared" si="5"/>
        <v>3.8761339893562896E-2</v>
      </c>
      <c r="N19" s="78">
        <f t="shared" si="5"/>
        <v>3.2301116577969191E-2</v>
      </c>
    </row>
    <row r="20" spans="1:16" ht="14.25" x14ac:dyDescent="0.45">
      <c r="B20" s="185"/>
      <c r="C20" s="203"/>
      <c r="D20" s="19" t="s">
        <v>127</v>
      </c>
      <c r="E20" s="78"/>
      <c r="F20" s="78"/>
      <c r="G20" s="78"/>
      <c r="H20" s="78"/>
      <c r="I20" s="78">
        <f>AVERAGE(E19:I19)</f>
        <v>0.11962448559670782</v>
      </c>
      <c r="J20" s="26"/>
      <c r="K20" s="26"/>
      <c r="L20" s="26"/>
      <c r="M20" s="26"/>
      <c r="N20" s="78">
        <f>AVERAGE(E19:N19)</f>
        <v>8.3849441711015424E-2</v>
      </c>
    </row>
    <row r="21" spans="1:16" ht="14.25" x14ac:dyDescent="0.45">
      <c r="B21" s="185"/>
      <c r="C21" s="203"/>
      <c r="D21" s="19" t="s">
        <v>128</v>
      </c>
      <c r="E21" s="78">
        <f>$E$11*E19</f>
        <v>0.25</v>
      </c>
      <c r="F21" s="78">
        <f t="shared" ref="F21:N21" si="6">$E$11*F19</f>
        <v>0.20833333333333337</v>
      </c>
      <c r="G21" s="78">
        <f t="shared" si="6"/>
        <v>0.17361111111111105</v>
      </c>
      <c r="H21" s="78">
        <f t="shared" si="6"/>
        <v>0.14467592592592599</v>
      </c>
      <c r="I21" s="78">
        <f t="shared" si="6"/>
        <v>0.12056327160493824</v>
      </c>
      <c r="J21" s="78">
        <f t="shared" si="6"/>
        <v>0.10046939300411534</v>
      </c>
      <c r="K21" s="78">
        <f t="shared" si="6"/>
        <v>8.3724494170095975E-2</v>
      </c>
      <c r="L21" s="78">
        <f t="shared" si="6"/>
        <v>6.9770411808413313E-2</v>
      </c>
      <c r="M21" s="78">
        <f t="shared" si="6"/>
        <v>5.8142009840344344E-2</v>
      </c>
      <c r="N21" s="78">
        <f t="shared" si="6"/>
        <v>4.8451674866953787E-2</v>
      </c>
    </row>
    <row r="22" spans="1:16" ht="14.25" x14ac:dyDescent="0.45">
      <c r="B22" s="185"/>
      <c r="C22" s="203"/>
      <c r="D22" s="19" t="s">
        <v>129</v>
      </c>
      <c r="E22" s="78"/>
      <c r="F22" s="78"/>
      <c r="G22" s="78"/>
      <c r="H22" s="78"/>
      <c r="I22" s="78">
        <f>AVERAGE(E21:I21)</f>
        <v>0.17943672839506175</v>
      </c>
      <c r="J22" s="26"/>
      <c r="K22" s="26"/>
      <c r="L22" s="26"/>
      <c r="M22" s="26"/>
      <c r="N22" s="78">
        <f>AVERAGE(E21:N21)</f>
        <v>0.12577416256652313</v>
      </c>
    </row>
    <row r="23" spans="1:16" ht="14.25" x14ac:dyDescent="0.45">
      <c r="B23" s="185"/>
      <c r="C23" s="203"/>
      <c r="D23" s="15" t="s">
        <v>58</v>
      </c>
      <c r="E23" s="17">
        <f>E19+E21</f>
        <v>0.41666666666666663</v>
      </c>
      <c r="F23" s="17">
        <f t="shared" ref="F23:N23" si="7">F19+F21</f>
        <v>0.34722222222222232</v>
      </c>
      <c r="G23" s="17">
        <f t="shared" si="7"/>
        <v>0.28935185185185175</v>
      </c>
      <c r="H23" s="17">
        <f t="shared" si="7"/>
        <v>0.24112654320987664</v>
      </c>
      <c r="I23" s="17">
        <f t="shared" si="7"/>
        <v>0.2009387860082304</v>
      </c>
      <c r="J23" s="17">
        <f t="shared" si="7"/>
        <v>0.16744898834019223</v>
      </c>
      <c r="K23" s="17">
        <f t="shared" si="7"/>
        <v>0.13954082361682663</v>
      </c>
      <c r="L23" s="17">
        <f t="shared" si="7"/>
        <v>0.11628401968068885</v>
      </c>
      <c r="M23" s="17">
        <f t="shared" si="7"/>
        <v>9.690334973390724E-2</v>
      </c>
      <c r="N23" s="17">
        <f t="shared" si="7"/>
        <v>8.0752791444922978E-2</v>
      </c>
    </row>
    <row r="24" spans="1:16" ht="14.25" x14ac:dyDescent="0.45">
      <c r="B24" s="186"/>
      <c r="C24" s="204"/>
      <c r="D24" s="15" t="s">
        <v>59</v>
      </c>
      <c r="E24" s="17"/>
      <c r="F24" s="17"/>
      <c r="G24" s="17"/>
      <c r="H24" s="17"/>
      <c r="I24" s="17">
        <f>AVERAGE(E23:I23)</f>
        <v>0.29906121399176955</v>
      </c>
      <c r="J24" s="16"/>
      <c r="K24" s="16"/>
      <c r="L24" s="16"/>
      <c r="M24" s="16"/>
      <c r="N24" s="17">
        <f>AVERAGE(E23:N23)</f>
        <v>0.20962360427753857</v>
      </c>
    </row>
    <row r="25" spans="1:16" ht="14.25" x14ac:dyDescent="0.45">
      <c r="B25" s="184" t="s">
        <v>137</v>
      </c>
      <c r="C25" s="202" t="s">
        <v>32</v>
      </c>
      <c r="D25" s="15" t="s">
        <v>43</v>
      </c>
      <c r="E25" s="17">
        <f>((1+$E$11)*$E$6)+($E$6*E18)</f>
        <v>6.6666666666666666E-2</v>
      </c>
      <c r="F25" s="17">
        <f t="shared" ref="F25:N25" si="8">((1+$E$11)*$E$6)+($E$6*F18)</f>
        <v>6.3888888888888884E-2</v>
      </c>
      <c r="G25" s="17">
        <f t="shared" si="8"/>
        <v>6.157407407407408E-2</v>
      </c>
      <c r="H25" s="17">
        <f t="shared" si="8"/>
        <v>5.9645061728395066E-2</v>
      </c>
      <c r="I25" s="17">
        <f>((1+$E$11)*$E$6)+($E$6*I18)</f>
        <v>5.8037551440329224E-2</v>
      </c>
      <c r="J25" s="17">
        <f t="shared" si="8"/>
        <v>5.6697959533607685E-2</v>
      </c>
      <c r="K25" s="17">
        <f t="shared" si="8"/>
        <v>5.5581632944673068E-2</v>
      </c>
      <c r="L25" s="17">
        <f t="shared" si="8"/>
        <v>5.4651360787227557E-2</v>
      </c>
      <c r="M25" s="17">
        <f t="shared" si="8"/>
        <v>5.3876133989356298E-2</v>
      </c>
      <c r="N25" s="17">
        <f t="shared" si="8"/>
        <v>5.3230111657796918E-2</v>
      </c>
    </row>
    <row r="26" spans="1:16" ht="14.25" x14ac:dyDescent="0.45">
      <c r="B26" s="185"/>
      <c r="C26" s="203"/>
      <c r="D26" s="15" t="s">
        <v>44</v>
      </c>
      <c r="E26" s="17"/>
      <c r="F26" s="17"/>
      <c r="G26" s="17"/>
      <c r="H26" s="17"/>
      <c r="I26" s="17">
        <f>AVERAGE(E25:I25)</f>
        <v>6.1962448559670778E-2</v>
      </c>
      <c r="J26" s="16"/>
      <c r="K26" s="16"/>
      <c r="L26" s="16"/>
      <c r="M26" s="16"/>
      <c r="N26" s="17">
        <f>AVERAGE(E25:N25)</f>
        <v>5.8384944171101537E-2</v>
      </c>
    </row>
    <row r="27" spans="1:16" ht="14.25" x14ac:dyDescent="0.45">
      <c r="B27" s="185"/>
      <c r="C27" s="203"/>
      <c r="D27" s="19" t="s">
        <v>42</v>
      </c>
      <c r="E27" s="78">
        <f>E25</f>
        <v>6.6666666666666666E-2</v>
      </c>
      <c r="F27" s="78">
        <f>E27+F25</f>
        <v>0.13055555555555554</v>
      </c>
      <c r="G27" s="78">
        <f>F27+G25</f>
        <v>0.19212962962962962</v>
      </c>
      <c r="H27" s="78">
        <f t="shared" ref="H27:I27" si="9">G27+H25</f>
        <v>0.25177469135802466</v>
      </c>
      <c r="I27" s="78">
        <f t="shared" si="9"/>
        <v>0.3098122427983539</v>
      </c>
      <c r="J27" s="78">
        <f>I27+J25</f>
        <v>0.36651020233196158</v>
      </c>
      <c r="K27" s="78">
        <f t="shared" ref="K27:N27" si="10">J27+K25</f>
        <v>0.42209183527663463</v>
      </c>
      <c r="L27" s="78">
        <f t="shared" si="10"/>
        <v>0.47674319606386217</v>
      </c>
      <c r="M27" s="78">
        <f t="shared" si="10"/>
        <v>0.53061933005321849</v>
      </c>
      <c r="N27" s="78">
        <f t="shared" si="10"/>
        <v>0.58384944171101538</v>
      </c>
    </row>
    <row r="28" spans="1:16" ht="14.25" x14ac:dyDescent="0.45">
      <c r="B28" s="184" t="s">
        <v>17</v>
      </c>
      <c r="C28" s="202" t="s">
        <v>32</v>
      </c>
      <c r="D28" s="15" t="s">
        <v>43</v>
      </c>
      <c r="E28" s="17">
        <f t="shared" ref="E28:N28" si="11">((1+$E$11)*$E$7)+($E$7*E18)</f>
        <v>3.3333333333333333E-2</v>
      </c>
      <c r="F28" s="17">
        <f t="shared" si="11"/>
        <v>3.1944444444444442E-2</v>
      </c>
      <c r="G28" s="17">
        <f t="shared" si="11"/>
        <v>3.078703703703704E-2</v>
      </c>
      <c r="H28" s="17">
        <f t="shared" si="11"/>
        <v>2.9822530864197533E-2</v>
      </c>
      <c r="I28" s="17">
        <f t="shared" si="11"/>
        <v>2.9018775720164612E-2</v>
      </c>
      <c r="J28" s="17">
        <f t="shared" si="11"/>
        <v>2.8348979766803842E-2</v>
      </c>
      <c r="K28" s="17">
        <f t="shared" si="11"/>
        <v>2.7790816472336534E-2</v>
      </c>
      <c r="L28" s="17">
        <f t="shared" si="11"/>
        <v>2.7325680393613778E-2</v>
      </c>
      <c r="M28" s="17">
        <f t="shared" si="11"/>
        <v>2.6938066994678149E-2</v>
      </c>
      <c r="N28" s="17">
        <f t="shared" si="11"/>
        <v>2.6615055828898459E-2</v>
      </c>
    </row>
    <row r="29" spans="1:16" ht="15" customHeight="1" x14ac:dyDescent="0.45">
      <c r="B29" s="185"/>
      <c r="C29" s="203"/>
      <c r="D29" s="15" t="s">
        <v>44</v>
      </c>
      <c r="E29" s="17"/>
      <c r="F29" s="17"/>
      <c r="G29" s="17"/>
      <c r="H29" s="17"/>
      <c r="I29" s="17">
        <f>AVERAGE(E28:I28)</f>
        <v>3.0981224279835389E-2</v>
      </c>
      <c r="J29" s="16"/>
      <c r="K29" s="16"/>
      <c r="L29" s="16"/>
      <c r="M29" s="16"/>
      <c r="N29" s="17">
        <f>AVERAGE(E28:N28)</f>
        <v>2.9192472085550768E-2</v>
      </c>
    </row>
    <row r="30" spans="1:16" ht="14.25" x14ac:dyDescent="0.45">
      <c r="B30" s="185"/>
      <c r="C30" s="203"/>
      <c r="D30" s="19" t="s">
        <v>42</v>
      </c>
      <c r="E30" s="78">
        <f>E28</f>
        <v>3.3333333333333333E-2</v>
      </c>
      <c r="F30" s="78">
        <f t="shared" ref="F30:N30" si="12">E30+F28</f>
        <v>6.5277777777777768E-2</v>
      </c>
      <c r="G30" s="78">
        <f>F30+G28</f>
        <v>9.6064814814814811E-2</v>
      </c>
      <c r="H30" s="78">
        <f t="shared" si="12"/>
        <v>0.12588734567901233</v>
      </c>
      <c r="I30" s="78">
        <f t="shared" si="12"/>
        <v>0.15490612139917695</v>
      </c>
      <c r="J30" s="78">
        <f>I30+J28</f>
        <v>0.18325510116598079</v>
      </c>
      <c r="K30" s="78">
        <f t="shared" si="12"/>
        <v>0.21104591763831732</v>
      </c>
      <c r="L30" s="78">
        <f t="shared" si="12"/>
        <v>0.23837159803193109</v>
      </c>
      <c r="M30" s="78">
        <f t="shared" si="12"/>
        <v>0.26530966502660924</v>
      </c>
      <c r="N30" s="78">
        <f t="shared" si="12"/>
        <v>0.29192472085550769</v>
      </c>
    </row>
    <row r="31" spans="1:16" ht="14.25" x14ac:dyDescent="0.45">
      <c r="B31" s="3"/>
      <c r="C31" s="1"/>
      <c r="D31" s="43"/>
      <c r="E31" s="31"/>
      <c r="F31" s="31"/>
      <c r="G31" s="31"/>
      <c r="H31" s="31"/>
      <c r="I31" s="31"/>
      <c r="J31" s="31"/>
      <c r="K31" s="31"/>
      <c r="L31" s="31"/>
      <c r="M31" s="31"/>
      <c r="N31" s="31"/>
    </row>
    <row r="32" spans="1:16" ht="14.25" x14ac:dyDescent="0.45">
      <c r="A32" s="8"/>
      <c r="B32" s="194" t="s">
        <v>114</v>
      </c>
      <c r="C32" s="196" t="s">
        <v>21</v>
      </c>
      <c r="D32" s="198" t="str">
        <f>"10 BTC / "&amp;TEXT($E$4*10, "$###0.00,,")&amp;"M USD"</f>
        <v>10 BTC / $1.00M USD</v>
      </c>
      <c r="E32" s="174" t="s">
        <v>3</v>
      </c>
      <c r="F32" s="174" t="s">
        <v>4</v>
      </c>
      <c r="G32" s="174" t="s">
        <v>5</v>
      </c>
      <c r="H32" s="174" t="s">
        <v>6</v>
      </c>
      <c r="I32" s="174" t="s">
        <v>7</v>
      </c>
      <c r="J32" s="174" t="s">
        <v>8</v>
      </c>
      <c r="K32" s="174" t="s">
        <v>9</v>
      </c>
      <c r="L32" s="174" t="s">
        <v>10</v>
      </c>
      <c r="M32" s="174" t="s">
        <v>11</v>
      </c>
      <c r="N32" s="174" t="s">
        <v>12</v>
      </c>
      <c r="O32" s="8"/>
      <c r="P32" s="8"/>
    </row>
    <row r="33" spans="2:14" ht="14.25" x14ac:dyDescent="0.45">
      <c r="B33" s="195"/>
      <c r="C33" s="197"/>
      <c r="D33" s="199"/>
      <c r="E33" s="175"/>
      <c r="F33" s="175"/>
      <c r="G33" s="175"/>
      <c r="H33" s="175"/>
      <c r="I33" s="175"/>
      <c r="J33" s="175"/>
      <c r="K33" s="175"/>
      <c r="L33" s="175"/>
      <c r="M33" s="175"/>
      <c r="N33" s="175"/>
    </row>
    <row r="34" spans="2:14" ht="14.25" x14ac:dyDescent="0.45">
      <c r="B34" s="184" t="s">
        <v>137</v>
      </c>
      <c r="C34" s="192" t="s">
        <v>32</v>
      </c>
      <c r="D34" s="15" t="s">
        <v>58</v>
      </c>
      <c r="E34" s="16">
        <f>E39*$E$4/E$15</f>
        <v>9.583333333333334E-2</v>
      </c>
      <c r="F34" s="16">
        <f t="shared" ref="F34:N34" si="13">F39*$E$4/F$15</f>
        <v>7.9861111111111105E-2</v>
      </c>
      <c r="G34" s="16">
        <f t="shared" si="13"/>
        <v>6.655092592592593E-2</v>
      </c>
      <c r="H34" s="16">
        <f t="shared" si="13"/>
        <v>5.5459104938271608E-2</v>
      </c>
      <c r="I34" s="16">
        <f t="shared" si="13"/>
        <v>4.6215920781893002E-2</v>
      </c>
      <c r="J34" s="16">
        <f t="shared" si="13"/>
        <v>3.8513267318244164E-2</v>
      </c>
      <c r="K34" s="16">
        <f t="shared" si="13"/>
        <v>3.2094389431870138E-2</v>
      </c>
      <c r="L34" s="16">
        <f t="shared" si="13"/>
        <v>2.674532452655845E-2</v>
      </c>
      <c r="M34" s="16">
        <f t="shared" si="13"/>
        <v>2.2287770438798711E-2</v>
      </c>
      <c r="N34" s="16">
        <f t="shared" si="13"/>
        <v>1.8573142032332259E-2</v>
      </c>
    </row>
    <row r="35" spans="2:14" ht="14.25" x14ac:dyDescent="0.45">
      <c r="B35" s="185"/>
      <c r="C35" s="192"/>
      <c r="D35" s="15" t="s">
        <v>59</v>
      </c>
      <c r="E35" s="16"/>
      <c r="F35" s="16"/>
      <c r="G35" s="16"/>
      <c r="H35" s="16"/>
      <c r="I35" s="80">
        <f>AVERAGE(E34:I34)</f>
        <v>6.8784079218107003E-2</v>
      </c>
      <c r="J35" s="16"/>
      <c r="K35" s="16"/>
      <c r="L35" s="16"/>
      <c r="M35" s="16"/>
      <c r="N35" s="17">
        <f>AVERAGE(E34:N34)</f>
        <v>4.8213428983833864E-2</v>
      </c>
    </row>
    <row r="36" spans="2:14" ht="14.25" x14ac:dyDescent="0.45">
      <c r="B36" s="185"/>
      <c r="C36" s="192"/>
      <c r="D36" s="15" t="s">
        <v>42</v>
      </c>
      <c r="E36" s="16">
        <f t="shared" ref="E36:N36" si="14">E$17*(E34/E$19)</f>
        <v>9.583333333333334E-2</v>
      </c>
      <c r="F36" s="16">
        <f t="shared" si="14"/>
        <v>0.1756944444444444</v>
      </c>
      <c r="G36" s="16">
        <f>G$17*(G34/G$19)</f>
        <v>0.24224537037037047</v>
      </c>
      <c r="H36" s="16">
        <f>H$17*(H34/H$19)</f>
        <v>0.29770447530864191</v>
      </c>
      <c r="I36" s="16">
        <f>I$17*(I34/I$19)</f>
        <v>0.3439203960905351</v>
      </c>
      <c r="J36" s="16">
        <f t="shared" si="14"/>
        <v>0.38243366340877871</v>
      </c>
      <c r="K36" s="16">
        <f t="shared" si="14"/>
        <v>0.41452805284064953</v>
      </c>
      <c r="L36" s="16">
        <f t="shared" si="14"/>
        <v>0.44127337736720795</v>
      </c>
      <c r="M36" s="16">
        <f t="shared" si="14"/>
        <v>0.46356114780600738</v>
      </c>
      <c r="N36" s="16">
        <f t="shared" si="14"/>
        <v>0.482134289838338</v>
      </c>
    </row>
    <row r="37" spans="2:14" ht="14.25" customHeight="1" x14ac:dyDescent="0.45">
      <c r="B37" s="185"/>
      <c r="C37" s="193"/>
      <c r="D37" s="19" t="s">
        <v>45</v>
      </c>
      <c r="E37" s="20">
        <f t="shared" ref="E37:N37" si="15">10*E34</f>
        <v>0.95833333333333337</v>
      </c>
      <c r="F37" s="20">
        <f t="shared" si="15"/>
        <v>0.79861111111111105</v>
      </c>
      <c r="G37" s="20">
        <f t="shared" si="15"/>
        <v>0.6655092592592593</v>
      </c>
      <c r="H37" s="20">
        <f t="shared" si="15"/>
        <v>0.55459104938271608</v>
      </c>
      <c r="I37" s="20">
        <f t="shared" si="15"/>
        <v>0.46215920781893005</v>
      </c>
      <c r="J37" s="20">
        <f t="shared" si="15"/>
        <v>0.38513267318244165</v>
      </c>
      <c r="K37" s="20">
        <f t="shared" si="15"/>
        <v>0.32094389431870141</v>
      </c>
      <c r="L37" s="20">
        <f t="shared" si="15"/>
        <v>0.2674532452655845</v>
      </c>
      <c r="M37" s="20">
        <f t="shared" si="15"/>
        <v>0.2228777043879871</v>
      </c>
      <c r="N37" s="20">
        <f t="shared" si="15"/>
        <v>0.1857314203233226</v>
      </c>
    </row>
    <row r="38" spans="2:14" ht="14.25" x14ac:dyDescent="0.45">
      <c r="B38" s="185"/>
      <c r="C38" s="193"/>
      <c r="D38" s="19" t="s">
        <v>46</v>
      </c>
      <c r="E38" s="20">
        <f>10*E36</f>
        <v>0.95833333333333337</v>
      </c>
      <c r="F38" s="20">
        <f>10*F36</f>
        <v>1.756944444444444</v>
      </c>
      <c r="G38" s="20">
        <f>10*G36</f>
        <v>2.4224537037037046</v>
      </c>
      <c r="H38" s="20">
        <f t="shared" ref="H38:N38" si="16">10*H36</f>
        <v>2.9770447530864192</v>
      </c>
      <c r="I38" s="20">
        <f t="shared" si="16"/>
        <v>3.4392039609053509</v>
      </c>
      <c r="J38" s="20">
        <f t="shared" si="16"/>
        <v>3.8243366340877873</v>
      </c>
      <c r="K38" s="20">
        <f t="shared" si="16"/>
        <v>4.1452805284064951</v>
      </c>
      <c r="L38" s="20">
        <f t="shared" si="16"/>
        <v>4.4127337736720795</v>
      </c>
      <c r="M38" s="20">
        <f t="shared" si="16"/>
        <v>4.6356114780600741</v>
      </c>
      <c r="N38" s="20">
        <f t="shared" si="16"/>
        <v>4.8213428983833797</v>
      </c>
    </row>
    <row r="39" spans="2:14" ht="14.25" x14ac:dyDescent="0.45">
      <c r="B39" s="185"/>
      <c r="C39" s="191" t="s">
        <v>36</v>
      </c>
      <c r="D39" s="15" t="s">
        <v>43</v>
      </c>
      <c r="E39" s="16">
        <f>E8</f>
        <v>0.115</v>
      </c>
      <c r="F39" s="16">
        <f>E39</f>
        <v>0.115</v>
      </c>
      <c r="G39" s="16">
        <f t="shared" ref="G39:N39" si="17">F39</f>
        <v>0.115</v>
      </c>
      <c r="H39" s="16">
        <f t="shared" si="17"/>
        <v>0.115</v>
      </c>
      <c r="I39" s="16">
        <f t="shared" si="17"/>
        <v>0.115</v>
      </c>
      <c r="J39" s="16">
        <f t="shared" si="17"/>
        <v>0.115</v>
      </c>
      <c r="K39" s="16">
        <f t="shared" si="17"/>
        <v>0.115</v>
      </c>
      <c r="L39" s="16">
        <f t="shared" si="17"/>
        <v>0.115</v>
      </c>
      <c r="M39" s="16">
        <f t="shared" si="17"/>
        <v>0.115</v>
      </c>
      <c r="N39" s="16">
        <f t="shared" si="17"/>
        <v>0.115</v>
      </c>
    </row>
    <row r="40" spans="2:14" ht="14.25" customHeight="1" x14ac:dyDescent="0.45">
      <c r="B40" s="185"/>
      <c r="C40" s="193"/>
      <c r="D40" s="19" t="s">
        <v>45</v>
      </c>
      <c r="E40" s="21">
        <f>E37*E$15</f>
        <v>115000</v>
      </c>
      <c r="F40" s="21">
        <f t="shared" ref="F40:N40" si="18">F37*F$15</f>
        <v>114999.99999999999</v>
      </c>
      <c r="G40" s="21">
        <f>G37*G$15</f>
        <v>115000</v>
      </c>
      <c r="H40" s="21">
        <f>H37*H$15</f>
        <v>115000</v>
      </c>
      <c r="I40" s="21">
        <f>I37*I$15</f>
        <v>115000</v>
      </c>
      <c r="J40" s="21">
        <f t="shared" si="18"/>
        <v>115000</v>
      </c>
      <c r="K40" s="21">
        <f t="shared" si="18"/>
        <v>115000</v>
      </c>
      <c r="L40" s="21">
        <f t="shared" si="18"/>
        <v>115000</v>
      </c>
      <c r="M40" s="21">
        <f t="shared" si="18"/>
        <v>115000</v>
      </c>
      <c r="N40" s="21">
        <f t="shared" si="18"/>
        <v>115000</v>
      </c>
    </row>
    <row r="41" spans="2:14" ht="14.25" x14ac:dyDescent="0.45">
      <c r="B41" s="185"/>
      <c r="C41" s="193"/>
      <c r="D41" s="19" t="s">
        <v>46</v>
      </c>
      <c r="E41" s="21">
        <f>E40</f>
        <v>115000</v>
      </c>
      <c r="F41" s="21">
        <f>E41+F40</f>
        <v>230000</v>
      </c>
      <c r="G41" s="21">
        <f>F41+G40</f>
        <v>345000</v>
      </c>
      <c r="H41" s="21">
        <f t="shared" ref="H41:N41" si="19">G41+H40</f>
        <v>460000</v>
      </c>
      <c r="I41" s="21">
        <f t="shared" si="19"/>
        <v>575000</v>
      </c>
      <c r="J41" s="21">
        <f>I41+J40</f>
        <v>690000</v>
      </c>
      <c r="K41" s="21">
        <f t="shared" si="19"/>
        <v>805000</v>
      </c>
      <c r="L41" s="21">
        <f t="shared" si="19"/>
        <v>920000</v>
      </c>
      <c r="M41" s="21">
        <f t="shared" si="19"/>
        <v>1035000</v>
      </c>
      <c r="N41" s="21">
        <f t="shared" si="19"/>
        <v>1150000</v>
      </c>
    </row>
    <row r="42" spans="2:14" ht="14.25" x14ac:dyDescent="0.45">
      <c r="B42" s="185"/>
      <c r="C42" s="191" t="s">
        <v>35</v>
      </c>
      <c r="D42" s="15" t="s">
        <v>43</v>
      </c>
      <c r="E42" s="16">
        <f>E36*E$15/$E$4</f>
        <v>0.115</v>
      </c>
      <c r="F42" s="16">
        <f>F36*F$15/$E$4-E42</f>
        <v>0.13799999999999996</v>
      </c>
      <c r="G42" s="16">
        <f>G36*G$15/$E$4-F42-E42</f>
        <v>0.16560000000000019</v>
      </c>
      <c r="H42" s="16">
        <f>H36*H$15/$E$4-G42-F42-E42</f>
        <v>0.19871999999999973</v>
      </c>
      <c r="I42" s="16">
        <f>I36*I$15/$E$4-H42-G42-F42-E42</f>
        <v>0.2384640000000004</v>
      </c>
      <c r="J42" s="16">
        <f>J36*J$15/$E$4-I42-H42-G42-F42-E42</f>
        <v>0.28615679999999849</v>
      </c>
      <c r="K42" s="16">
        <f>K36*K$15/$E$4-J42-I42-H42-G42-F42-E42</f>
        <v>0.34338816000000211</v>
      </c>
      <c r="L42" s="16">
        <f>L36*L$15/$E$4-K42-J42-I42-H42-G42-F42-E42</f>
        <v>0.41206579199999993</v>
      </c>
      <c r="M42" s="16">
        <f>M36*M$15/$E$4-L42-K42-J42-I42-H42-G42-F42-E42</f>
        <v>0.49447895040000378</v>
      </c>
      <c r="N42" s="16">
        <f>N36*N$15/$E$4-M42-L42-K42-J42-I42-H42-G42-F42-E42</f>
        <v>0.59337474047999117</v>
      </c>
    </row>
    <row r="43" spans="2:14" ht="14.25" x14ac:dyDescent="0.45">
      <c r="B43" s="185"/>
      <c r="C43" s="192"/>
      <c r="D43" s="15" t="s">
        <v>44</v>
      </c>
      <c r="E43" s="17"/>
      <c r="F43" s="17"/>
      <c r="G43" s="17"/>
      <c r="H43" s="17"/>
      <c r="I43" s="38">
        <f>AVERAGE(E42:I42)</f>
        <v>0.17115680000000005</v>
      </c>
      <c r="J43" s="17"/>
      <c r="K43" s="17"/>
      <c r="L43" s="17"/>
      <c r="M43" s="17"/>
      <c r="N43" s="17">
        <f>AVERAGE(E42:N42)</f>
        <v>0.29852484428799964</v>
      </c>
    </row>
    <row r="44" spans="2:14" ht="14.25" x14ac:dyDescent="0.45">
      <c r="B44" s="185"/>
      <c r="C44" s="193"/>
      <c r="D44" s="19" t="s">
        <v>45</v>
      </c>
      <c r="E44" s="22">
        <f>E46</f>
        <v>115000</v>
      </c>
      <c r="F44" s="22">
        <f>F46-E46</f>
        <v>137999.99999999994</v>
      </c>
      <c r="G44" s="22">
        <f>G46-F46</f>
        <v>165600.00000000023</v>
      </c>
      <c r="H44" s="22">
        <f t="shared" ref="H44:N44" si="20">H46-G46</f>
        <v>198719.99999999971</v>
      </c>
      <c r="I44" s="22">
        <f t="shared" si="20"/>
        <v>238464.00000000035</v>
      </c>
      <c r="J44" s="22">
        <f>J46-I46</f>
        <v>286156.79999999865</v>
      </c>
      <c r="K44" s="22">
        <f t="shared" si="20"/>
        <v>343388.16000000201</v>
      </c>
      <c r="L44" s="22">
        <f t="shared" si="20"/>
        <v>412065.7919999999</v>
      </c>
      <c r="M44" s="22">
        <f t="shared" si="20"/>
        <v>494478.95040000416</v>
      </c>
      <c r="N44" s="22">
        <f t="shared" si="20"/>
        <v>593374.74047999037</v>
      </c>
    </row>
    <row r="45" spans="2:14" ht="15" customHeight="1" x14ac:dyDescent="0.45">
      <c r="B45" s="185"/>
      <c r="C45" s="193"/>
      <c r="D45" s="19" t="s">
        <v>47</v>
      </c>
      <c r="E45" s="22"/>
      <c r="F45" s="22"/>
      <c r="G45" s="22"/>
      <c r="H45" s="22"/>
      <c r="I45" s="22">
        <f>AVERAGE(E44:I44)</f>
        <v>171156.80000000005</v>
      </c>
      <c r="J45" s="22"/>
      <c r="K45" s="22"/>
      <c r="L45" s="22"/>
      <c r="M45" s="22"/>
      <c r="N45" s="22">
        <f>AVERAGE(E44:N44)</f>
        <v>298524.84428799956</v>
      </c>
    </row>
    <row r="46" spans="2:14" ht="14.25" x14ac:dyDescent="0.45">
      <c r="B46" s="186"/>
      <c r="C46" s="193"/>
      <c r="D46" s="19" t="s">
        <v>46</v>
      </c>
      <c r="E46" s="21">
        <f t="shared" ref="E46:N46" si="21">E38*E$15</f>
        <v>115000</v>
      </c>
      <c r="F46" s="21">
        <f t="shared" si="21"/>
        <v>252999.99999999994</v>
      </c>
      <c r="G46" s="21">
        <f>G38*G$15</f>
        <v>418600.00000000017</v>
      </c>
      <c r="H46" s="21">
        <f>H38*H$15</f>
        <v>617319.99999999988</v>
      </c>
      <c r="I46" s="21">
        <f>I38*I$15</f>
        <v>855784.00000000023</v>
      </c>
      <c r="J46" s="21">
        <f t="shared" si="21"/>
        <v>1141940.7999999989</v>
      </c>
      <c r="K46" s="21">
        <f t="shared" si="21"/>
        <v>1485328.9600000009</v>
      </c>
      <c r="L46" s="21">
        <f t="shared" si="21"/>
        <v>1897394.7520000008</v>
      </c>
      <c r="M46" s="21">
        <f t="shared" si="21"/>
        <v>2391873.702400005</v>
      </c>
      <c r="N46" s="21">
        <f t="shared" si="21"/>
        <v>2985248.4428799953</v>
      </c>
    </row>
    <row r="47" spans="2:14" ht="14.25" x14ac:dyDescent="0.45">
      <c r="B47" s="3"/>
      <c r="C47" s="1"/>
      <c r="D47" s="43"/>
      <c r="E47" s="31"/>
      <c r="F47" s="31"/>
      <c r="G47" s="31"/>
      <c r="H47" s="31"/>
      <c r="I47" s="31"/>
      <c r="J47" s="31"/>
      <c r="K47" s="31"/>
      <c r="L47" s="31"/>
      <c r="M47" s="31"/>
      <c r="N47" s="31"/>
    </row>
    <row r="48" spans="2:14" ht="14.25" x14ac:dyDescent="0.45">
      <c r="B48" s="176" t="s">
        <v>116</v>
      </c>
      <c r="C48" s="200" t="s">
        <v>21</v>
      </c>
      <c r="D48" s="178" t="str">
        <f>"10 BTC / "&amp;TEXT($E$4*10, "$###0.00,,")&amp;"M USD"</f>
        <v>10 BTC / $1.00M USD</v>
      </c>
      <c r="E48" s="174" t="s">
        <v>3</v>
      </c>
      <c r="F48" s="174" t="s">
        <v>4</v>
      </c>
      <c r="G48" s="174" t="s">
        <v>5</v>
      </c>
      <c r="H48" s="174" t="s">
        <v>6</v>
      </c>
      <c r="I48" s="174" t="s">
        <v>7</v>
      </c>
      <c r="J48" s="174" t="s">
        <v>8</v>
      </c>
      <c r="K48" s="174" t="s">
        <v>9</v>
      </c>
      <c r="L48" s="174" t="s">
        <v>10</v>
      </c>
      <c r="M48" s="174" t="s">
        <v>11</v>
      </c>
      <c r="N48" s="174" t="s">
        <v>12</v>
      </c>
    </row>
    <row r="49" spans="1:16" ht="14.25" x14ac:dyDescent="0.45">
      <c r="B49" s="177"/>
      <c r="C49" s="201"/>
      <c r="D49" s="179"/>
      <c r="E49" s="175"/>
      <c r="F49" s="175"/>
      <c r="G49" s="175"/>
      <c r="H49" s="175"/>
      <c r="I49" s="175"/>
      <c r="J49" s="175"/>
      <c r="K49" s="175"/>
      <c r="L49" s="175"/>
      <c r="M49" s="175"/>
      <c r="N49" s="175"/>
    </row>
    <row r="50" spans="1:16" ht="14.25" x14ac:dyDescent="0.45">
      <c r="B50" s="184" t="s">
        <v>137</v>
      </c>
      <c r="C50" s="192" t="s">
        <v>32</v>
      </c>
      <c r="D50" s="15" t="s">
        <v>43</v>
      </c>
      <c r="E50" s="16">
        <f>E55*$E$4/E$15</f>
        <v>0.13541666666666666</v>
      </c>
      <c r="F50" s="16">
        <f t="shared" ref="F50:N50" si="22">F55*$E$4/F$15</f>
        <v>0.11284722222222221</v>
      </c>
      <c r="G50" s="16">
        <f t="shared" si="22"/>
        <v>9.4039351851851846E-2</v>
      </c>
      <c r="H50" s="16">
        <f t="shared" si="22"/>
        <v>7.8366126543209874E-2</v>
      </c>
      <c r="I50" s="16">
        <f t="shared" si="22"/>
        <v>6.5305105452674886E-2</v>
      </c>
      <c r="J50" s="16">
        <f t="shared" si="22"/>
        <v>5.4420921210562405E-2</v>
      </c>
      <c r="K50" s="16">
        <f t="shared" si="22"/>
        <v>4.5350767675468674E-2</v>
      </c>
      <c r="L50" s="16">
        <f t="shared" si="22"/>
        <v>3.7792306396223892E-2</v>
      </c>
      <c r="M50" s="16">
        <f t="shared" si="22"/>
        <v>3.1493588663519916E-2</v>
      </c>
      <c r="N50" s="16">
        <f t="shared" si="22"/>
        <v>2.624465721959993E-2</v>
      </c>
    </row>
    <row r="51" spans="1:16" ht="14.25" x14ac:dyDescent="0.45">
      <c r="B51" s="185"/>
      <c r="C51" s="192"/>
      <c r="D51" s="15" t="s">
        <v>44</v>
      </c>
      <c r="E51" s="16"/>
      <c r="F51" s="16"/>
      <c r="G51" s="16"/>
      <c r="H51" s="16"/>
      <c r="I51" s="125">
        <f>AVERAGE(E50:I50)</f>
        <v>9.7194894547325078E-2</v>
      </c>
      <c r="J51" s="16"/>
      <c r="K51" s="16"/>
      <c r="L51" s="16"/>
      <c r="M51" s="16"/>
      <c r="N51" s="17">
        <f>AVERAGE(E50:N50)</f>
        <v>6.8127671390200012E-2</v>
      </c>
    </row>
    <row r="52" spans="1:16" ht="14.25" x14ac:dyDescent="0.45">
      <c r="B52" s="185"/>
      <c r="C52" s="192"/>
      <c r="D52" s="15" t="s">
        <v>42</v>
      </c>
      <c r="E52" s="16">
        <f t="shared" ref="E52:N52" si="23">E$17*(E50/E$19)</f>
        <v>0.13541666666666666</v>
      </c>
      <c r="F52" s="16">
        <f t="shared" si="23"/>
        <v>0.24826388888888881</v>
      </c>
      <c r="G52" s="16">
        <f t="shared" si="23"/>
        <v>0.34230324074074081</v>
      </c>
      <c r="H52" s="16">
        <f t="shared" si="23"/>
        <v>0.42066936728395049</v>
      </c>
      <c r="I52" s="16">
        <f t="shared" si="23"/>
        <v>0.48597447273662558</v>
      </c>
      <c r="J52" s="16">
        <f t="shared" si="23"/>
        <v>0.54039539394718727</v>
      </c>
      <c r="K52" s="16">
        <f t="shared" si="23"/>
        <v>0.58574616162265691</v>
      </c>
      <c r="L52" s="16">
        <f t="shared" si="23"/>
        <v>0.6235384680188808</v>
      </c>
      <c r="M52" s="16">
        <f t="shared" si="23"/>
        <v>0.65503205668240172</v>
      </c>
      <c r="N52" s="16">
        <f t="shared" si="23"/>
        <v>0.68127671390199929</v>
      </c>
    </row>
    <row r="53" spans="1:16" ht="14.25" customHeight="1" x14ac:dyDescent="0.45">
      <c r="B53" s="185"/>
      <c r="C53" s="193"/>
      <c r="D53" s="19" t="s">
        <v>45</v>
      </c>
      <c r="E53" s="20">
        <f>10*E50</f>
        <v>1.3541666666666665</v>
      </c>
      <c r="F53" s="20">
        <f t="shared" ref="F53:N53" si="24">10*F50</f>
        <v>1.1284722222222221</v>
      </c>
      <c r="G53" s="20">
        <f t="shared" si="24"/>
        <v>0.94039351851851849</v>
      </c>
      <c r="H53" s="20">
        <f t="shared" si="24"/>
        <v>0.78366126543209869</v>
      </c>
      <c r="I53" s="20">
        <f t="shared" si="24"/>
        <v>0.65305105452674883</v>
      </c>
      <c r="J53" s="20">
        <f t="shared" si="24"/>
        <v>0.54420921210562401</v>
      </c>
      <c r="K53" s="20">
        <f t="shared" si="24"/>
        <v>0.45350767675468673</v>
      </c>
      <c r="L53" s="20">
        <f t="shared" si="24"/>
        <v>0.3779230639622389</v>
      </c>
      <c r="M53" s="20">
        <f t="shared" si="24"/>
        <v>0.31493588663519917</v>
      </c>
      <c r="N53" s="20">
        <f t="shared" si="24"/>
        <v>0.26244657219599932</v>
      </c>
    </row>
    <row r="54" spans="1:16" ht="14.25" x14ac:dyDescent="0.45">
      <c r="B54" s="185"/>
      <c r="C54" s="193"/>
      <c r="D54" s="19" t="s">
        <v>46</v>
      </c>
      <c r="E54" s="20">
        <f>10*E52</f>
        <v>1.3541666666666665</v>
      </c>
      <c r="F54" s="20">
        <f>10*F52</f>
        <v>2.482638888888888</v>
      </c>
      <c r="G54" s="20">
        <f>10*G52</f>
        <v>3.4230324074074083</v>
      </c>
      <c r="H54" s="20">
        <f t="shared" ref="H54:N54" si="25">10*H52</f>
        <v>4.2066936728395046</v>
      </c>
      <c r="I54" s="20">
        <f t="shared" si="25"/>
        <v>4.8597447273662562</v>
      </c>
      <c r="J54" s="20">
        <f t="shared" si="25"/>
        <v>5.4039539394718723</v>
      </c>
      <c r="K54" s="20">
        <f t="shared" si="25"/>
        <v>5.8574616162265691</v>
      </c>
      <c r="L54" s="20">
        <f t="shared" si="25"/>
        <v>6.2353846801888082</v>
      </c>
      <c r="M54" s="20">
        <f t="shared" si="25"/>
        <v>6.5503205668240172</v>
      </c>
      <c r="N54" s="20">
        <f t="shared" si="25"/>
        <v>6.8127671390199929</v>
      </c>
    </row>
    <row r="55" spans="1:16" ht="14.25" x14ac:dyDescent="0.45">
      <c r="B55" s="185"/>
      <c r="C55" s="191" t="s">
        <v>36</v>
      </c>
      <c r="D55" s="15" t="s">
        <v>43</v>
      </c>
      <c r="E55" s="16">
        <f t="shared" ref="E55:N55" si="26">$E9+($E$10*$E$11)</f>
        <v>0.16249999999999998</v>
      </c>
      <c r="F55" s="16">
        <f t="shared" si="26"/>
        <v>0.16249999999999998</v>
      </c>
      <c r="G55" s="16">
        <f t="shared" si="26"/>
        <v>0.16249999999999998</v>
      </c>
      <c r="H55" s="16">
        <f t="shared" si="26"/>
        <v>0.16249999999999998</v>
      </c>
      <c r="I55" s="16">
        <f t="shared" si="26"/>
        <v>0.16249999999999998</v>
      </c>
      <c r="J55" s="16">
        <f t="shared" si="26"/>
        <v>0.16249999999999998</v>
      </c>
      <c r="K55" s="16">
        <f t="shared" si="26"/>
        <v>0.16249999999999998</v>
      </c>
      <c r="L55" s="16">
        <f t="shared" si="26"/>
        <v>0.16249999999999998</v>
      </c>
      <c r="M55" s="16">
        <f t="shared" si="26"/>
        <v>0.16249999999999998</v>
      </c>
      <c r="N55" s="16">
        <f t="shared" si="26"/>
        <v>0.16249999999999998</v>
      </c>
    </row>
    <row r="56" spans="1:16" ht="14.25" customHeight="1" x14ac:dyDescent="0.45">
      <c r="B56" s="185"/>
      <c r="C56" s="193"/>
      <c r="D56" s="19" t="s">
        <v>45</v>
      </c>
      <c r="E56" s="21">
        <f t="shared" ref="E56:N56" si="27">E53*E$15</f>
        <v>162499.99999999997</v>
      </c>
      <c r="F56" s="21">
        <f t="shared" si="27"/>
        <v>162499.99999999997</v>
      </c>
      <c r="G56" s="21">
        <f t="shared" si="27"/>
        <v>162500</v>
      </c>
      <c r="H56" s="21">
        <f t="shared" si="27"/>
        <v>162499.99999999997</v>
      </c>
      <c r="I56" s="21">
        <f t="shared" si="27"/>
        <v>162499.99999999997</v>
      </c>
      <c r="J56" s="21">
        <f t="shared" si="27"/>
        <v>162499.99999999997</v>
      </c>
      <c r="K56" s="21">
        <f t="shared" si="27"/>
        <v>162500</v>
      </c>
      <c r="L56" s="21">
        <f t="shared" si="27"/>
        <v>162499.99999999997</v>
      </c>
      <c r="M56" s="21">
        <f t="shared" si="27"/>
        <v>162500</v>
      </c>
      <c r="N56" s="21">
        <f t="shared" si="27"/>
        <v>162500</v>
      </c>
    </row>
    <row r="57" spans="1:16" ht="14.25" x14ac:dyDescent="0.45">
      <c r="B57" s="185"/>
      <c r="C57" s="193"/>
      <c r="D57" s="19" t="s">
        <v>46</v>
      </c>
      <c r="E57" s="21">
        <f>E56</f>
        <v>162499.99999999997</v>
      </c>
      <c r="F57" s="21">
        <f>E57+F56</f>
        <v>324999.99999999994</v>
      </c>
      <c r="G57" s="21">
        <f>F57+G56</f>
        <v>487499.99999999994</v>
      </c>
      <c r="H57" s="21">
        <f t="shared" ref="H57:N57" si="28">G57+H56</f>
        <v>649999.99999999988</v>
      </c>
      <c r="I57" s="21">
        <f t="shared" si="28"/>
        <v>812499.99999999988</v>
      </c>
      <c r="J57" s="21">
        <f>I57+J56</f>
        <v>974999.99999999988</v>
      </c>
      <c r="K57" s="21">
        <f t="shared" si="28"/>
        <v>1137500</v>
      </c>
      <c r="L57" s="21">
        <f t="shared" si="28"/>
        <v>1300000</v>
      </c>
      <c r="M57" s="21">
        <f t="shared" si="28"/>
        <v>1462500</v>
      </c>
      <c r="N57" s="21">
        <f t="shared" si="28"/>
        <v>1625000</v>
      </c>
    </row>
    <row r="58" spans="1:16" ht="14.25" x14ac:dyDescent="0.45">
      <c r="B58" s="185"/>
      <c r="C58" s="191" t="s">
        <v>35</v>
      </c>
      <c r="D58" s="15" t="s">
        <v>43</v>
      </c>
      <c r="E58" s="16">
        <f>E52*E$15/$E$4</f>
        <v>0.16249999999999998</v>
      </c>
      <c r="F58" s="16">
        <f>F52*F$15/$E$4-E58</f>
        <v>0.1949999999999999</v>
      </c>
      <c r="G58" s="16">
        <f>G52*G$15/$E$4-F58-E58</f>
        <v>0.23400000000000026</v>
      </c>
      <c r="H58" s="16">
        <f>H52*H$15/$E$4-G58-F58-E58</f>
        <v>0.28079999999999955</v>
      </c>
      <c r="I58" s="16">
        <f>I52*I$15/$E$4-H58-G58-F58-E58</f>
        <v>0.33696000000000065</v>
      </c>
      <c r="J58" s="16">
        <f>J52*J$15/$E$4-I58-H58-G58-F58-E58</f>
        <v>0.40435199999999794</v>
      </c>
      <c r="K58" s="16">
        <f>K52*K$15/$E$4-J58-I58-H58-G58-F58-E58</f>
        <v>0.48522240000000305</v>
      </c>
      <c r="L58" s="16">
        <f>L52*L$15/$E$4-K58-J58-I58-H58-G58-F58-E58</f>
        <v>0.58226688000000004</v>
      </c>
      <c r="M58" s="16">
        <f>M52*M$15/$E$4-L58-K58-J58-I58-H58-G58-F58-E58</f>
        <v>0.69872025600000531</v>
      </c>
      <c r="N58" s="16">
        <f>N52*N$15/$E$4-M58-L58-K58-J58-I58-H58-G58-F58-E58</f>
        <v>0.83846430719998633</v>
      </c>
    </row>
    <row r="59" spans="1:16" ht="14.25" x14ac:dyDescent="0.45">
      <c r="B59" s="185"/>
      <c r="C59" s="192"/>
      <c r="D59" s="15" t="s">
        <v>44</v>
      </c>
      <c r="E59" s="17"/>
      <c r="F59" s="17"/>
      <c r="G59" s="17"/>
      <c r="H59" s="17"/>
      <c r="I59" s="17">
        <f>AVERAGE(E58:I58)</f>
        <v>0.24185200000000004</v>
      </c>
      <c r="J59" s="17"/>
      <c r="K59" s="17"/>
      <c r="L59" s="17"/>
      <c r="M59" s="17"/>
      <c r="N59" s="17">
        <f>AVERAGE(E58:N58)</f>
        <v>0.42182858431999931</v>
      </c>
    </row>
    <row r="60" spans="1:16" ht="14.25" x14ac:dyDescent="0.45">
      <c r="B60" s="185"/>
      <c r="C60" s="193"/>
      <c r="D60" s="19" t="s">
        <v>45</v>
      </c>
      <c r="E60" s="22">
        <f>E62</f>
        <v>162499.99999999997</v>
      </c>
      <c r="F60" s="22">
        <f>F62-E62</f>
        <v>194999.99999999991</v>
      </c>
      <c r="G60" s="22">
        <f>G62-F62</f>
        <v>234000.00000000023</v>
      </c>
      <c r="H60" s="22">
        <f t="shared" ref="H60:N60" si="29">H62-G62</f>
        <v>280799.99999999953</v>
      </c>
      <c r="I60" s="22">
        <f t="shared" si="29"/>
        <v>336960.00000000058</v>
      </c>
      <c r="J60" s="22">
        <f>J62-I62</f>
        <v>404351.9999999979</v>
      </c>
      <c r="K60" s="22">
        <f t="shared" si="29"/>
        <v>485222.40000000317</v>
      </c>
      <c r="L60" s="22">
        <f t="shared" si="29"/>
        <v>582266.87999999989</v>
      </c>
      <c r="M60" s="22">
        <f t="shared" si="29"/>
        <v>698720.25600000517</v>
      </c>
      <c r="N60" s="22">
        <f t="shared" si="29"/>
        <v>838464.30719998712</v>
      </c>
    </row>
    <row r="61" spans="1:16" ht="15" customHeight="1" x14ac:dyDescent="0.45">
      <c r="B61" s="185"/>
      <c r="C61" s="193"/>
      <c r="D61" s="19" t="s">
        <v>47</v>
      </c>
      <c r="E61" s="22"/>
      <c r="F61" s="22"/>
      <c r="G61" s="22"/>
      <c r="H61" s="22"/>
      <c r="I61" s="22">
        <f>AVERAGE(E60:I60)</f>
        <v>241852.00000000006</v>
      </c>
      <c r="J61" s="22"/>
      <c r="K61" s="22"/>
      <c r="L61" s="22"/>
      <c r="M61" s="22"/>
      <c r="N61" s="22">
        <f>AVERAGE(E60:N60)</f>
        <v>421828.58431999933</v>
      </c>
    </row>
    <row r="62" spans="1:16" ht="14.25" x14ac:dyDescent="0.45">
      <c r="B62" s="186"/>
      <c r="C62" s="193"/>
      <c r="D62" s="19" t="s">
        <v>46</v>
      </c>
      <c r="E62" s="21">
        <f t="shared" ref="E62:N62" si="30">E54*E$15</f>
        <v>162499.99999999997</v>
      </c>
      <c r="F62" s="21">
        <f t="shared" si="30"/>
        <v>357499.99999999988</v>
      </c>
      <c r="G62" s="21">
        <f t="shared" si="30"/>
        <v>591500.00000000012</v>
      </c>
      <c r="H62" s="21">
        <f t="shared" si="30"/>
        <v>872299.99999999965</v>
      </c>
      <c r="I62" s="21">
        <f t="shared" si="30"/>
        <v>1209260.0000000002</v>
      </c>
      <c r="J62" s="21">
        <f t="shared" si="30"/>
        <v>1613611.9999999981</v>
      </c>
      <c r="K62" s="21">
        <f t="shared" si="30"/>
        <v>2098834.4000000013</v>
      </c>
      <c r="L62" s="21">
        <f t="shared" si="30"/>
        <v>2681101.2800000012</v>
      </c>
      <c r="M62" s="21">
        <f t="shared" si="30"/>
        <v>3379821.5360000064</v>
      </c>
      <c r="N62" s="21">
        <f t="shared" si="30"/>
        <v>4218285.8431999935</v>
      </c>
    </row>
    <row r="63" spans="1:16" ht="14.25" x14ac:dyDescent="0.45">
      <c r="A63" s="8"/>
      <c r="B63" s="3"/>
      <c r="C63" s="1"/>
      <c r="D63" s="43"/>
      <c r="E63" s="31"/>
      <c r="F63" s="31"/>
      <c r="G63" s="31"/>
      <c r="H63" s="31"/>
      <c r="I63" s="31"/>
      <c r="J63" s="31"/>
      <c r="K63" s="31"/>
      <c r="L63" s="31"/>
      <c r="M63" s="31"/>
      <c r="N63" s="31"/>
      <c r="O63" s="8"/>
      <c r="P63" s="8"/>
    </row>
    <row r="64" spans="1:16" ht="14.25" x14ac:dyDescent="0.45">
      <c r="B64" s="189" t="s">
        <v>115</v>
      </c>
      <c r="C64" s="187" t="s">
        <v>21</v>
      </c>
      <c r="D64" s="180" t="str">
        <f>"10 BTC / "&amp;TEXT($E$4*10, "$###0.00,,")&amp;"M USD"</f>
        <v>10 BTC / $1.00M USD</v>
      </c>
      <c r="E64" s="174" t="s">
        <v>3</v>
      </c>
      <c r="F64" s="174" t="s">
        <v>4</v>
      </c>
      <c r="G64" s="174" t="s">
        <v>5</v>
      </c>
      <c r="H64" s="174" t="s">
        <v>6</v>
      </c>
      <c r="I64" s="174" t="s">
        <v>7</v>
      </c>
      <c r="J64" s="174" t="s">
        <v>8</v>
      </c>
      <c r="K64" s="174" t="s">
        <v>9</v>
      </c>
      <c r="L64" s="174" t="s">
        <v>10</v>
      </c>
      <c r="M64" s="174" t="s">
        <v>11</v>
      </c>
      <c r="N64" s="174" t="s">
        <v>12</v>
      </c>
    </row>
    <row r="65" spans="2:14" ht="14.25" x14ac:dyDescent="0.45">
      <c r="B65" s="190"/>
      <c r="C65" s="188"/>
      <c r="D65" s="181"/>
      <c r="E65" s="175"/>
      <c r="F65" s="175"/>
      <c r="G65" s="175"/>
      <c r="H65" s="175"/>
      <c r="I65" s="175"/>
      <c r="J65" s="175"/>
      <c r="K65" s="175"/>
      <c r="L65" s="175"/>
      <c r="M65" s="175"/>
      <c r="N65" s="175"/>
    </row>
    <row r="66" spans="2:14" ht="14.25" x14ac:dyDescent="0.45">
      <c r="B66" s="193" t="s">
        <v>16</v>
      </c>
      <c r="C66" s="192" t="s">
        <v>32</v>
      </c>
      <c r="D66" s="15" t="s">
        <v>58</v>
      </c>
      <c r="E66" s="16">
        <f>E$23</f>
        <v>0.41666666666666663</v>
      </c>
      <c r="F66" s="16">
        <f t="shared" ref="F66:N66" si="31">F$23</f>
        <v>0.34722222222222232</v>
      </c>
      <c r="G66" s="16">
        <f t="shared" si="31"/>
        <v>0.28935185185185175</v>
      </c>
      <c r="H66" s="16">
        <f t="shared" si="31"/>
        <v>0.24112654320987664</v>
      </c>
      <c r="I66" s="16">
        <f t="shared" si="31"/>
        <v>0.2009387860082304</v>
      </c>
      <c r="J66" s="16">
        <f t="shared" si="31"/>
        <v>0.16744898834019223</v>
      </c>
      <c r="K66" s="16">
        <f t="shared" si="31"/>
        <v>0.13954082361682663</v>
      </c>
      <c r="L66" s="16">
        <f t="shared" si="31"/>
        <v>0.11628401968068885</v>
      </c>
      <c r="M66" s="16">
        <f t="shared" si="31"/>
        <v>9.690334973390724E-2</v>
      </c>
      <c r="N66" s="16">
        <f t="shared" si="31"/>
        <v>8.0752791444922978E-2</v>
      </c>
    </row>
    <row r="67" spans="2:14" ht="14.25" x14ac:dyDescent="0.45">
      <c r="B67" s="193"/>
      <c r="C67" s="192"/>
      <c r="D67" s="15" t="s">
        <v>59</v>
      </c>
      <c r="E67" s="16"/>
      <c r="F67" s="16"/>
      <c r="G67" s="16"/>
      <c r="H67" s="16"/>
      <c r="I67" s="80">
        <f>AVERAGE(E66:I66)</f>
        <v>0.29906121399176955</v>
      </c>
      <c r="J67" s="16"/>
      <c r="K67" s="16"/>
      <c r="L67" s="16"/>
      <c r="M67" s="16"/>
      <c r="N67" s="17">
        <f>AVERAGE(E66:N66)</f>
        <v>0.20962360427753857</v>
      </c>
    </row>
    <row r="68" spans="2:14" ht="14.25" x14ac:dyDescent="0.45">
      <c r="B68" s="193"/>
      <c r="C68" s="192"/>
      <c r="D68" s="15" t="s">
        <v>42</v>
      </c>
      <c r="E68" s="16">
        <f>E$17*(E66/E$19)</f>
        <v>0.41666666666666663</v>
      </c>
      <c r="F68" s="16">
        <f t="shared" ref="F68:N68" si="32">F$17*(F66/F$19)</f>
        <v>0.76388888888888895</v>
      </c>
      <c r="G68" s="16">
        <f>G$17*(G66/G$19)</f>
        <v>1.0532407407407407</v>
      </c>
      <c r="H68" s="16">
        <f>H$17*(H66/H$19)</f>
        <v>1.2943672839506173</v>
      </c>
      <c r="I68" s="16">
        <f>I$17*(I66/I$19)</f>
        <v>1.4953060699588478</v>
      </c>
      <c r="J68" s="16">
        <f t="shared" si="32"/>
        <v>1.66275505829904</v>
      </c>
      <c r="K68" s="16">
        <f t="shared" si="32"/>
        <v>1.8022958819158665</v>
      </c>
      <c r="L68" s="16">
        <f t="shared" si="32"/>
        <v>1.9185799015965554</v>
      </c>
      <c r="M68" s="16">
        <f t="shared" si="32"/>
        <v>2.0154832513304628</v>
      </c>
      <c r="N68" s="16">
        <f t="shared" si="32"/>
        <v>2.0962360427753857</v>
      </c>
    </row>
    <row r="69" spans="2:14" ht="14.25" customHeight="1" x14ac:dyDescent="0.45">
      <c r="B69" s="193"/>
      <c r="C69" s="193"/>
      <c r="D69" s="19" t="s">
        <v>45</v>
      </c>
      <c r="E69" s="20">
        <f>10*E66</f>
        <v>4.1666666666666661</v>
      </c>
      <c r="F69" s="20">
        <f t="shared" ref="F69:N69" si="33">10*F66</f>
        <v>3.4722222222222232</v>
      </c>
      <c r="G69" s="20">
        <f t="shared" si="33"/>
        <v>2.8935185185185173</v>
      </c>
      <c r="H69" s="20">
        <f t="shared" si="33"/>
        <v>2.4112654320987663</v>
      </c>
      <c r="I69" s="20">
        <f t="shared" si="33"/>
        <v>2.0093878600823039</v>
      </c>
      <c r="J69" s="20">
        <f t="shared" si="33"/>
        <v>1.6744898834019222</v>
      </c>
      <c r="K69" s="20">
        <f t="shared" si="33"/>
        <v>1.3954082361682663</v>
      </c>
      <c r="L69" s="20">
        <f t="shared" si="33"/>
        <v>1.1628401968068887</v>
      </c>
      <c r="M69" s="20">
        <f t="shared" si="33"/>
        <v>0.9690334973390724</v>
      </c>
      <c r="N69" s="20">
        <f t="shared" si="33"/>
        <v>0.80752791444922978</v>
      </c>
    </row>
    <row r="70" spans="2:14" ht="14.25" x14ac:dyDescent="0.45">
      <c r="B70" s="193"/>
      <c r="C70" s="193"/>
      <c r="D70" s="19" t="s">
        <v>46</v>
      </c>
      <c r="E70" s="20">
        <f>10*E68</f>
        <v>4.1666666666666661</v>
      </c>
      <c r="F70" s="20">
        <f>10*F68</f>
        <v>7.6388888888888893</v>
      </c>
      <c r="G70" s="20">
        <f>10*G68</f>
        <v>10.532407407407407</v>
      </c>
      <c r="H70" s="20">
        <f t="shared" ref="H70:N70" si="34">10*H68</f>
        <v>12.943672839506172</v>
      </c>
      <c r="I70" s="20">
        <f t="shared" si="34"/>
        <v>14.953060699588478</v>
      </c>
      <c r="J70" s="20">
        <f t="shared" si="34"/>
        <v>16.627550582990402</v>
      </c>
      <c r="K70" s="20">
        <f t="shared" si="34"/>
        <v>18.022958819158667</v>
      </c>
      <c r="L70" s="20">
        <f t="shared" si="34"/>
        <v>19.185799015965554</v>
      </c>
      <c r="M70" s="20">
        <f t="shared" si="34"/>
        <v>20.154832513304626</v>
      </c>
      <c r="N70" s="20">
        <f t="shared" si="34"/>
        <v>20.962360427753858</v>
      </c>
    </row>
    <row r="71" spans="2:14" ht="14.25" x14ac:dyDescent="0.45">
      <c r="B71" s="193"/>
      <c r="C71" s="191" t="s">
        <v>36</v>
      </c>
      <c r="D71" s="15" t="s">
        <v>43</v>
      </c>
      <c r="E71" s="16">
        <f t="shared" ref="E71:N71" si="35">E66*E$15/$E$4</f>
        <v>0.49999999999999994</v>
      </c>
      <c r="F71" s="16">
        <f t="shared" si="35"/>
        <v>0.50000000000000011</v>
      </c>
      <c r="G71" s="16">
        <f t="shared" si="35"/>
        <v>0.49999999999999983</v>
      </c>
      <c r="H71" s="16">
        <f t="shared" si="35"/>
        <v>0.50000000000000022</v>
      </c>
      <c r="I71" s="16">
        <f t="shared" si="35"/>
        <v>0.49999999999999983</v>
      </c>
      <c r="J71" s="16">
        <f t="shared" si="35"/>
        <v>0.50000000000000056</v>
      </c>
      <c r="K71" s="16">
        <f t="shared" si="35"/>
        <v>0.49999999999999972</v>
      </c>
      <c r="L71" s="16">
        <f t="shared" si="35"/>
        <v>0.49999999999999972</v>
      </c>
      <c r="M71" s="16">
        <f t="shared" si="35"/>
        <v>0.499999999999999</v>
      </c>
      <c r="N71" s="16">
        <f t="shared" si="35"/>
        <v>0.50000000000000067</v>
      </c>
    </row>
    <row r="72" spans="2:14" ht="14.25" customHeight="1" x14ac:dyDescent="0.45">
      <c r="B72" s="193"/>
      <c r="C72" s="193"/>
      <c r="D72" s="19" t="s">
        <v>45</v>
      </c>
      <c r="E72" s="21">
        <f t="shared" ref="E72:N72" si="36">E69*E$15</f>
        <v>499999.99999999994</v>
      </c>
      <c r="F72" s="21">
        <f t="shared" si="36"/>
        <v>500000.00000000012</v>
      </c>
      <c r="G72" s="21">
        <f>G69*G$15</f>
        <v>499999.99999999977</v>
      </c>
      <c r="H72" s="21">
        <f>H69*H$15</f>
        <v>500000.00000000017</v>
      </c>
      <c r="I72" s="21">
        <f>I69*I$15</f>
        <v>499999.99999999983</v>
      </c>
      <c r="J72" s="21">
        <f t="shared" si="36"/>
        <v>500000.00000000058</v>
      </c>
      <c r="K72" s="21">
        <f t="shared" si="36"/>
        <v>499999.99999999977</v>
      </c>
      <c r="L72" s="21">
        <f t="shared" si="36"/>
        <v>499999.99999999977</v>
      </c>
      <c r="M72" s="21">
        <f t="shared" si="36"/>
        <v>499999.99999999901</v>
      </c>
      <c r="N72" s="21">
        <f t="shared" si="36"/>
        <v>500000.0000000007</v>
      </c>
    </row>
    <row r="73" spans="2:14" ht="14.25" x14ac:dyDescent="0.45">
      <c r="B73" s="193"/>
      <c r="C73" s="193"/>
      <c r="D73" s="19" t="s">
        <v>46</v>
      </c>
      <c r="E73" s="21">
        <f>E72</f>
        <v>499999.99999999994</v>
      </c>
      <c r="F73" s="21">
        <f>E73+F72</f>
        <v>1000000</v>
      </c>
      <c r="G73" s="21">
        <f>F73+G72</f>
        <v>1499999.9999999998</v>
      </c>
      <c r="H73" s="21">
        <f t="shared" ref="H73:N73" si="37">G73+H72</f>
        <v>2000000</v>
      </c>
      <c r="I73" s="21">
        <f t="shared" si="37"/>
        <v>2500000</v>
      </c>
      <c r="J73" s="21">
        <f>I73+J72</f>
        <v>3000000.0000000005</v>
      </c>
      <c r="K73" s="21">
        <f t="shared" si="37"/>
        <v>3500000</v>
      </c>
      <c r="L73" s="21">
        <f t="shared" si="37"/>
        <v>4000000</v>
      </c>
      <c r="M73" s="21">
        <f t="shared" si="37"/>
        <v>4499999.9999999991</v>
      </c>
      <c r="N73" s="21">
        <f t="shared" si="37"/>
        <v>5000000</v>
      </c>
    </row>
    <row r="74" spans="2:14" ht="14.25" x14ac:dyDescent="0.45">
      <c r="B74" s="193"/>
      <c r="C74" s="191" t="s">
        <v>35</v>
      </c>
      <c r="D74" s="15" t="s">
        <v>43</v>
      </c>
      <c r="E74" s="16">
        <f>E68*E$15/$E$4</f>
        <v>0.49999999999999994</v>
      </c>
      <c r="F74" s="16">
        <f>F68*F$15/$E$4-E74</f>
        <v>0.60000000000000009</v>
      </c>
      <c r="G74" s="16">
        <f>G68*G$15/$E$4-F74-E74</f>
        <v>0.72</v>
      </c>
      <c r="H74" s="16">
        <f>H68*H$15/$E$4-G74-F74-E74</f>
        <v>0.8640000000000001</v>
      </c>
      <c r="I74" s="16">
        <f>I68*I$15/$E$4-H74-G74-F74-E74</f>
        <v>1.0367999999999999</v>
      </c>
      <c r="J74" s="16">
        <f>J68*J$15/$E$4-I74-H74-G74-F74-E74</f>
        <v>1.2441600000000013</v>
      </c>
      <c r="K74" s="16">
        <f>K68*K$15/$E$4-J74-I74-H74-G74-F74-E74</f>
        <v>1.4929920000000005</v>
      </c>
      <c r="L74" s="16">
        <f>L68*L$15/$E$4-K74-J74-I74-H74-G74-F74-E74</f>
        <v>1.7915903999999983</v>
      </c>
      <c r="M74" s="16">
        <f>M68*M$15/$E$4-L74-K74-J74-I74-H74-G74-F74-E74</f>
        <v>2.1499084800000001</v>
      </c>
      <c r="N74" s="16">
        <f>N68*N$15/$E$4-M74-L74-K74-J74-I74-H74-G74-F74-E74</f>
        <v>2.5798901759999988</v>
      </c>
    </row>
    <row r="75" spans="2:14" ht="14.25" x14ac:dyDescent="0.45">
      <c r="B75" s="193"/>
      <c r="C75" s="192"/>
      <c r="D75" s="15" t="s">
        <v>44</v>
      </c>
      <c r="E75" s="17"/>
      <c r="F75" s="17"/>
      <c r="G75" s="17"/>
      <c r="H75" s="17"/>
      <c r="I75" s="17">
        <f>AVERAGE(E74:I74)</f>
        <v>0.74416000000000004</v>
      </c>
      <c r="J75" s="17"/>
      <c r="K75" s="17"/>
      <c r="L75" s="17"/>
      <c r="M75" s="17"/>
      <c r="N75" s="17">
        <f>AVERAGE(E74:N74)</f>
        <v>1.2979341056</v>
      </c>
    </row>
    <row r="76" spans="2:14" ht="14.25" x14ac:dyDescent="0.45">
      <c r="B76" s="193"/>
      <c r="C76" s="193"/>
      <c r="D76" s="19" t="s">
        <v>45</v>
      </c>
      <c r="E76" s="22">
        <f>E78</f>
        <v>499999.99999999994</v>
      </c>
      <c r="F76" s="22">
        <f>F78-E78</f>
        <v>600000</v>
      </c>
      <c r="G76" s="22">
        <f>G78-F78</f>
        <v>719999.99999999977</v>
      </c>
      <c r="H76" s="22">
        <f t="shared" ref="H76:N76" si="38">H78-G78</f>
        <v>864000.00000000023</v>
      </c>
      <c r="I76" s="22">
        <f t="shared" si="38"/>
        <v>1036800.0000000005</v>
      </c>
      <c r="J76" s="22">
        <f>J78-I78</f>
        <v>1244160.0000000014</v>
      </c>
      <c r="K76" s="22">
        <f t="shared" si="38"/>
        <v>1492991.9999999991</v>
      </c>
      <c r="L76" s="22">
        <f t="shared" si="38"/>
        <v>1791590.3999999985</v>
      </c>
      <c r="M76" s="22">
        <f t="shared" si="38"/>
        <v>2149908.4799999995</v>
      </c>
      <c r="N76" s="22">
        <f t="shared" si="38"/>
        <v>2579890.1760000009</v>
      </c>
    </row>
    <row r="77" spans="2:14" ht="14.25" x14ac:dyDescent="0.45">
      <c r="B77" s="193"/>
      <c r="C77" s="193"/>
      <c r="D77" s="19" t="s">
        <v>47</v>
      </c>
      <c r="E77" s="22"/>
      <c r="F77" s="22"/>
      <c r="G77" s="22"/>
      <c r="H77" s="22"/>
      <c r="I77" s="22">
        <f>AVERAGE(E76:I76)</f>
        <v>744160.00000000012</v>
      </c>
      <c r="J77" s="22"/>
      <c r="K77" s="22"/>
      <c r="L77" s="22"/>
      <c r="M77" s="22"/>
      <c r="N77" s="22">
        <f>AVERAGE(E76:N76)</f>
        <v>1297934.1055999999</v>
      </c>
    </row>
    <row r="78" spans="2:14" ht="14.25" x14ac:dyDescent="0.45">
      <c r="B78" s="193"/>
      <c r="C78" s="193"/>
      <c r="D78" s="19" t="s">
        <v>46</v>
      </c>
      <c r="E78" s="21">
        <f t="shared" ref="E78:N78" si="39">E70*E$15</f>
        <v>499999.99999999994</v>
      </c>
      <c r="F78" s="21">
        <f t="shared" si="39"/>
        <v>1100000</v>
      </c>
      <c r="G78" s="21">
        <f>G70*G$15</f>
        <v>1819999.9999999998</v>
      </c>
      <c r="H78" s="21">
        <f>H70*H$15</f>
        <v>2684000</v>
      </c>
      <c r="I78" s="21">
        <f>I70*I$15</f>
        <v>3720800.0000000005</v>
      </c>
      <c r="J78" s="21">
        <f t="shared" si="39"/>
        <v>4964960.0000000019</v>
      </c>
      <c r="K78" s="21">
        <f t="shared" si="39"/>
        <v>6457952.0000000009</v>
      </c>
      <c r="L78" s="21">
        <f t="shared" si="39"/>
        <v>8249542.3999999994</v>
      </c>
      <c r="M78" s="21">
        <f t="shared" si="39"/>
        <v>10399450.879999999</v>
      </c>
      <c r="N78" s="21">
        <f t="shared" si="39"/>
        <v>12979341.056</v>
      </c>
    </row>
    <row r="79" spans="2:14" ht="14.25" x14ac:dyDescent="0.45">
      <c r="B79" s="193" t="s">
        <v>137</v>
      </c>
      <c r="C79" s="192" t="s">
        <v>32</v>
      </c>
      <c r="D79" s="15" t="s">
        <v>43</v>
      </c>
      <c r="E79" s="16">
        <f>E$25</f>
        <v>6.6666666666666666E-2</v>
      </c>
      <c r="F79" s="16">
        <f t="shared" ref="F79:N79" si="40">F$25</f>
        <v>6.3888888888888884E-2</v>
      </c>
      <c r="G79" s="16">
        <f t="shared" si="40"/>
        <v>6.157407407407408E-2</v>
      </c>
      <c r="H79" s="16">
        <f t="shared" si="40"/>
        <v>5.9645061728395066E-2</v>
      </c>
      <c r="I79" s="16">
        <f t="shared" si="40"/>
        <v>5.8037551440329224E-2</v>
      </c>
      <c r="J79" s="16">
        <f t="shared" si="40"/>
        <v>5.6697959533607685E-2</v>
      </c>
      <c r="K79" s="16">
        <f t="shared" si="40"/>
        <v>5.5581632944673068E-2</v>
      </c>
      <c r="L79" s="16">
        <f t="shared" si="40"/>
        <v>5.4651360787227557E-2</v>
      </c>
      <c r="M79" s="16">
        <f t="shared" si="40"/>
        <v>5.3876133989356298E-2</v>
      </c>
      <c r="N79" s="16">
        <f t="shared" si="40"/>
        <v>5.3230111657796918E-2</v>
      </c>
    </row>
    <row r="80" spans="2:14" ht="14.25" x14ac:dyDescent="0.45">
      <c r="B80" s="193"/>
      <c r="C80" s="192"/>
      <c r="D80" s="15" t="s">
        <v>44</v>
      </c>
      <c r="E80" s="16"/>
      <c r="F80" s="16"/>
      <c r="G80" s="16"/>
      <c r="H80" s="16"/>
      <c r="I80" s="80">
        <f>AVERAGE(E79:I79)</f>
        <v>6.1962448559670778E-2</v>
      </c>
      <c r="J80" s="17"/>
      <c r="K80" s="17"/>
      <c r="L80" s="17"/>
      <c r="M80" s="17"/>
      <c r="N80" s="17">
        <f>AVERAGE(E79:N79)</f>
        <v>5.8384944171101537E-2</v>
      </c>
    </row>
    <row r="81" spans="2:14" ht="14.25" x14ac:dyDescent="0.45">
      <c r="B81" s="193"/>
      <c r="C81" s="192"/>
      <c r="D81" s="15" t="s">
        <v>42</v>
      </c>
      <c r="E81" s="16">
        <f>E$27</f>
        <v>6.6666666666666666E-2</v>
      </c>
      <c r="F81" s="16">
        <f t="shared" ref="F81:N81" si="41">F$27</f>
        <v>0.13055555555555554</v>
      </c>
      <c r="G81" s="16">
        <f t="shared" si="41"/>
        <v>0.19212962962962962</v>
      </c>
      <c r="H81" s="16">
        <f t="shared" si="41"/>
        <v>0.25177469135802466</v>
      </c>
      <c r="I81" s="16">
        <f t="shared" si="41"/>
        <v>0.3098122427983539</v>
      </c>
      <c r="J81" s="16">
        <f t="shared" si="41"/>
        <v>0.36651020233196158</v>
      </c>
      <c r="K81" s="16">
        <f t="shared" si="41"/>
        <v>0.42209183527663463</v>
      </c>
      <c r="L81" s="16">
        <f t="shared" si="41"/>
        <v>0.47674319606386217</v>
      </c>
      <c r="M81" s="16">
        <f t="shared" si="41"/>
        <v>0.53061933005321849</v>
      </c>
      <c r="N81" s="16">
        <f t="shared" si="41"/>
        <v>0.58384944171101538</v>
      </c>
    </row>
    <row r="82" spans="2:14" ht="14.25" customHeight="1" x14ac:dyDescent="0.45">
      <c r="B82" s="193"/>
      <c r="C82" s="193"/>
      <c r="D82" s="19" t="s">
        <v>45</v>
      </c>
      <c r="E82" s="20">
        <f t="shared" ref="E82:N82" si="42">10*E79</f>
        <v>0.66666666666666663</v>
      </c>
      <c r="F82" s="20">
        <f t="shared" si="42"/>
        <v>0.63888888888888884</v>
      </c>
      <c r="G82" s="20">
        <f t="shared" si="42"/>
        <v>0.61574074074074081</v>
      </c>
      <c r="H82" s="20">
        <f t="shared" si="42"/>
        <v>0.59645061728395066</v>
      </c>
      <c r="I82" s="20">
        <f t="shared" si="42"/>
        <v>0.58037551440329227</v>
      </c>
      <c r="J82" s="20">
        <f t="shared" si="42"/>
        <v>0.56697959533607689</v>
      </c>
      <c r="K82" s="20">
        <f t="shared" si="42"/>
        <v>0.55581632944673065</v>
      </c>
      <c r="L82" s="20">
        <f t="shared" si="42"/>
        <v>0.54651360787227554</v>
      </c>
      <c r="M82" s="20">
        <f t="shared" si="42"/>
        <v>0.53876133989356301</v>
      </c>
      <c r="N82" s="20">
        <f t="shared" si="42"/>
        <v>0.53230111657796919</v>
      </c>
    </row>
    <row r="83" spans="2:14" ht="14.25" x14ac:dyDescent="0.45">
      <c r="B83" s="193"/>
      <c r="C83" s="193"/>
      <c r="D83" s="19" t="s">
        <v>46</v>
      </c>
      <c r="E83" s="20">
        <f>10*E81</f>
        <v>0.66666666666666663</v>
      </c>
      <c r="F83" s="20">
        <f t="shared" ref="F83:N83" si="43">10*F81</f>
        <v>1.3055555555555554</v>
      </c>
      <c r="G83" s="20">
        <f t="shared" si="43"/>
        <v>1.9212962962962963</v>
      </c>
      <c r="H83" s="20">
        <f t="shared" si="43"/>
        <v>2.5177469135802468</v>
      </c>
      <c r="I83" s="20">
        <f t="shared" si="43"/>
        <v>3.0981224279835389</v>
      </c>
      <c r="J83" s="20">
        <f t="shared" si="43"/>
        <v>3.6651020233196157</v>
      </c>
      <c r="K83" s="20">
        <f t="shared" si="43"/>
        <v>4.2209183527663461</v>
      </c>
      <c r="L83" s="20">
        <f t="shared" si="43"/>
        <v>4.7674319606386213</v>
      </c>
      <c r="M83" s="20">
        <f t="shared" si="43"/>
        <v>5.3061933005321844</v>
      </c>
      <c r="N83" s="20">
        <f t="shared" si="43"/>
        <v>5.8384944171101534</v>
      </c>
    </row>
    <row r="84" spans="2:14" ht="14.25" x14ac:dyDescent="0.45">
      <c r="B84" s="193"/>
      <c r="C84" s="191" t="s">
        <v>36</v>
      </c>
      <c r="D84" s="15" t="s">
        <v>43</v>
      </c>
      <c r="E84" s="16">
        <f>E79*E$15/$E$4</f>
        <v>0.08</v>
      </c>
      <c r="F84" s="16">
        <f t="shared" ref="F84:N84" si="44">F79*F$15/$E$4</f>
        <v>9.1999999999999998E-2</v>
      </c>
      <c r="G84" s="16">
        <f t="shared" si="44"/>
        <v>0.10640000000000002</v>
      </c>
      <c r="H84" s="16">
        <f t="shared" si="44"/>
        <v>0.12368</v>
      </c>
      <c r="I84" s="16">
        <f t="shared" si="44"/>
        <v>0.14441600000000002</v>
      </c>
      <c r="J84" s="16">
        <f t="shared" si="44"/>
        <v>0.16929920000000001</v>
      </c>
      <c r="K84" s="16">
        <f t="shared" si="44"/>
        <v>0.19915904000000001</v>
      </c>
      <c r="L84" s="16">
        <f t="shared" si="44"/>
        <v>0.234990848</v>
      </c>
      <c r="M84" s="16">
        <f t="shared" si="44"/>
        <v>0.2779890176</v>
      </c>
      <c r="N84" s="16">
        <f t="shared" si="44"/>
        <v>0.32958682112000004</v>
      </c>
    </row>
    <row r="85" spans="2:14" ht="14.25" x14ac:dyDescent="0.45">
      <c r="B85" s="193"/>
      <c r="C85" s="192"/>
      <c r="D85" s="15" t="s">
        <v>44</v>
      </c>
      <c r="E85" s="16"/>
      <c r="F85" s="16"/>
      <c r="G85" s="16"/>
      <c r="H85" s="16"/>
      <c r="I85" s="17">
        <f>AVERAGE(E84:I84)</f>
        <v>0.1092992</v>
      </c>
      <c r="J85" s="17"/>
      <c r="K85" s="17"/>
      <c r="L85" s="17"/>
      <c r="M85" s="17"/>
      <c r="N85" s="17">
        <f>AVERAGE(E84:N84)</f>
        <v>0.17575209267199998</v>
      </c>
    </row>
    <row r="86" spans="2:14" ht="14.25" x14ac:dyDescent="0.45">
      <c r="B86" s="193"/>
      <c r="C86" s="193"/>
      <c r="D86" s="19" t="s">
        <v>45</v>
      </c>
      <c r="E86" s="23">
        <f t="shared" ref="E86:F86" si="45">E82*E$15</f>
        <v>80000</v>
      </c>
      <c r="F86" s="23">
        <f t="shared" si="45"/>
        <v>92000</v>
      </c>
      <c r="G86" s="23">
        <f>G82*G$15</f>
        <v>106400.00000000001</v>
      </c>
      <c r="H86" s="23">
        <f>H82*H$15</f>
        <v>123680.00000000001</v>
      </c>
      <c r="I86" s="23">
        <f>I82*I$15</f>
        <v>144416.00000000003</v>
      </c>
      <c r="J86" s="23">
        <f t="shared" ref="J86:N86" si="46">J82*J$15</f>
        <v>169299.20000000004</v>
      </c>
      <c r="K86" s="23">
        <f t="shared" si="46"/>
        <v>199159.04000000001</v>
      </c>
      <c r="L86" s="23">
        <f t="shared" si="46"/>
        <v>234990.848</v>
      </c>
      <c r="M86" s="23">
        <f t="shared" si="46"/>
        <v>277989.01760000002</v>
      </c>
      <c r="N86" s="23">
        <f t="shared" si="46"/>
        <v>329586.82111999998</v>
      </c>
    </row>
    <row r="87" spans="2:14" ht="14.25" customHeight="1" x14ac:dyDescent="0.45">
      <c r="B87" s="193"/>
      <c r="C87" s="193"/>
      <c r="D87" s="19" t="s">
        <v>47</v>
      </c>
      <c r="E87" s="24"/>
      <c r="F87" s="24"/>
      <c r="G87" s="24"/>
      <c r="H87" s="24"/>
      <c r="I87" s="23">
        <f>AVERAGE(E86:I86)</f>
        <v>109299.2</v>
      </c>
      <c r="J87" s="23"/>
      <c r="K87" s="23"/>
      <c r="L87" s="23"/>
      <c r="M87" s="23"/>
      <c r="N87" s="23">
        <f>AVERAGE(E86:N86)</f>
        <v>175752.092672</v>
      </c>
    </row>
    <row r="88" spans="2:14" ht="14.25" x14ac:dyDescent="0.45">
      <c r="B88" s="193"/>
      <c r="C88" s="193"/>
      <c r="D88" s="19" t="s">
        <v>46</v>
      </c>
      <c r="E88" s="24">
        <f>E86</f>
        <v>80000</v>
      </c>
      <c r="F88" s="24">
        <f t="shared" ref="F88" si="47">E88+F86</f>
        <v>172000</v>
      </c>
      <c r="G88" s="24">
        <f>F88+G86</f>
        <v>278400</v>
      </c>
      <c r="H88" s="24">
        <f t="shared" ref="H88:I88" si="48">G88+H86</f>
        <v>402080</v>
      </c>
      <c r="I88" s="24">
        <f t="shared" si="48"/>
        <v>546496</v>
      </c>
      <c r="J88" s="24">
        <f>I88+J86</f>
        <v>715795.20000000007</v>
      </c>
      <c r="K88" s="24">
        <f t="shared" ref="K88:N88" si="49">J88+K86</f>
        <v>914954.24000000011</v>
      </c>
      <c r="L88" s="24">
        <f t="shared" si="49"/>
        <v>1149945.088</v>
      </c>
      <c r="M88" s="24">
        <f t="shared" si="49"/>
        <v>1427934.1055999999</v>
      </c>
      <c r="N88" s="24">
        <f t="shared" si="49"/>
        <v>1757520.9267199999</v>
      </c>
    </row>
    <row r="89" spans="2:14" ht="14.25" x14ac:dyDescent="0.45">
      <c r="B89" s="193"/>
      <c r="C89" s="191" t="s">
        <v>35</v>
      </c>
      <c r="D89" s="15" t="s">
        <v>43</v>
      </c>
      <c r="E89" s="16">
        <f>E81*E$15/$E$4</f>
        <v>0.08</v>
      </c>
      <c r="F89" s="16">
        <f>F81*F$15/$E$4-E89</f>
        <v>0.10799999999999997</v>
      </c>
      <c r="G89" s="16">
        <f>G81*G$15/$E$4-F89-E89</f>
        <v>0.14400000000000002</v>
      </c>
      <c r="H89" s="16">
        <f>H81*H$15/$E$4-G89-F89-E89</f>
        <v>0.19007999999999986</v>
      </c>
      <c r="I89" s="16">
        <f>I81*I$15/$E$4-H89-G89-F89-E89</f>
        <v>0.248832</v>
      </c>
      <c r="J89" s="16">
        <f>J81*J$15/$E$4-I89-H89-G89-F89-E89</f>
        <v>0.32348160000000031</v>
      </c>
      <c r="K89" s="16">
        <f>K81*K$15/$E$4-J89-I89-H89-G89-F89-E89</f>
        <v>0.41803775999999987</v>
      </c>
      <c r="L89" s="16">
        <f>L81*L$15/$E$4-K89-J89-I89-H89-G89-F89-E89</f>
        <v>0.53747711999999981</v>
      </c>
      <c r="M89" s="16">
        <f>M81*M$15/$E$4-L89-K89-J89-I89-H89-G89-F89-E89</f>
        <v>0.68797071360000051</v>
      </c>
      <c r="N89" s="16">
        <f>N81*N$15/$E$4-M89-L89-K89-J89-I89-H89-G89-F89-E89</f>
        <v>0.87716265983999953</v>
      </c>
    </row>
    <row r="90" spans="2:14" ht="14.25" x14ac:dyDescent="0.45">
      <c r="B90" s="193"/>
      <c r="C90" s="192"/>
      <c r="D90" s="15" t="s">
        <v>44</v>
      </c>
      <c r="E90" s="17"/>
      <c r="F90" s="17"/>
      <c r="G90" s="17"/>
      <c r="H90" s="17"/>
      <c r="I90" s="17">
        <f>AVERAGE(E89:I89)</f>
        <v>0.15418239999999997</v>
      </c>
      <c r="J90" s="17"/>
      <c r="K90" s="17"/>
      <c r="L90" s="17"/>
      <c r="M90" s="17"/>
      <c r="N90" s="17">
        <f>AVERAGE(E89:N89)</f>
        <v>0.36150418534399992</v>
      </c>
    </row>
    <row r="91" spans="2:14" ht="14.25" x14ac:dyDescent="0.45">
      <c r="B91" s="193"/>
      <c r="C91" s="193"/>
      <c r="D91" s="19" t="s">
        <v>45</v>
      </c>
      <c r="E91" s="23">
        <f>E93</f>
        <v>80000</v>
      </c>
      <c r="F91" s="23">
        <f>F93-E93</f>
        <v>107999.99999999997</v>
      </c>
      <c r="G91" s="23">
        <f>G93-F93</f>
        <v>144000.00000000003</v>
      </c>
      <c r="H91" s="23">
        <f>H93-G93</f>
        <v>190080</v>
      </c>
      <c r="I91" s="23">
        <f>I93-H93</f>
        <v>248832</v>
      </c>
      <c r="J91" s="23">
        <f>J93-I93</f>
        <v>323481.60000000009</v>
      </c>
      <c r="K91" s="23">
        <f t="shared" ref="K91:N91" si="50">K93-J93</f>
        <v>418037.75999999978</v>
      </c>
      <c r="L91" s="23">
        <f t="shared" si="50"/>
        <v>537477.11999999965</v>
      </c>
      <c r="M91" s="23">
        <f t="shared" si="50"/>
        <v>687970.7135999999</v>
      </c>
      <c r="N91" s="23">
        <f t="shared" si="50"/>
        <v>877162.65983999986</v>
      </c>
    </row>
    <row r="92" spans="2:14" ht="14.25" x14ac:dyDescent="0.45">
      <c r="B92" s="193"/>
      <c r="C92" s="193"/>
      <c r="D92" s="19" t="s">
        <v>47</v>
      </c>
      <c r="E92" s="23"/>
      <c r="F92" s="23"/>
      <c r="G92" s="23"/>
      <c r="H92" s="23"/>
      <c r="I92" s="23">
        <f>AVERAGE(E91:I91)</f>
        <v>154182.39999999999</v>
      </c>
      <c r="J92" s="23"/>
      <c r="K92" s="23"/>
      <c r="L92" s="23"/>
      <c r="M92" s="23"/>
      <c r="N92" s="23">
        <f>AVERAGE(E91:N91)</f>
        <v>361504.18534399994</v>
      </c>
    </row>
    <row r="93" spans="2:14" ht="14.25" x14ac:dyDescent="0.45">
      <c r="B93" s="193"/>
      <c r="C93" s="193"/>
      <c r="D93" s="19" t="s">
        <v>46</v>
      </c>
      <c r="E93" s="24">
        <f t="shared" ref="E93:F93" si="51">E83*E$15</f>
        <v>80000</v>
      </c>
      <c r="F93" s="24">
        <f t="shared" si="51"/>
        <v>187999.99999999997</v>
      </c>
      <c r="G93" s="24">
        <f>G83*G$15</f>
        <v>332000</v>
      </c>
      <c r="H93" s="24">
        <f>H83*H$15</f>
        <v>522080</v>
      </c>
      <c r="I93" s="24">
        <f>I83*I$15</f>
        <v>770912</v>
      </c>
      <c r="J93" s="24">
        <f t="shared" ref="J93:N93" si="52">J83*J$15</f>
        <v>1094393.6000000001</v>
      </c>
      <c r="K93" s="24">
        <f t="shared" si="52"/>
        <v>1512431.3599999999</v>
      </c>
      <c r="L93" s="24">
        <f t="shared" si="52"/>
        <v>2049908.4799999995</v>
      </c>
      <c r="M93" s="24">
        <f t="shared" si="52"/>
        <v>2737879.1935999994</v>
      </c>
      <c r="N93" s="24">
        <f t="shared" si="52"/>
        <v>3615041.8534399993</v>
      </c>
    </row>
    <row r="94" spans="2:14" ht="14.25" x14ac:dyDescent="0.45">
      <c r="B94" s="193" t="s">
        <v>17</v>
      </c>
      <c r="C94" s="192" t="s">
        <v>32</v>
      </c>
      <c r="D94" s="15" t="s">
        <v>43</v>
      </c>
      <c r="E94" s="16">
        <f>E$28</f>
        <v>3.3333333333333333E-2</v>
      </c>
      <c r="F94" s="16">
        <f t="shared" ref="F94:N94" si="53">F$28</f>
        <v>3.1944444444444442E-2</v>
      </c>
      <c r="G94" s="16">
        <f t="shared" si="53"/>
        <v>3.078703703703704E-2</v>
      </c>
      <c r="H94" s="16">
        <f t="shared" si="53"/>
        <v>2.9822530864197533E-2</v>
      </c>
      <c r="I94" s="16">
        <f t="shared" si="53"/>
        <v>2.9018775720164612E-2</v>
      </c>
      <c r="J94" s="16">
        <f t="shared" si="53"/>
        <v>2.8348979766803842E-2</v>
      </c>
      <c r="K94" s="16">
        <f t="shared" si="53"/>
        <v>2.7790816472336534E-2</v>
      </c>
      <c r="L94" s="16">
        <f t="shared" si="53"/>
        <v>2.7325680393613778E-2</v>
      </c>
      <c r="M94" s="16">
        <f t="shared" si="53"/>
        <v>2.6938066994678149E-2</v>
      </c>
      <c r="N94" s="16">
        <f t="shared" si="53"/>
        <v>2.6615055828898459E-2</v>
      </c>
    </row>
    <row r="95" spans="2:14" ht="14.25" x14ac:dyDescent="0.45">
      <c r="B95" s="193"/>
      <c r="C95" s="192"/>
      <c r="D95" s="15" t="s">
        <v>44</v>
      </c>
      <c r="E95" s="16"/>
      <c r="F95" s="16"/>
      <c r="G95" s="16"/>
      <c r="H95" s="16"/>
      <c r="I95" s="80">
        <f>AVERAGE(E94:I94)</f>
        <v>3.0981224279835389E-2</v>
      </c>
      <c r="J95" s="17"/>
      <c r="K95" s="17"/>
      <c r="L95" s="17"/>
      <c r="M95" s="17"/>
      <c r="N95" s="17">
        <f>AVERAGE(E94:N94)</f>
        <v>2.9192472085550768E-2</v>
      </c>
    </row>
    <row r="96" spans="2:14" ht="14.25" x14ac:dyDescent="0.45">
      <c r="B96" s="193"/>
      <c r="C96" s="192"/>
      <c r="D96" s="15" t="s">
        <v>42</v>
      </c>
      <c r="E96" s="16">
        <f t="shared" ref="E96:N96" si="54">E$30</f>
        <v>3.3333333333333333E-2</v>
      </c>
      <c r="F96" s="16">
        <f t="shared" si="54"/>
        <v>6.5277777777777768E-2</v>
      </c>
      <c r="G96" s="16">
        <f t="shared" si="54"/>
        <v>9.6064814814814811E-2</v>
      </c>
      <c r="H96" s="16">
        <f t="shared" si="54"/>
        <v>0.12588734567901233</v>
      </c>
      <c r="I96" s="16">
        <f t="shared" si="54"/>
        <v>0.15490612139917695</v>
      </c>
      <c r="J96" s="16">
        <f t="shared" si="54"/>
        <v>0.18325510116598079</v>
      </c>
      <c r="K96" s="16">
        <f t="shared" si="54"/>
        <v>0.21104591763831732</v>
      </c>
      <c r="L96" s="16">
        <f t="shared" si="54"/>
        <v>0.23837159803193109</v>
      </c>
      <c r="M96" s="16">
        <f t="shared" si="54"/>
        <v>0.26530966502660924</v>
      </c>
      <c r="N96" s="16">
        <f t="shared" si="54"/>
        <v>0.29192472085550769</v>
      </c>
    </row>
    <row r="97" spans="2:14" ht="14.25" customHeight="1" x14ac:dyDescent="0.45">
      <c r="B97" s="193"/>
      <c r="C97" s="193"/>
      <c r="D97" s="19" t="s">
        <v>45</v>
      </c>
      <c r="E97" s="20">
        <f t="shared" ref="E97:N97" si="55">10*E94</f>
        <v>0.33333333333333331</v>
      </c>
      <c r="F97" s="20">
        <f t="shared" si="55"/>
        <v>0.31944444444444442</v>
      </c>
      <c r="G97" s="20">
        <f t="shared" si="55"/>
        <v>0.30787037037037041</v>
      </c>
      <c r="H97" s="20">
        <f t="shared" si="55"/>
        <v>0.29822530864197533</v>
      </c>
      <c r="I97" s="20">
        <f t="shared" si="55"/>
        <v>0.29018775720164613</v>
      </c>
      <c r="J97" s="20">
        <f t="shared" si="55"/>
        <v>0.28348979766803845</v>
      </c>
      <c r="K97" s="20">
        <f t="shared" si="55"/>
        <v>0.27790816472336533</v>
      </c>
      <c r="L97" s="20">
        <f t="shared" si="55"/>
        <v>0.27325680393613777</v>
      </c>
      <c r="M97" s="20">
        <f t="shared" si="55"/>
        <v>0.2693806699467815</v>
      </c>
      <c r="N97" s="20">
        <f t="shared" si="55"/>
        <v>0.2661505582889846</v>
      </c>
    </row>
    <row r="98" spans="2:14" ht="14.25" x14ac:dyDescent="0.45">
      <c r="B98" s="193"/>
      <c r="C98" s="193"/>
      <c r="D98" s="19" t="s">
        <v>46</v>
      </c>
      <c r="E98" s="20">
        <f>10*E96</f>
        <v>0.33333333333333331</v>
      </c>
      <c r="F98" s="20">
        <f t="shared" ref="F98:N98" si="56">10*F96</f>
        <v>0.65277777777777768</v>
      </c>
      <c r="G98" s="20">
        <f t="shared" si="56"/>
        <v>0.96064814814814814</v>
      </c>
      <c r="H98" s="20">
        <f t="shared" si="56"/>
        <v>1.2588734567901234</v>
      </c>
      <c r="I98" s="20">
        <f t="shared" si="56"/>
        <v>1.5490612139917694</v>
      </c>
      <c r="J98" s="20">
        <f t="shared" si="56"/>
        <v>1.8325510116598078</v>
      </c>
      <c r="K98" s="20">
        <f t="shared" si="56"/>
        <v>2.110459176383173</v>
      </c>
      <c r="L98" s="20">
        <f t="shared" si="56"/>
        <v>2.3837159803193106</v>
      </c>
      <c r="M98" s="20">
        <f t="shared" si="56"/>
        <v>2.6530966502660922</v>
      </c>
      <c r="N98" s="20">
        <f t="shared" si="56"/>
        <v>2.9192472085550767</v>
      </c>
    </row>
    <row r="99" spans="2:14" ht="14.25" x14ac:dyDescent="0.45">
      <c r="B99" s="193"/>
      <c r="C99" s="191" t="s">
        <v>36</v>
      </c>
      <c r="D99" s="15" t="s">
        <v>43</v>
      </c>
      <c r="E99" s="16">
        <f t="shared" ref="E99:N99" si="57">E94*E$15/$E$4</f>
        <v>0.04</v>
      </c>
      <c r="F99" s="16">
        <f t="shared" si="57"/>
        <v>4.5999999999999999E-2</v>
      </c>
      <c r="G99" s="16">
        <f t="shared" si="57"/>
        <v>5.3200000000000011E-2</v>
      </c>
      <c r="H99" s="16">
        <f t="shared" si="57"/>
        <v>6.1839999999999999E-2</v>
      </c>
      <c r="I99" s="16">
        <f t="shared" si="57"/>
        <v>7.2208000000000008E-2</v>
      </c>
      <c r="J99" s="16">
        <f t="shared" si="57"/>
        <v>8.4649600000000005E-2</v>
      </c>
      <c r="K99" s="16">
        <f t="shared" si="57"/>
        <v>9.9579520000000005E-2</v>
      </c>
      <c r="L99" s="16">
        <f t="shared" si="57"/>
        <v>0.117495424</v>
      </c>
      <c r="M99" s="16">
        <f t="shared" si="57"/>
        <v>0.1389945088</v>
      </c>
      <c r="N99" s="16">
        <f t="shared" si="57"/>
        <v>0.16479341056000002</v>
      </c>
    </row>
    <row r="100" spans="2:14" ht="14.25" x14ac:dyDescent="0.45">
      <c r="B100" s="193"/>
      <c r="C100" s="192"/>
      <c r="D100" s="15" t="s">
        <v>44</v>
      </c>
      <c r="E100" s="16"/>
      <c r="F100" s="16"/>
      <c r="G100" s="16"/>
      <c r="H100" s="16"/>
      <c r="I100" s="17">
        <f>AVERAGE(E99:I99)</f>
        <v>5.46496E-2</v>
      </c>
      <c r="J100" s="17"/>
      <c r="K100" s="17"/>
      <c r="L100" s="17"/>
      <c r="M100" s="17"/>
      <c r="N100" s="17">
        <f>AVERAGE(E99:N99)</f>
        <v>8.7876046335999991E-2</v>
      </c>
    </row>
    <row r="101" spans="2:14" ht="14.25" x14ac:dyDescent="0.45">
      <c r="B101" s="193"/>
      <c r="C101" s="193"/>
      <c r="D101" s="19" t="s">
        <v>45</v>
      </c>
      <c r="E101" s="23">
        <f t="shared" ref="E101:N101" si="58">E97*E$15</f>
        <v>40000</v>
      </c>
      <c r="F101" s="23">
        <f t="shared" si="58"/>
        <v>46000</v>
      </c>
      <c r="G101" s="23">
        <f>G97*G$15</f>
        <v>53200.000000000007</v>
      </c>
      <c r="H101" s="23">
        <f>H97*H$15</f>
        <v>61840.000000000007</v>
      </c>
      <c r="I101" s="23">
        <f>I97*I$15</f>
        <v>72208.000000000015</v>
      </c>
      <c r="J101" s="23">
        <f t="shared" si="58"/>
        <v>84649.60000000002</v>
      </c>
      <c r="K101" s="23">
        <f t="shared" si="58"/>
        <v>99579.520000000004</v>
      </c>
      <c r="L101" s="23">
        <f t="shared" si="58"/>
        <v>117495.424</v>
      </c>
      <c r="M101" s="23">
        <f t="shared" si="58"/>
        <v>138994.50880000001</v>
      </c>
      <c r="N101" s="23">
        <f t="shared" si="58"/>
        <v>164793.41055999999</v>
      </c>
    </row>
    <row r="102" spans="2:14" ht="14.25" customHeight="1" x14ac:dyDescent="0.45">
      <c r="B102" s="193"/>
      <c r="C102" s="193"/>
      <c r="D102" s="19" t="s">
        <v>47</v>
      </c>
      <c r="E102" s="24"/>
      <c r="F102" s="24"/>
      <c r="G102" s="24"/>
      <c r="H102" s="24"/>
      <c r="I102" s="23">
        <f>AVERAGE(E101:I101)</f>
        <v>54649.599999999999</v>
      </c>
      <c r="J102" s="23"/>
      <c r="K102" s="23"/>
      <c r="L102" s="23"/>
      <c r="M102" s="23"/>
      <c r="N102" s="23">
        <f>AVERAGE(E101:N101)</f>
        <v>87876.046335999999</v>
      </c>
    </row>
    <row r="103" spans="2:14" ht="14.25" x14ac:dyDescent="0.45">
      <c r="B103" s="193"/>
      <c r="C103" s="193"/>
      <c r="D103" s="19" t="s">
        <v>46</v>
      </c>
      <c r="E103" s="24">
        <f>E101</f>
        <v>40000</v>
      </c>
      <c r="F103" s="24">
        <f t="shared" ref="F103:N103" si="59">E103+F101</f>
        <v>86000</v>
      </c>
      <c r="G103" s="24">
        <f>F103+G101</f>
        <v>139200</v>
      </c>
      <c r="H103" s="24">
        <f t="shared" si="59"/>
        <v>201040</v>
      </c>
      <c r="I103" s="24">
        <f t="shared" si="59"/>
        <v>273248</v>
      </c>
      <c r="J103" s="24">
        <f>I103+J101</f>
        <v>357897.60000000003</v>
      </c>
      <c r="K103" s="24">
        <f t="shared" si="59"/>
        <v>457477.12000000005</v>
      </c>
      <c r="L103" s="24">
        <f t="shared" si="59"/>
        <v>574972.54399999999</v>
      </c>
      <c r="M103" s="24">
        <f t="shared" si="59"/>
        <v>713967.05279999995</v>
      </c>
      <c r="N103" s="24">
        <f t="shared" si="59"/>
        <v>878760.46335999994</v>
      </c>
    </row>
    <row r="104" spans="2:14" ht="14.25" x14ac:dyDescent="0.45">
      <c r="B104" s="193"/>
      <c r="C104" s="191" t="s">
        <v>35</v>
      </c>
      <c r="D104" s="15" t="s">
        <v>43</v>
      </c>
      <c r="E104" s="16">
        <f>E96*E$15/$E$4</f>
        <v>0.04</v>
      </c>
      <c r="F104" s="16">
        <f>F96*F$15/$E$4-E104</f>
        <v>5.3999999999999986E-2</v>
      </c>
      <c r="G104" s="16">
        <f>G96*G$15/$E$4-F104-E104</f>
        <v>7.2000000000000008E-2</v>
      </c>
      <c r="H104" s="16">
        <f>H96*H$15/$E$4-G104-F104-E104</f>
        <v>9.503999999999993E-2</v>
      </c>
      <c r="I104" s="16">
        <f>I96*I$15/$E$4-H104-G104-F104-E104</f>
        <v>0.124416</v>
      </c>
      <c r="J104" s="16">
        <f>J96*J$15/$E$4-I104-H104-G104-F104-E104</f>
        <v>0.16174080000000016</v>
      </c>
      <c r="K104" s="16">
        <f>K96*K$15/$E$4-J104-I104-H104-G104-F104-E104</f>
        <v>0.20901887999999993</v>
      </c>
      <c r="L104" s="16">
        <f>L96*L$15/$E$4-K104-J104-I104-H104-G104-F104-E104</f>
        <v>0.2687385599999999</v>
      </c>
      <c r="M104" s="16">
        <f>M96*M$15/$E$4-L104-K104-J104-I104-H104-G104-F104-E104</f>
        <v>0.34398535680000025</v>
      </c>
      <c r="N104" s="16">
        <f>N96*N$15/$E$4-M104-L104-K104-J104-I104-H104-G104-F104-E104</f>
        <v>0.43858132991999976</v>
      </c>
    </row>
    <row r="105" spans="2:14" ht="14.25" x14ac:dyDescent="0.45">
      <c r="B105" s="193"/>
      <c r="C105" s="192"/>
      <c r="D105" s="15" t="s">
        <v>44</v>
      </c>
      <c r="E105" s="17"/>
      <c r="F105" s="17"/>
      <c r="G105" s="17"/>
      <c r="H105" s="17"/>
      <c r="I105" s="17">
        <f>AVERAGE(E104:I104)</f>
        <v>7.7091199999999985E-2</v>
      </c>
      <c r="J105" s="17"/>
      <c r="K105" s="17"/>
      <c r="L105" s="17"/>
      <c r="M105" s="17"/>
      <c r="N105" s="17">
        <f>AVERAGE(E104:N104)</f>
        <v>0.18075209267199996</v>
      </c>
    </row>
    <row r="106" spans="2:14" ht="14.25" x14ac:dyDescent="0.45">
      <c r="B106" s="193"/>
      <c r="C106" s="193"/>
      <c r="D106" s="19" t="s">
        <v>45</v>
      </c>
      <c r="E106" s="23">
        <f>E108</f>
        <v>40000</v>
      </c>
      <c r="F106" s="23">
        <f>F108-E108</f>
        <v>53999.999999999985</v>
      </c>
      <c r="G106" s="23">
        <f>G108-F108</f>
        <v>72000.000000000015</v>
      </c>
      <c r="H106" s="23">
        <f>H108-G108</f>
        <v>95040</v>
      </c>
      <c r="I106" s="23">
        <f>I108-H108</f>
        <v>124416</v>
      </c>
      <c r="J106" s="23">
        <f>J108-I108</f>
        <v>161740.80000000005</v>
      </c>
      <c r="K106" s="23">
        <f t="shared" ref="K106:N106" si="60">K108-J108</f>
        <v>209018.87999999989</v>
      </c>
      <c r="L106" s="23">
        <f t="shared" si="60"/>
        <v>268738.55999999982</v>
      </c>
      <c r="M106" s="23">
        <f t="shared" si="60"/>
        <v>343985.35679999995</v>
      </c>
      <c r="N106" s="23">
        <f t="shared" si="60"/>
        <v>438581.32991999993</v>
      </c>
    </row>
    <row r="107" spans="2:14" ht="15" customHeight="1" x14ac:dyDescent="0.45">
      <c r="B107" s="193"/>
      <c r="C107" s="193"/>
      <c r="D107" s="19" t="s">
        <v>47</v>
      </c>
      <c r="E107" s="23"/>
      <c r="F107" s="23"/>
      <c r="G107" s="23"/>
      <c r="H107" s="23"/>
      <c r="I107" s="23">
        <f>AVERAGE(E106:I106)</f>
        <v>77091.199999999997</v>
      </c>
      <c r="J107" s="23"/>
      <c r="K107" s="23"/>
      <c r="L107" s="23"/>
      <c r="M107" s="23"/>
      <c r="N107" s="23">
        <f>AVERAGE(E106:N106)</f>
        <v>180752.09267199997</v>
      </c>
    </row>
    <row r="108" spans="2:14" ht="14.25" x14ac:dyDescent="0.45">
      <c r="B108" s="193"/>
      <c r="C108" s="193"/>
      <c r="D108" s="19" t="s">
        <v>46</v>
      </c>
      <c r="E108" s="24">
        <f t="shared" ref="E108:N108" si="61">E98*E$15</f>
        <v>40000</v>
      </c>
      <c r="F108" s="24">
        <f t="shared" si="61"/>
        <v>93999.999999999985</v>
      </c>
      <c r="G108" s="24">
        <f>G98*G$15</f>
        <v>166000</v>
      </c>
      <c r="H108" s="24">
        <f>H98*H$15</f>
        <v>261040</v>
      </c>
      <c r="I108" s="24">
        <f>I98*I$15</f>
        <v>385456</v>
      </c>
      <c r="J108" s="24">
        <f t="shared" si="61"/>
        <v>547196.80000000005</v>
      </c>
      <c r="K108" s="24">
        <f t="shared" si="61"/>
        <v>756215.67999999993</v>
      </c>
      <c r="L108" s="24">
        <f t="shared" si="61"/>
        <v>1024954.2399999998</v>
      </c>
      <c r="M108" s="24">
        <f t="shared" si="61"/>
        <v>1368939.5967999997</v>
      </c>
      <c r="N108" s="24">
        <f t="shared" si="61"/>
        <v>1807520.9267199996</v>
      </c>
    </row>
    <row r="109" spans="2:14" ht="14.25" x14ac:dyDescent="0.45">
      <c r="B109" s="193" t="s">
        <v>18</v>
      </c>
      <c r="C109" s="192" t="s">
        <v>32</v>
      </c>
      <c r="D109" s="15" t="s">
        <v>43</v>
      </c>
      <c r="E109" s="16">
        <f>E66+E79+E94-E34-E50</f>
        <v>0.28541666666666665</v>
      </c>
      <c r="F109" s="16">
        <f t="shared" ref="F109:N109" si="62">F66+F79+F94-F34-F50</f>
        <v>0.25034722222222233</v>
      </c>
      <c r="G109" s="16">
        <f t="shared" si="62"/>
        <v>0.22112268518518507</v>
      </c>
      <c r="H109" s="16">
        <f t="shared" si="62"/>
        <v>0.19676890432098773</v>
      </c>
      <c r="I109" s="16">
        <f t="shared" si="62"/>
        <v>0.17647408693415634</v>
      </c>
      <c r="J109" s="16">
        <f t="shared" si="62"/>
        <v>0.15956173911179716</v>
      </c>
      <c r="K109" s="16">
        <f t="shared" si="62"/>
        <v>0.14546811592649742</v>
      </c>
      <c r="L109" s="16">
        <f t="shared" si="62"/>
        <v>0.13372342993874783</v>
      </c>
      <c r="M109" s="16">
        <f t="shared" si="62"/>
        <v>0.12393619161562308</v>
      </c>
      <c r="N109" s="16">
        <f t="shared" si="62"/>
        <v>0.11578015967968616</v>
      </c>
    </row>
    <row r="110" spans="2:14" ht="14.25" x14ac:dyDescent="0.45">
      <c r="B110" s="193"/>
      <c r="C110" s="192"/>
      <c r="D110" s="15" t="s">
        <v>44</v>
      </c>
      <c r="E110" s="16"/>
      <c r="F110" s="16"/>
      <c r="G110" s="16"/>
      <c r="H110" s="16"/>
      <c r="I110" s="38">
        <f>AVERAGE(E109:I109)</f>
        <v>0.2260259130658436</v>
      </c>
      <c r="J110" s="16"/>
      <c r="K110" s="16"/>
      <c r="L110" s="16"/>
      <c r="M110" s="16"/>
      <c r="N110" s="17">
        <f>AVERAGE(E109:N109)</f>
        <v>0.18085992016015695</v>
      </c>
    </row>
    <row r="111" spans="2:14" ht="14.25" x14ac:dyDescent="0.45">
      <c r="B111" s="193"/>
      <c r="C111" s="192"/>
      <c r="D111" s="15" t="s">
        <v>42</v>
      </c>
      <c r="E111" s="16">
        <f>E68+E81+E96-E36-E52</f>
        <v>0.28541666666666665</v>
      </c>
      <c r="F111" s="16">
        <f t="shared" ref="F111:N111" si="63">F68+F81+F96-F36-F52</f>
        <v>0.53576388888888904</v>
      </c>
      <c r="G111" s="16">
        <f t="shared" si="63"/>
        <v>0.75688657407407389</v>
      </c>
      <c r="H111" s="16">
        <f t="shared" si="63"/>
        <v>0.95365547839506171</v>
      </c>
      <c r="I111" s="16">
        <f t="shared" si="63"/>
        <v>1.130129565329218</v>
      </c>
      <c r="J111" s="16">
        <f t="shared" si="63"/>
        <v>1.2896913044410165</v>
      </c>
      <c r="K111" s="16">
        <f t="shared" si="63"/>
        <v>1.435159420367512</v>
      </c>
      <c r="L111" s="16">
        <f t="shared" si="63"/>
        <v>1.56888285030626</v>
      </c>
      <c r="M111" s="16">
        <f t="shared" si="63"/>
        <v>1.6928190419218812</v>
      </c>
      <c r="N111" s="16">
        <f t="shared" si="63"/>
        <v>1.8085992016015715</v>
      </c>
    </row>
    <row r="112" spans="2:14" ht="14.25" x14ac:dyDescent="0.45">
      <c r="B112" s="193"/>
      <c r="C112" s="193"/>
      <c r="D112" s="19" t="s">
        <v>45</v>
      </c>
      <c r="E112" s="20">
        <f>10*E109</f>
        <v>2.8541666666666665</v>
      </c>
      <c r="F112" s="20">
        <f t="shared" ref="F112:N112" si="64">10*F109</f>
        <v>2.5034722222222232</v>
      </c>
      <c r="G112" s="20">
        <f t="shared" si="64"/>
        <v>2.2112268518518507</v>
      </c>
      <c r="H112" s="20">
        <f t="shared" si="64"/>
        <v>1.9676890432098773</v>
      </c>
      <c r="I112" s="20">
        <f t="shared" si="64"/>
        <v>1.7647408693415634</v>
      </c>
      <c r="J112" s="20">
        <f t="shared" si="64"/>
        <v>1.5956173911179716</v>
      </c>
      <c r="K112" s="20">
        <f t="shared" si="64"/>
        <v>1.4546811592649742</v>
      </c>
      <c r="L112" s="20">
        <f t="shared" si="64"/>
        <v>1.3372342993874784</v>
      </c>
      <c r="M112" s="20">
        <f t="shared" si="64"/>
        <v>1.2393619161562308</v>
      </c>
      <c r="N112" s="20">
        <f t="shared" si="64"/>
        <v>1.1578015967968616</v>
      </c>
    </row>
    <row r="113" spans="1:16" ht="14.25" x14ac:dyDescent="0.45">
      <c r="B113" s="193"/>
      <c r="C113" s="193"/>
      <c r="D113" s="19" t="s">
        <v>46</v>
      </c>
      <c r="E113" s="20">
        <f>10*E111</f>
        <v>2.8541666666666665</v>
      </c>
      <c r="F113" s="20">
        <f>10*F111</f>
        <v>5.3576388888888902</v>
      </c>
      <c r="G113" s="20">
        <f>10*G111</f>
        <v>7.5688657407407387</v>
      </c>
      <c r="H113" s="20">
        <f t="shared" ref="H113:N113" si="65">10*H111</f>
        <v>9.5365547839506171</v>
      </c>
      <c r="I113" s="20">
        <f t="shared" si="65"/>
        <v>11.301295653292181</v>
      </c>
      <c r="J113" s="20">
        <f t="shared" si="65"/>
        <v>12.896913044410166</v>
      </c>
      <c r="K113" s="20">
        <f t="shared" si="65"/>
        <v>14.35159420367512</v>
      </c>
      <c r="L113" s="20">
        <f t="shared" si="65"/>
        <v>15.688828503062599</v>
      </c>
      <c r="M113" s="20">
        <f t="shared" si="65"/>
        <v>16.928190419218812</v>
      </c>
      <c r="N113" s="20">
        <f t="shared" si="65"/>
        <v>18.085992016015716</v>
      </c>
    </row>
    <row r="114" spans="1:16" ht="14.25" x14ac:dyDescent="0.45">
      <c r="B114" s="193"/>
      <c r="C114" s="191" t="s">
        <v>36</v>
      </c>
      <c r="D114" s="15" t="s">
        <v>43</v>
      </c>
      <c r="E114" s="16">
        <f>E71+E84+E99-E39-E55</f>
        <v>0.34250000000000003</v>
      </c>
      <c r="F114" s="16">
        <f t="shared" ref="F114:N114" si="66">F71+F84+F99-F39-F55</f>
        <v>0.36050000000000015</v>
      </c>
      <c r="G114" s="16">
        <f t="shared" si="66"/>
        <v>0.38209999999999988</v>
      </c>
      <c r="H114" s="16">
        <f t="shared" si="66"/>
        <v>0.40802000000000027</v>
      </c>
      <c r="I114" s="16">
        <f t="shared" si="66"/>
        <v>0.43912399999999996</v>
      </c>
      <c r="J114" s="16">
        <f t="shared" si="66"/>
        <v>0.47644880000000056</v>
      </c>
      <c r="K114" s="16">
        <f t="shared" si="66"/>
        <v>0.5212385599999998</v>
      </c>
      <c r="L114" s="16">
        <f t="shared" si="66"/>
        <v>0.57498627199999974</v>
      </c>
      <c r="M114" s="16">
        <f t="shared" si="66"/>
        <v>0.63948352639999906</v>
      </c>
      <c r="N114" s="16">
        <f t="shared" si="66"/>
        <v>0.71688023168000081</v>
      </c>
    </row>
    <row r="115" spans="1:16" ht="14.25" x14ac:dyDescent="0.45">
      <c r="B115" s="193"/>
      <c r="C115" s="192"/>
      <c r="D115" s="15" t="s">
        <v>44</v>
      </c>
      <c r="E115" s="16"/>
      <c r="F115" s="16"/>
      <c r="G115" s="16"/>
      <c r="H115" s="16"/>
      <c r="I115" s="17">
        <f>AVERAGE(E114:I114)</f>
        <v>0.38644880000000004</v>
      </c>
      <c r="J115" s="17"/>
      <c r="K115" s="17"/>
      <c r="L115" s="17"/>
      <c r="M115" s="17"/>
      <c r="N115" s="17">
        <f>AVERAGE(E114:N114)</f>
        <v>0.486128139008</v>
      </c>
    </row>
    <row r="116" spans="1:16" ht="14.25" x14ac:dyDescent="0.45">
      <c r="B116" s="193"/>
      <c r="C116" s="193"/>
      <c r="D116" s="19" t="s">
        <v>45</v>
      </c>
      <c r="E116" s="22">
        <f t="shared" ref="E116:N116" si="67">E112*E$15</f>
        <v>342500</v>
      </c>
      <c r="F116" s="22">
        <f t="shared" si="67"/>
        <v>360500.00000000012</v>
      </c>
      <c r="G116" s="22">
        <f>G112*G$15</f>
        <v>382099.99999999983</v>
      </c>
      <c r="H116" s="22">
        <f>H112*H$15</f>
        <v>408020.00000000017</v>
      </c>
      <c r="I116" s="22">
        <f>I112*I$15</f>
        <v>439123.99999999988</v>
      </c>
      <c r="J116" s="22">
        <f t="shared" si="67"/>
        <v>476448.80000000057</v>
      </c>
      <c r="K116" s="22">
        <f t="shared" si="67"/>
        <v>521238.55999999982</v>
      </c>
      <c r="L116" s="22">
        <f t="shared" si="67"/>
        <v>574986.27199999976</v>
      </c>
      <c r="M116" s="22">
        <f t="shared" si="67"/>
        <v>639483.52639999904</v>
      </c>
      <c r="N116" s="22">
        <f t="shared" si="67"/>
        <v>716880.23168000067</v>
      </c>
    </row>
    <row r="117" spans="1:16" ht="14.25" x14ac:dyDescent="0.45">
      <c r="B117" s="193"/>
      <c r="C117" s="193"/>
      <c r="D117" s="19" t="s">
        <v>47</v>
      </c>
      <c r="E117" s="21"/>
      <c r="F117" s="21"/>
      <c r="G117" s="21"/>
      <c r="H117" s="21"/>
      <c r="I117" s="22">
        <f>AVERAGE(E116:I116)</f>
        <v>386448.8</v>
      </c>
      <c r="J117" s="22"/>
      <c r="K117" s="22"/>
      <c r="L117" s="22"/>
      <c r="M117" s="22"/>
      <c r="N117" s="22">
        <f>AVERAGE(E116:N116)</f>
        <v>486128.13900799991</v>
      </c>
    </row>
    <row r="118" spans="1:16" ht="14.25" x14ac:dyDescent="0.45">
      <c r="B118" s="193"/>
      <c r="C118" s="193"/>
      <c r="D118" s="19" t="s">
        <v>46</v>
      </c>
      <c r="E118" s="21">
        <f>E116</f>
        <v>342500</v>
      </c>
      <c r="F118" s="21">
        <f t="shared" ref="F118:N118" si="68">E118+F116</f>
        <v>703000.00000000012</v>
      </c>
      <c r="G118" s="21">
        <f>F118+G116</f>
        <v>1085100</v>
      </c>
      <c r="H118" s="21">
        <f t="shared" si="68"/>
        <v>1493120.0000000002</v>
      </c>
      <c r="I118" s="21">
        <f t="shared" si="68"/>
        <v>1932244</v>
      </c>
      <c r="J118" s="21">
        <f>I118+J116</f>
        <v>2408692.8000000007</v>
      </c>
      <c r="K118" s="21">
        <f t="shared" si="68"/>
        <v>2929931.3600000003</v>
      </c>
      <c r="L118" s="21">
        <f t="shared" si="68"/>
        <v>3504917.6320000002</v>
      </c>
      <c r="M118" s="21">
        <f t="shared" si="68"/>
        <v>4144401.1583999991</v>
      </c>
      <c r="N118" s="21">
        <f t="shared" si="68"/>
        <v>4861281.3900799993</v>
      </c>
    </row>
    <row r="119" spans="1:16" ht="15" customHeight="1" x14ac:dyDescent="0.45">
      <c r="B119" s="193"/>
      <c r="C119" s="191" t="s">
        <v>35</v>
      </c>
      <c r="D119" s="15" t="s">
        <v>43</v>
      </c>
      <c r="E119" s="16">
        <f>E74+E89+E104-E42-E58</f>
        <v>0.34250000000000003</v>
      </c>
      <c r="F119" s="16">
        <f t="shared" ref="F119:N119" si="69">F74+F89+F104-F42-F58</f>
        <v>0.42900000000000021</v>
      </c>
      <c r="G119" s="16">
        <f t="shared" si="69"/>
        <v>0.53639999999999954</v>
      </c>
      <c r="H119" s="16">
        <f t="shared" si="69"/>
        <v>0.66960000000000064</v>
      </c>
      <c r="I119" s="16">
        <f t="shared" si="69"/>
        <v>0.83462399999999892</v>
      </c>
      <c r="J119" s="16">
        <f t="shared" si="69"/>
        <v>1.0388736000000054</v>
      </c>
      <c r="K119" s="16">
        <f t="shared" si="69"/>
        <v>1.2914380799999949</v>
      </c>
      <c r="L119" s="16">
        <f t="shared" si="69"/>
        <v>1.6034734079999979</v>
      </c>
      <c r="M119" s="16">
        <f t="shared" si="69"/>
        <v>1.9886653439999917</v>
      </c>
      <c r="N119" s="16">
        <f t="shared" si="69"/>
        <v>2.4637951180800206</v>
      </c>
    </row>
    <row r="120" spans="1:16" ht="15" customHeight="1" x14ac:dyDescent="0.45">
      <c r="B120" s="193"/>
      <c r="C120" s="192"/>
      <c r="D120" s="15" t="s">
        <v>44</v>
      </c>
      <c r="E120" s="17"/>
      <c r="F120" s="17"/>
      <c r="G120" s="17"/>
      <c r="H120" s="17"/>
      <c r="I120" s="17">
        <f>AVERAGE(E119:I119)</f>
        <v>0.56242479999999984</v>
      </c>
      <c r="J120" s="17"/>
      <c r="K120" s="17"/>
      <c r="L120" s="17"/>
      <c r="M120" s="17"/>
      <c r="N120" s="17">
        <f>AVERAGE(E119:N119)</f>
        <v>1.119836955008001</v>
      </c>
    </row>
    <row r="121" spans="1:16" ht="15" customHeight="1" x14ac:dyDescent="0.45">
      <c r="B121" s="193"/>
      <c r="C121" s="193"/>
      <c r="D121" s="19" t="s">
        <v>45</v>
      </c>
      <c r="E121" s="22">
        <f>E123</f>
        <v>342500</v>
      </c>
      <c r="F121" s="22">
        <f>F123-E123</f>
        <v>429000.00000000023</v>
      </c>
      <c r="G121" s="22">
        <f>G123-F123</f>
        <v>536399.9999999993</v>
      </c>
      <c r="H121" s="22">
        <f t="shared" ref="H121:N121" si="70">H123-G123</f>
        <v>669600.00000000047</v>
      </c>
      <c r="I121" s="22">
        <f t="shared" si="70"/>
        <v>834624</v>
      </c>
      <c r="J121" s="22">
        <f>J123-I123</f>
        <v>1038873.6000000047</v>
      </c>
      <c r="K121" s="22">
        <f t="shared" si="70"/>
        <v>1291438.0799999931</v>
      </c>
      <c r="L121" s="22">
        <f t="shared" si="70"/>
        <v>1603473.4079999998</v>
      </c>
      <c r="M121" s="22">
        <f t="shared" si="70"/>
        <v>1988665.3439999893</v>
      </c>
      <c r="N121" s="22">
        <f t="shared" si="70"/>
        <v>2463795.1180800237</v>
      </c>
    </row>
    <row r="122" spans="1:16" ht="15" customHeight="1" x14ac:dyDescent="0.45">
      <c r="A122" s="8"/>
      <c r="B122" s="193"/>
      <c r="C122" s="193"/>
      <c r="D122" s="19" t="s">
        <v>47</v>
      </c>
      <c r="E122" s="22"/>
      <c r="F122" s="22"/>
      <c r="G122" s="22"/>
      <c r="H122" s="22"/>
      <c r="I122" s="22">
        <f>AVERAGE(E121:I121)</f>
        <v>562424.80000000005</v>
      </c>
      <c r="J122" s="22"/>
      <c r="K122" s="22"/>
      <c r="L122" s="22"/>
      <c r="M122" s="22"/>
      <c r="N122" s="22">
        <f>AVERAGE(E121:N121)</f>
        <v>1119836.9550080011</v>
      </c>
      <c r="O122" s="8"/>
      <c r="P122" s="8"/>
    </row>
    <row r="123" spans="1:16" ht="15" customHeight="1" x14ac:dyDescent="0.45">
      <c r="B123" s="193"/>
      <c r="C123" s="193"/>
      <c r="D123" s="19" t="s">
        <v>46</v>
      </c>
      <c r="E123" s="21">
        <f t="shared" ref="E123:N123" si="71">E113*E$15</f>
        <v>342500</v>
      </c>
      <c r="F123" s="21">
        <f t="shared" si="71"/>
        <v>771500.00000000023</v>
      </c>
      <c r="G123" s="21">
        <f>G113*G$15</f>
        <v>1307899.9999999995</v>
      </c>
      <c r="H123" s="21">
        <f>H113*H$15</f>
        <v>1977500</v>
      </c>
      <c r="I123" s="21">
        <f>I113*I$15</f>
        <v>2812124</v>
      </c>
      <c r="J123" s="21">
        <f t="shared" si="71"/>
        <v>3850997.6000000047</v>
      </c>
      <c r="K123" s="21">
        <f t="shared" si="71"/>
        <v>5142435.6799999978</v>
      </c>
      <c r="L123" s="21">
        <f t="shared" si="71"/>
        <v>6745909.0879999977</v>
      </c>
      <c r="M123" s="21">
        <f t="shared" si="71"/>
        <v>8734574.431999987</v>
      </c>
      <c r="N123" s="21">
        <f t="shared" si="71"/>
        <v>11198369.550080011</v>
      </c>
    </row>
    <row r="124" spans="1:16" ht="15" customHeight="1" x14ac:dyDescent="0.45">
      <c r="B124" s="1"/>
      <c r="C124" s="1"/>
      <c r="D124" s="40"/>
      <c r="E124" s="10"/>
      <c r="F124" s="10"/>
      <c r="G124" s="10"/>
      <c r="H124" s="10"/>
      <c r="I124" s="10"/>
      <c r="J124" s="10"/>
      <c r="K124" s="10"/>
      <c r="L124" s="10"/>
      <c r="M124" s="10"/>
      <c r="N124" s="10"/>
    </row>
    <row r="125" spans="1:16" ht="15" customHeight="1" x14ac:dyDescent="0.45">
      <c r="B125" s="176" t="s">
        <v>116</v>
      </c>
      <c r="C125" s="178" t="s">
        <v>55</v>
      </c>
      <c r="D125" s="178" t="s">
        <v>54</v>
      </c>
      <c r="E125" s="174" t="s">
        <v>3</v>
      </c>
      <c r="F125" s="174" t="s">
        <v>4</v>
      </c>
      <c r="G125" s="174" t="s">
        <v>5</v>
      </c>
      <c r="H125" s="174" t="s">
        <v>6</v>
      </c>
      <c r="I125" s="174" t="s">
        <v>7</v>
      </c>
      <c r="J125" s="174" t="s">
        <v>8</v>
      </c>
      <c r="K125" s="174" t="s">
        <v>9</v>
      </c>
      <c r="L125" s="174" t="s">
        <v>10</v>
      </c>
      <c r="M125" s="174" t="s">
        <v>11</v>
      </c>
      <c r="N125" s="174" t="s">
        <v>12</v>
      </c>
    </row>
    <row r="126" spans="1:16" ht="15" customHeight="1" x14ac:dyDescent="0.45">
      <c r="B126" s="177"/>
      <c r="C126" s="179"/>
      <c r="D126" s="179"/>
      <c r="E126" s="175"/>
      <c r="F126" s="175"/>
      <c r="G126" s="175"/>
      <c r="H126" s="175"/>
      <c r="I126" s="175"/>
      <c r="J126" s="175"/>
      <c r="K126" s="175"/>
      <c r="L126" s="175"/>
      <c r="M126" s="175"/>
      <c r="N126" s="175"/>
    </row>
    <row r="127" spans="1:16" ht="15" customHeight="1" x14ac:dyDescent="0.45">
      <c r="B127" s="184" t="s">
        <v>137</v>
      </c>
      <c r="C127" s="182">
        <v>20000</v>
      </c>
      <c r="D127" s="44" t="s">
        <v>19</v>
      </c>
      <c r="E127" s="27">
        <f t="shared" ref="E127:N127" si="72">E$53/10*$C127/(2+$E$11)</f>
        <v>773.80952380952374</v>
      </c>
      <c r="F127" s="27">
        <f t="shared" si="72"/>
        <v>644.84126984126976</v>
      </c>
      <c r="G127" s="27">
        <f t="shared" si="72"/>
        <v>537.36772486772486</v>
      </c>
      <c r="H127" s="27">
        <f t="shared" si="72"/>
        <v>447.80643738977068</v>
      </c>
      <c r="I127" s="27">
        <f t="shared" si="72"/>
        <v>373.1720311581422</v>
      </c>
      <c r="J127" s="27">
        <f t="shared" si="72"/>
        <v>310.97669263178517</v>
      </c>
      <c r="K127" s="27">
        <f t="shared" si="72"/>
        <v>259.147243859821</v>
      </c>
      <c r="L127" s="27">
        <f t="shared" si="72"/>
        <v>215.95603654985081</v>
      </c>
      <c r="M127" s="27">
        <f t="shared" si="72"/>
        <v>179.96336379154238</v>
      </c>
      <c r="N127" s="27">
        <f t="shared" si="72"/>
        <v>149.96946982628535</v>
      </c>
    </row>
    <row r="128" spans="1:16" ht="15" customHeight="1" x14ac:dyDescent="0.45">
      <c r="B128" s="185"/>
      <c r="C128" s="182"/>
      <c r="D128" s="19" t="s">
        <v>22</v>
      </c>
      <c r="E128" s="27"/>
      <c r="F128" s="27"/>
      <c r="G128" s="27"/>
      <c r="H128" s="27"/>
      <c r="I128" s="28">
        <f>AVERAGE(E127:I127)</f>
        <v>555.39939741328612</v>
      </c>
      <c r="J128" s="27"/>
      <c r="K128" s="27"/>
      <c r="L128" s="27"/>
      <c r="M128" s="27"/>
      <c r="N128" s="27">
        <f>AVERAGE(E127:N127)</f>
        <v>389.30097937257153</v>
      </c>
    </row>
    <row r="129" spans="2:14" ht="15" customHeight="1" x14ac:dyDescent="0.45">
      <c r="B129" s="185"/>
      <c r="C129" s="182"/>
      <c r="D129" s="19" t="s">
        <v>41</v>
      </c>
      <c r="E129" s="27">
        <f t="shared" ref="E129:N129" si="73">E$54/10*$C127/(2+$E$11)</f>
        <v>773.80952380952374</v>
      </c>
      <c r="F129" s="27">
        <f t="shared" si="73"/>
        <v>1418.650793650793</v>
      </c>
      <c r="G129" s="27">
        <f t="shared" si="73"/>
        <v>1956.0185185185189</v>
      </c>
      <c r="H129" s="27">
        <f t="shared" si="73"/>
        <v>2403.8249559082878</v>
      </c>
      <c r="I129" s="28">
        <f t="shared" si="73"/>
        <v>2776.9969870664322</v>
      </c>
      <c r="J129" s="27">
        <f t="shared" si="73"/>
        <v>3087.9736796982133</v>
      </c>
      <c r="K129" s="27">
        <f t="shared" si="73"/>
        <v>3347.1209235580395</v>
      </c>
      <c r="L129" s="27">
        <f t="shared" si="73"/>
        <v>3563.07696010789</v>
      </c>
      <c r="M129" s="27">
        <f t="shared" si="73"/>
        <v>3743.0403238994381</v>
      </c>
      <c r="N129" s="27">
        <f t="shared" si="73"/>
        <v>3893.0097937257101</v>
      </c>
    </row>
    <row r="130" spans="2:14" ht="15" customHeight="1" x14ac:dyDescent="0.45">
      <c r="B130" s="185"/>
      <c r="C130" s="182">
        <v>400000</v>
      </c>
      <c r="D130" s="44" t="s">
        <v>19</v>
      </c>
      <c r="E130" s="27">
        <f t="shared" ref="E130:N130" si="74">E$53/10*$C130/(2+$E$11)</f>
        <v>15476.190476190475</v>
      </c>
      <c r="F130" s="27">
        <f t="shared" si="74"/>
        <v>12896.825396825396</v>
      </c>
      <c r="G130" s="27">
        <f t="shared" si="74"/>
        <v>10747.354497354496</v>
      </c>
      <c r="H130" s="27">
        <f t="shared" si="74"/>
        <v>8956.1287477954138</v>
      </c>
      <c r="I130" s="27">
        <f t="shared" si="74"/>
        <v>7463.4406231628445</v>
      </c>
      <c r="J130" s="27">
        <f t="shared" si="74"/>
        <v>6219.5338526357027</v>
      </c>
      <c r="K130" s="27">
        <f t="shared" si="74"/>
        <v>5182.9448771964207</v>
      </c>
      <c r="L130" s="27">
        <f t="shared" si="74"/>
        <v>4319.1207309970168</v>
      </c>
      <c r="M130" s="27">
        <f t="shared" si="74"/>
        <v>3599.2672758308477</v>
      </c>
      <c r="N130" s="27">
        <f t="shared" si="74"/>
        <v>2999.3893965257071</v>
      </c>
    </row>
    <row r="131" spans="2:14" ht="15" customHeight="1" x14ac:dyDescent="0.45">
      <c r="B131" s="185"/>
      <c r="C131" s="182"/>
      <c r="D131" s="19" t="s">
        <v>22</v>
      </c>
      <c r="E131" s="27"/>
      <c r="F131" s="27"/>
      <c r="G131" s="27"/>
      <c r="H131" s="27"/>
      <c r="I131" s="28">
        <f>AVERAGE(E130:I130)</f>
        <v>11107.987948265725</v>
      </c>
      <c r="J131" s="27"/>
      <c r="K131" s="27"/>
      <c r="L131" s="27"/>
      <c r="M131" s="27"/>
      <c r="N131" s="27">
        <f>AVERAGE(E130:N130)</f>
        <v>7786.019587451432</v>
      </c>
    </row>
    <row r="132" spans="2:14" ht="15" customHeight="1" x14ac:dyDescent="0.45">
      <c r="B132" s="185"/>
      <c r="C132" s="182"/>
      <c r="D132" s="19" t="s">
        <v>41</v>
      </c>
      <c r="E132" s="27">
        <f t="shared" ref="E132:N132" si="75">E$54/10*$C130/(2+$E$11)</f>
        <v>15476.190476190475</v>
      </c>
      <c r="F132" s="27">
        <f t="shared" si="75"/>
        <v>28373.015873015862</v>
      </c>
      <c r="G132" s="27">
        <f t="shared" si="75"/>
        <v>39120.37037037038</v>
      </c>
      <c r="H132" s="27">
        <f t="shared" si="75"/>
        <v>48076.499118165761</v>
      </c>
      <c r="I132" s="28">
        <f t="shared" si="75"/>
        <v>55539.939741328642</v>
      </c>
      <c r="J132" s="27">
        <f t="shared" si="75"/>
        <v>61759.473593964256</v>
      </c>
      <c r="K132" s="27">
        <f t="shared" si="75"/>
        <v>66942.418471160796</v>
      </c>
      <c r="L132" s="27">
        <f t="shared" si="75"/>
        <v>71261.539202157801</v>
      </c>
      <c r="M132" s="27">
        <f t="shared" si="75"/>
        <v>74860.806477988765</v>
      </c>
      <c r="N132" s="27">
        <f t="shared" si="75"/>
        <v>77860.195874514204</v>
      </c>
    </row>
    <row r="133" spans="2:14" ht="15" customHeight="1" x14ac:dyDescent="0.45">
      <c r="B133" s="185"/>
      <c r="C133" s="183">
        <v>1000000</v>
      </c>
      <c r="D133" s="15" t="s">
        <v>19</v>
      </c>
      <c r="E133" s="29">
        <f t="shared" ref="E133:N133" si="76">E$53/10*$C133/(2+$E$11)</f>
        <v>38690.476190476191</v>
      </c>
      <c r="F133" s="29">
        <f t="shared" si="76"/>
        <v>32242.063492063488</v>
      </c>
      <c r="G133" s="29">
        <f t="shared" si="76"/>
        <v>26868.386243386241</v>
      </c>
      <c r="H133" s="29">
        <f t="shared" si="76"/>
        <v>22390.321869488536</v>
      </c>
      <c r="I133" s="29">
        <f t="shared" si="76"/>
        <v>18658.60155790711</v>
      </c>
      <c r="J133" s="29">
        <f t="shared" si="76"/>
        <v>15548.834631589256</v>
      </c>
      <c r="K133" s="29">
        <f t="shared" si="76"/>
        <v>12957.36219299105</v>
      </c>
      <c r="L133" s="29">
        <f t="shared" si="76"/>
        <v>10797.80182749254</v>
      </c>
      <c r="M133" s="29">
        <f t="shared" si="76"/>
        <v>8998.1681895771198</v>
      </c>
      <c r="N133" s="29">
        <f t="shared" si="76"/>
        <v>7498.4734913142665</v>
      </c>
    </row>
    <row r="134" spans="2:14" ht="15" customHeight="1" x14ac:dyDescent="0.45">
      <c r="B134" s="185"/>
      <c r="C134" s="183"/>
      <c r="D134" s="15" t="s">
        <v>22</v>
      </c>
      <c r="E134" s="29"/>
      <c r="F134" s="29"/>
      <c r="G134" s="29"/>
      <c r="H134" s="29"/>
      <c r="I134" s="30">
        <f>AVERAGE(E133:I133)</f>
        <v>27769.969870664307</v>
      </c>
      <c r="J134" s="29"/>
      <c r="K134" s="29"/>
      <c r="L134" s="29"/>
      <c r="M134" s="29"/>
      <c r="N134" s="29">
        <f>AVERAGE(E133:N133)</f>
        <v>19465.048968628576</v>
      </c>
    </row>
    <row r="135" spans="2:14" ht="15" customHeight="1" x14ac:dyDescent="0.45">
      <c r="B135" s="186"/>
      <c r="C135" s="183"/>
      <c r="D135" s="15" t="s">
        <v>41</v>
      </c>
      <c r="E135" s="29">
        <f t="shared" ref="E135:N135" si="77">E$54/10*$C133/(2+$E$11)</f>
        <v>38690.476190476191</v>
      </c>
      <c r="F135" s="29">
        <f t="shared" si="77"/>
        <v>70932.53968253966</v>
      </c>
      <c r="G135" s="29">
        <f t="shared" si="77"/>
        <v>97800.925925925942</v>
      </c>
      <c r="H135" s="29">
        <f t="shared" si="77"/>
        <v>120191.24779541441</v>
      </c>
      <c r="I135" s="30">
        <f t="shared" si="77"/>
        <v>138849.84935332162</v>
      </c>
      <c r="J135" s="29">
        <f t="shared" si="77"/>
        <v>154398.68398491063</v>
      </c>
      <c r="K135" s="29">
        <f t="shared" si="77"/>
        <v>167356.04617790197</v>
      </c>
      <c r="L135" s="29">
        <f t="shared" si="77"/>
        <v>178153.84800539451</v>
      </c>
      <c r="M135" s="29">
        <f t="shared" si="77"/>
        <v>187152.01619497192</v>
      </c>
      <c r="N135" s="29">
        <f t="shared" si="77"/>
        <v>194650.48968628552</v>
      </c>
    </row>
    <row r="136" spans="2:14" ht="15" customHeight="1" x14ac:dyDescent="0.45">
      <c r="B136" s="3"/>
      <c r="C136" s="1"/>
      <c r="D136" s="40"/>
      <c r="E136" s="10"/>
      <c r="F136" s="10"/>
      <c r="G136" s="10"/>
      <c r="H136" s="10"/>
      <c r="I136" s="10"/>
      <c r="J136" s="10"/>
      <c r="K136" s="10"/>
      <c r="L136" s="10"/>
      <c r="M136" s="10"/>
      <c r="N136" s="10"/>
    </row>
  </sheetData>
  <mergeCells count="105">
    <mergeCell ref="B13:B14"/>
    <mergeCell ref="C13:C14"/>
    <mergeCell ref="D13:D14"/>
    <mergeCell ref="E13:E14"/>
    <mergeCell ref="F13:F14"/>
    <mergeCell ref="G13:G14"/>
    <mergeCell ref="H13:H14"/>
    <mergeCell ref="I13:I14"/>
    <mergeCell ref="J13:J14"/>
    <mergeCell ref="K13:K14"/>
    <mergeCell ref="L13:L14"/>
    <mergeCell ref="M13:M14"/>
    <mergeCell ref="N13:N14"/>
    <mergeCell ref="B64:B65"/>
    <mergeCell ref="C64:C65"/>
    <mergeCell ref="D64:D65"/>
    <mergeCell ref="E64:E65"/>
    <mergeCell ref="F64:F65"/>
    <mergeCell ref="G32:G33"/>
    <mergeCell ref="H32:H33"/>
    <mergeCell ref="I32:I33"/>
    <mergeCell ref="J32:J33"/>
    <mergeCell ref="K32:K33"/>
    <mergeCell ref="L32:L33"/>
    <mergeCell ref="M32:M33"/>
    <mergeCell ref="N32:N33"/>
    <mergeCell ref="B34:B46"/>
    <mergeCell ref="C34:C38"/>
    <mergeCell ref="C39:C41"/>
    <mergeCell ref="C42:C46"/>
    <mergeCell ref="B48:B49"/>
    <mergeCell ref="C48:C49"/>
    <mergeCell ref="D48:D49"/>
    <mergeCell ref="D2:E3"/>
    <mergeCell ref="G2:I3"/>
    <mergeCell ref="K2:N2"/>
    <mergeCell ref="B2:C11"/>
    <mergeCell ref="B94:B108"/>
    <mergeCell ref="C94:C98"/>
    <mergeCell ref="C99:C103"/>
    <mergeCell ref="C104:C108"/>
    <mergeCell ref="B109:B123"/>
    <mergeCell ref="C109:C113"/>
    <mergeCell ref="C114:C118"/>
    <mergeCell ref="B15:B16"/>
    <mergeCell ref="C15:C16"/>
    <mergeCell ref="B25:B27"/>
    <mergeCell ref="C25:C27"/>
    <mergeCell ref="B17:B24"/>
    <mergeCell ref="C17:C24"/>
    <mergeCell ref="B28:B30"/>
    <mergeCell ref="C28:C30"/>
    <mergeCell ref="B32:B33"/>
    <mergeCell ref="C32:C33"/>
    <mergeCell ref="D32:D33"/>
    <mergeCell ref="E32:E33"/>
    <mergeCell ref="F32:F33"/>
    <mergeCell ref="N48:N49"/>
    <mergeCell ref="B50:B62"/>
    <mergeCell ref="C50:C54"/>
    <mergeCell ref="C55:C57"/>
    <mergeCell ref="C58:C62"/>
    <mergeCell ref="G64:G65"/>
    <mergeCell ref="H64:H65"/>
    <mergeCell ref="I64:I65"/>
    <mergeCell ref="J64:J65"/>
    <mergeCell ref="K64:K65"/>
    <mergeCell ref="L64:L65"/>
    <mergeCell ref="M64:M65"/>
    <mergeCell ref="N64:N65"/>
    <mergeCell ref="E48:E49"/>
    <mergeCell ref="F48:F49"/>
    <mergeCell ref="G48:G49"/>
    <mergeCell ref="H48:H49"/>
    <mergeCell ref="I48:I49"/>
    <mergeCell ref="J48:J49"/>
    <mergeCell ref="K48:K49"/>
    <mergeCell ref="L48:L49"/>
    <mergeCell ref="M48:M49"/>
    <mergeCell ref="B66:B78"/>
    <mergeCell ref="C66:C70"/>
    <mergeCell ref="C71:C73"/>
    <mergeCell ref="C74:C78"/>
    <mergeCell ref="B79:B93"/>
    <mergeCell ref="C79:C83"/>
    <mergeCell ref="C84:C88"/>
    <mergeCell ref="C89:C93"/>
    <mergeCell ref="C119:C123"/>
    <mergeCell ref="K125:K126"/>
    <mergeCell ref="L125:L126"/>
    <mergeCell ref="M125:M126"/>
    <mergeCell ref="N125:N126"/>
    <mergeCell ref="B127:B135"/>
    <mergeCell ref="C127:C129"/>
    <mergeCell ref="C130:C132"/>
    <mergeCell ref="C133:C135"/>
    <mergeCell ref="B125:B126"/>
    <mergeCell ref="C125:C126"/>
    <mergeCell ref="D125:D126"/>
    <mergeCell ref="E125:E126"/>
    <mergeCell ref="F125:F126"/>
    <mergeCell ref="G125:G126"/>
    <mergeCell ref="H125:H126"/>
    <mergeCell ref="I125:I126"/>
    <mergeCell ref="J125:J126"/>
  </mergeCells>
  <pageMargins left="0.7" right="0.7" top="0.75" bottom="0.75" header="0.3" footer="0.3"/>
  <pageSetup orientation="portrait" r:id="rId1"/>
  <headerFooter>
    <oddHeader>&amp;R&amp;"Aptos"&amp;12&amp;K000000 Unclassified / Non classifié&amp;1#_x000D_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C6C95-BD2C-46B0-9F63-C640E0EC34D7}">
  <dimension ref="A1:O136"/>
  <sheetViews>
    <sheetView topLeftCell="A13" zoomScaleNormal="100" workbookViewId="0">
      <selection activeCell="E50" sqref="E5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10.398437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5" width="1.73046875" style="4" customWidth="1"/>
    <col min="16" max="16384" width="9" style="2"/>
  </cols>
  <sheetData>
    <row r="1" spans="1:15" ht="15" customHeight="1" x14ac:dyDescent="0.45">
      <c r="A1" s="8"/>
      <c r="B1" s="8"/>
      <c r="C1" s="8"/>
      <c r="D1" s="8"/>
      <c r="E1" s="8"/>
      <c r="F1" s="8"/>
      <c r="G1" s="8"/>
      <c r="H1" s="8"/>
      <c r="I1" s="8"/>
      <c r="J1" s="8"/>
      <c r="K1" s="61"/>
      <c r="L1" s="61"/>
      <c r="M1" s="61"/>
      <c r="N1" s="61"/>
      <c r="O1" s="8"/>
    </row>
    <row r="2" spans="1:15" ht="58.5" customHeight="1" x14ac:dyDescent="0.45">
      <c r="A2" s="8"/>
      <c r="B2" s="205" t="s">
        <v>110</v>
      </c>
      <c r="C2" s="206"/>
      <c r="D2" s="211" t="s">
        <v>135</v>
      </c>
      <c r="E2" s="212"/>
      <c r="F2" s="8"/>
      <c r="G2" s="214" t="s">
        <v>121</v>
      </c>
      <c r="H2" s="211"/>
      <c r="I2" s="211"/>
      <c r="J2" s="4"/>
      <c r="K2" s="217" t="s">
        <v>113</v>
      </c>
      <c r="L2" s="217"/>
      <c r="M2" s="217"/>
      <c r="N2" s="217"/>
      <c r="O2" s="8"/>
    </row>
    <row r="3" spans="1:15" ht="14.25" x14ac:dyDescent="0.45">
      <c r="A3" s="8"/>
      <c r="B3" s="207"/>
      <c r="C3" s="208"/>
      <c r="D3" s="210"/>
      <c r="E3" s="213"/>
      <c r="F3" s="8"/>
      <c r="G3" s="215"/>
      <c r="H3" s="216"/>
      <c r="I3" s="216"/>
      <c r="J3" s="4"/>
      <c r="K3" s="62" t="s">
        <v>53</v>
      </c>
      <c r="L3" s="62" t="s">
        <v>51</v>
      </c>
      <c r="M3" s="62" t="s">
        <v>32</v>
      </c>
      <c r="N3" s="62" t="s">
        <v>33</v>
      </c>
      <c r="O3" s="8"/>
    </row>
    <row r="4" spans="1:15" ht="14.25" customHeight="1" x14ac:dyDescent="0.45">
      <c r="A4" s="9"/>
      <c r="B4" s="207"/>
      <c r="C4" s="208"/>
      <c r="D4" s="32" t="s">
        <v>2</v>
      </c>
      <c r="E4" s="33">
        <v>100000</v>
      </c>
      <c r="F4" s="9"/>
      <c r="G4" s="74" t="s">
        <v>34</v>
      </c>
      <c r="H4" s="73" t="s">
        <v>39</v>
      </c>
      <c r="I4" s="41">
        <f>I43</f>
        <v>0.17115680000000005</v>
      </c>
      <c r="J4" s="9"/>
      <c r="K4" s="66">
        <f>C127</f>
        <v>20000</v>
      </c>
      <c r="L4" s="67" t="s">
        <v>40</v>
      </c>
      <c r="M4" s="42">
        <f>I128</f>
        <v>598.12242798353907</v>
      </c>
      <c r="N4" s="63">
        <f t="shared" ref="N4:N9" si="0">M4*$I$15</f>
        <v>148832000</v>
      </c>
      <c r="O4" s="9"/>
    </row>
    <row r="5" spans="1:15" ht="14.25" customHeight="1" x14ac:dyDescent="0.45">
      <c r="A5" s="37"/>
      <c r="B5" s="207"/>
      <c r="C5" s="208"/>
      <c r="D5" s="18" t="s">
        <v>123</v>
      </c>
      <c r="E5" s="35">
        <f>SUMMARY!H5</f>
        <v>0.2</v>
      </c>
      <c r="F5" s="37"/>
      <c r="G5" s="45" t="s">
        <v>37</v>
      </c>
      <c r="H5" s="64" t="s">
        <v>39</v>
      </c>
      <c r="I5" s="79">
        <f>I67</f>
        <v>0.3588734567901235</v>
      </c>
      <c r="J5" s="37"/>
      <c r="K5" s="66">
        <f>C127</f>
        <v>20000</v>
      </c>
      <c r="L5" s="65" t="s">
        <v>41</v>
      </c>
      <c r="M5" s="42">
        <f>I129</f>
        <v>2990.6121399176964</v>
      </c>
      <c r="N5" s="63">
        <f t="shared" si="0"/>
        <v>744160000.00000024</v>
      </c>
      <c r="O5" s="37"/>
    </row>
    <row r="6" spans="1:15" ht="14.25" customHeight="1" x14ac:dyDescent="0.45">
      <c r="A6" s="37"/>
      <c r="B6" s="207"/>
      <c r="C6" s="208"/>
      <c r="D6" s="18" t="s">
        <v>136</v>
      </c>
      <c r="E6" s="34">
        <f>SUMMARY!L5</f>
        <v>0.02</v>
      </c>
      <c r="F6" s="37"/>
      <c r="G6" s="45" t="s">
        <v>120</v>
      </c>
      <c r="H6" s="64" t="s">
        <v>39</v>
      </c>
      <c r="I6" s="79">
        <f>I80</f>
        <v>7.196244855967078E-2</v>
      </c>
      <c r="J6" s="37"/>
      <c r="K6" s="66">
        <f>C130</f>
        <v>400000</v>
      </c>
      <c r="L6" s="67" t="s">
        <v>40</v>
      </c>
      <c r="M6" s="42">
        <f>I131</f>
        <v>11962.448559670782</v>
      </c>
      <c r="N6" s="63">
        <f t="shared" si="0"/>
        <v>2976640000</v>
      </c>
      <c r="O6" s="37"/>
    </row>
    <row r="7" spans="1:15" ht="14.25" customHeight="1" x14ac:dyDescent="0.45">
      <c r="A7" s="37"/>
      <c r="B7" s="207"/>
      <c r="C7" s="208"/>
      <c r="D7" s="18" t="s">
        <v>122</v>
      </c>
      <c r="E7" s="34">
        <f>SUMMARY!P5</f>
        <v>0.01</v>
      </c>
      <c r="F7" s="37"/>
      <c r="G7" s="45" t="s">
        <v>57</v>
      </c>
      <c r="H7" s="64" t="s">
        <v>39</v>
      </c>
      <c r="I7" s="79">
        <f>I95</f>
        <v>3.598122427983539E-2</v>
      </c>
      <c r="J7" s="37"/>
      <c r="K7" s="66">
        <f>C130</f>
        <v>400000</v>
      </c>
      <c r="L7" s="65" t="s">
        <v>41</v>
      </c>
      <c r="M7" s="42">
        <f>I132</f>
        <v>59812.242798353931</v>
      </c>
      <c r="N7" s="63">
        <f t="shared" si="0"/>
        <v>14883200000.000006</v>
      </c>
      <c r="O7" s="37"/>
    </row>
    <row r="8" spans="1:15" ht="14.25" customHeight="1" x14ac:dyDescent="0.45">
      <c r="A8" s="9"/>
      <c r="B8" s="207"/>
      <c r="C8" s="208"/>
      <c r="D8" s="32" t="s">
        <v>130</v>
      </c>
      <c r="E8" s="36">
        <f>SUMMARY!H8</f>
        <v>0.115</v>
      </c>
      <c r="F8" s="9"/>
      <c r="G8" s="45" t="s">
        <v>118</v>
      </c>
      <c r="H8" s="64" t="s">
        <v>39</v>
      </c>
      <c r="I8" s="79">
        <f>-I35</f>
        <v>-6.8784079218107003E-2</v>
      </c>
      <c r="J8" s="9"/>
      <c r="K8" s="75">
        <f>C133</f>
        <v>1000000</v>
      </c>
      <c r="L8" s="76" t="s">
        <v>40</v>
      </c>
      <c r="M8" s="42">
        <f>I134</f>
        <v>29906.121399176955</v>
      </c>
      <c r="N8" s="63">
        <f t="shared" si="0"/>
        <v>7441600000</v>
      </c>
      <c r="O8" s="9"/>
    </row>
    <row r="9" spans="1:15" ht="14.25" customHeight="1" x14ac:dyDescent="0.45">
      <c r="A9" s="9"/>
      <c r="B9" s="207"/>
      <c r="C9" s="208"/>
      <c r="D9" s="32" t="s">
        <v>131</v>
      </c>
      <c r="E9" s="36">
        <f>SUMMARY!P8</f>
        <v>0.05</v>
      </c>
      <c r="F9" s="9"/>
      <c r="G9" s="45" t="s">
        <v>117</v>
      </c>
      <c r="H9" s="64" t="s">
        <v>39</v>
      </c>
      <c r="I9" s="79">
        <f>-I51</f>
        <v>-0.11962448559670782</v>
      </c>
      <c r="J9" s="9"/>
      <c r="K9" s="75">
        <f>C133</f>
        <v>1000000</v>
      </c>
      <c r="L9" s="77" t="s">
        <v>41</v>
      </c>
      <c r="M9" s="42">
        <f>I135</f>
        <v>149530.60699588482</v>
      </c>
      <c r="N9" s="63">
        <f t="shared" si="0"/>
        <v>37208000000.000015</v>
      </c>
      <c r="O9" s="9"/>
    </row>
    <row r="10" spans="1:15" ht="14.25" customHeight="1" x14ac:dyDescent="0.45">
      <c r="A10" s="9"/>
      <c r="B10" s="207"/>
      <c r="C10" s="208"/>
      <c r="D10" s="32" t="s">
        <v>132</v>
      </c>
      <c r="E10" s="36">
        <f>SUMMARY!L8</f>
        <v>7.4999999999999997E-2</v>
      </c>
      <c r="F10" s="9"/>
      <c r="G10" s="72" t="s">
        <v>38</v>
      </c>
      <c r="H10" s="73" t="s">
        <v>39</v>
      </c>
      <c r="I10" s="41">
        <f>I110</f>
        <v>0.2784085648148148</v>
      </c>
      <c r="J10" s="8"/>
      <c r="K10" s="10"/>
      <c r="L10" s="10"/>
      <c r="M10" s="3"/>
      <c r="N10" s="8"/>
      <c r="O10" s="9"/>
    </row>
    <row r="11" spans="1:15" ht="15" customHeight="1" x14ac:dyDescent="0.45">
      <c r="A11" s="9"/>
      <c r="B11" s="207"/>
      <c r="C11" s="208"/>
      <c r="D11" s="32" t="s">
        <v>133</v>
      </c>
      <c r="E11" s="36">
        <f>SUMMARY!N12</f>
        <v>2</v>
      </c>
      <c r="F11" s="3"/>
      <c r="G11" s="10"/>
      <c r="H11" s="10"/>
      <c r="I11" s="3"/>
      <c r="J11" s="8"/>
      <c r="K11" s="8"/>
      <c r="L11" s="8"/>
      <c r="M11" s="8"/>
      <c r="N11" s="8"/>
      <c r="O11" s="9"/>
    </row>
    <row r="12" spans="1:15" ht="14.25" x14ac:dyDescent="0.45">
      <c r="A12" s="8"/>
      <c r="B12" s="10"/>
      <c r="C12" s="8"/>
      <c r="D12" s="10"/>
      <c r="E12" s="3"/>
      <c r="F12" s="3"/>
      <c r="G12" s="10"/>
      <c r="H12" s="10"/>
      <c r="I12" s="3"/>
      <c r="J12" s="8"/>
      <c r="K12" s="8"/>
      <c r="L12" s="8"/>
      <c r="M12" s="8"/>
      <c r="N12" s="8"/>
      <c r="O12" s="8"/>
    </row>
    <row r="13" spans="1:15" ht="14.25" x14ac:dyDescent="0.45">
      <c r="B13" s="209" t="s">
        <v>52</v>
      </c>
      <c r="C13" s="209" t="s">
        <v>50</v>
      </c>
      <c r="D13" s="209" t="s">
        <v>51</v>
      </c>
      <c r="E13" s="174" t="s">
        <v>3</v>
      </c>
      <c r="F13" s="174" t="s">
        <v>4</v>
      </c>
      <c r="G13" s="174" t="s">
        <v>5</v>
      </c>
      <c r="H13" s="174" t="s">
        <v>6</v>
      </c>
      <c r="I13" s="174" t="s">
        <v>7</v>
      </c>
      <c r="J13" s="174" t="s">
        <v>8</v>
      </c>
      <c r="K13" s="174" t="s">
        <v>9</v>
      </c>
      <c r="L13" s="174" t="s">
        <v>10</v>
      </c>
      <c r="M13" s="174" t="s">
        <v>11</v>
      </c>
      <c r="N13" s="174" t="s">
        <v>12</v>
      </c>
    </row>
    <row r="14" spans="1:15" ht="14.25" x14ac:dyDescent="0.45">
      <c r="B14" s="210"/>
      <c r="C14" s="210"/>
      <c r="D14" s="210"/>
      <c r="E14" s="175"/>
      <c r="F14" s="175"/>
      <c r="G14" s="175"/>
      <c r="H14" s="175"/>
      <c r="I14" s="175"/>
      <c r="J14" s="175"/>
      <c r="K14" s="175"/>
      <c r="L14" s="175"/>
      <c r="M14" s="175"/>
      <c r="N14" s="175"/>
    </row>
    <row r="15" spans="1:15" ht="14.25" x14ac:dyDescent="0.45">
      <c r="B15" s="184" t="s">
        <v>20</v>
      </c>
      <c r="C15" s="184" t="s">
        <v>33</v>
      </c>
      <c r="D15" s="19" t="s">
        <v>48</v>
      </c>
      <c r="E15" s="21">
        <f>($E$4 * $E$5) + $E$4</f>
        <v>120000</v>
      </c>
      <c r="F15" s="21">
        <f t="shared" ref="F15:N15" si="1">(E15 * $E$5) + E15</f>
        <v>144000</v>
      </c>
      <c r="G15" s="21">
        <f t="shared" si="1"/>
        <v>172800</v>
      </c>
      <c r="H15" s="21">
        <f t="shared" si="1"/>
        <v>207360</v>
      </c>
      <c r="I15" s="21">
        <f t="shared" si="1"/>
        <v>248832</v>
      </c>
      <c r="J15" s="21">
        <f t="shared" si="1"/>
        <v>298598.40000000002</v>
      </c>
      <c r="K15" s="21">
        <f t="shared" si="1"/>
        <v>358318.08000000002</v>
      </c>
      <c r="L15" s="21">
        <f t="shared" si="1"/>
        <v>429981.696</v>
      </c>
      <c r="M15" s="21">
        <f t="shared" si="1"/>
        <v>515978.03519999998</v>
      </c>
      <c r="N15" s="21">
        <f t="shared" si="1"/>
        <v>619173.64223999996</v>
      </c>
    </row>
    <row r="16" spans="1:15" ht="14.25" x14ac:dyDescent="0.45">
      <c r="B16" s="186"/>
      <c r="C16" s="186"/>
      <c r="D16" s="19" t="s">
        <v>49</v>
      </c>
      <c r="E16" s="25">
        <f>E15*21000000</f>
        <v>2520000000000</v>
      </c>
      <c r="F16" s="25">
        <f t="shared" ref="F16:N16" si="2">F15*21000000</f>
        <v>3024000000000</v>
      </c>
      <c r="G16" s="25">
        <f t="shared" si="2"/>
        <v>3628800000000</v>
      </c>
      <c r="H16" s="25">
        <f t="shared" si="2"/>
        <v>4354560000000</v>
      </c>
      <c r="I16" s="25">
        <f t="shared" si="2"/>
        <v>5225472000000</v>
      </c>
      <c r="J16" s="25">
        <f t="shared" si="2"/>
        <v>6270566400000.001</v>
      </c>
      <c r="K16" s="25">
        <f t="shared" si="2"/>
        <v>7524679680000</v>
      </c>
      <c r="L16" s="25">
        <f t="shared" si="2"/>
        <v>9029615616000</v>
      </c>
      <c r="M16" s="25">
        <f t="shared" si="2"/>
        <v>10835538739200</v>
      </c>
      <c r="N16" s="25">
        <f t="shared" si="2"/>
        <v>13002646487040</v>
      </c>
    </row>
    <row r="17" spans="1:15" ht="14.25" x14ac:dyDescent="0.45">
      <c r="B17" s="184" t="s">
        <v>16</v>
      </c>
      <c r="C17" s="202" t="s">
        <v>32</v>
      </c>
      <c r="D17" s="19" t="s">
        <v>124</v>
      </c>
      <c r="E17" s="26">
        <f>(E15-$E4)/E15</f>
        <v>0.16666666666666666</v>
      </c>
      <c r="F17" s="26">
        <f t="shared" ref="F17:N17" si="3">(F15-$E4)/F15</f>
        <v>0.30555555555555558</v>
      </c>
      <c r="G17" s="26">
        <f t="shared" si="3"/>
        <v>0.42129629629629628</v>
      </c>
      <c r="H17" s="26">
        <f t="shared" si="3"/>
        <v>0.51774691358024694</v>
      </c>
      <c r="I17" s="26">
        <f t="shared" si="3"/>
        <v>0.5981224279835391</v>
      </c>
      <c r="J17" s="26">
        <f t="shared" si="3"/>
        <v>0.66510202331961599</v>
      </c>
      <c r="K17" s="26">
        <f t="shared" si="3"/>
        <v>0.72091835276634664</v>
      </c>
      <c r="L17" s="26">
        <f t="shared" si="3"/>
        <v>0.76743196063862218</v>
      </c>
      <c r="M17" s="26">
        <f t="shared" si="3"/>
        <v>0.80619330053218508</v>
      </c>
      <c r="N17" s="26">
        <f t="shared" si="3"/>
        <v>0.83849441711015427</v>
      </c>
    </row>
    <row r="18" spans="1:15" ht="14.25" x14ac:dyDescent="0.45">
      <c r="B18" s="185"/>
      <c r="C18" s="203"/>
      <c r="D18" s="19" t="s">
        <v>125</v>
      </c>
      <c r="E18" s="26">
        <f>1-E17</f>
        <v>0.83333333333333337</v>
      </c>
      <c r="F18" s="26">
        <f t="shared" ref="F18:N18" si="4">1-F17</f>
        <v>0.69444444444444442</v>
      </c>
      <c r="G18" s="26">
        <f t="shared" si="4"/>
        <v>0.57870370370370372</v>
      </c>
      <c r="H18" s="26">
        <f t="shared" si="4"/>
        <v>0.48225308641975306</v>
      </c>
      <c r="I18" s="26">
        <f t="shared" si="4"/>
        <v>0.4018775720164609</v>
      </c>
      <c r="J18" s="26">
        <f t="shared" si="4"/>
        <v>0.33489797668038401</v>
      </c>
      <c r="K18" s="26">
        <f t="shared" si="4"/>
        <v>0.27908164723365336</v>
      </c>
      <c r="L18" s="26">
        <f t="shared" si="4"/>
        <v>0.23256803936137782</v>
      </c>
      <c r="M18" s="26">
        <f t="shared" si="4"/>
        <v>0.19380669946781492</v>
      </c>
      <c r="N18" s="26">
        <f t="shared" si="4"/>
        <v>0.16150558288984573</v>
      </c>
    </row>
    <row r="19" spans="1:15" ht="14.25" x14ac:dyDescent="0.45">
      <c r="B19" s="185"/>
      <c r="C19" s="203"/>
      <c r="D19" s="19" t="s">
        <v>126</v>
      </c>
      <c r="E19" s="78">
        <f>E17</f>
        <v>0.16666666666666666</v>
      </c>
      <c r="F19" s="78">
        <f t="shared" ref="F19:N19" si="5">F17-E17</f>
        <v>0.13888888888888892</v>
      </c>
      <c r="G19" s="78">
        <f>G17-F17</f>
        <v>0.1157407407407407</v>
      </c>
      <c r="H19" s="78">
        <f t="shared" si="5"/>
        <v>9.6450617283950657E-2</v>
      </c>
      <c r="I19" s="78">
        <f t="shared" si="5"/>
        <v>8.0375514403292159E-2</v>
      </c>
      <c r="J19" s="78">
        <f>J17-I17</f>
        <v>6.6979595336076891E-2</v>
      </c>
      <c r="K19" s="78">
        <f t="shared" si="5"/>
        <v>5.581632944673065E-2</v>
      </c>
      <c r="L19" s="78">
        <f t="shared" si="5"/>
        <v>4.6513607872275542E-2</v>
      </c>
      <c r="M19" s="78">
        <f t="shared" si="5"/>
        <v>3.8761339893562896E-2</v>
      </c>
      <c r="N19" s="78">
        <f t="shared" si="5"/>
        <v>3.2301116577969191E-2</v>
      </c>
    </row>
    <row r="20" spans="1:15" ht="14.25" x14ac:dyDescent="0.45">
      <c r="B20" s="185"/>
      <c r="C20" s="203"/>
      <c r="D20" s="19" t="s">
        <v>127</v>
      </c>
      <c r="E20" s="78"/>
      <c r="F20" s="78"/>
      <c r="G20" s="78"/>
      <c r="H20" s="78"/>
      <c r="I20" s="78">
        <f>AVERAGE(E19:I19)</f>
        <v>0.11962448559670782</v>
      </c>
      <c r="J20" s="26"/>
      <c r="K20" s="26"/>
      <c r="L20" s="26"/>
      <c r="M20" s="26"/>
      <c r="N20" s="78">
        <f>AVERAGE(E19:N19)</f>
        <v>8.3849441711015424E-2</v>
      </c>
    </row>
    <row r="21" spans="1:15" ht="14.25" x14ac:dyDescent="0.45">
      <c r="B21" s="185"/>
      <c r="C21" s="203"/>
      <c r="D21" s="19" t="s">
        <v>128</v>
      </c>
      <c r="E21" s="78">
        <f>$E$11*E19</f>
        <v>0.33333333333333331</v>
      </c>
      <c r="F21" s="78">
        <f t="shared" ref="F21:N21" si="6">$E$11*F19</f>
        <v>0.27777777777777785</v>
      </c>
      <c r="G21" s="78">
        <f t="shared" si="6"/>
        <v>0.2314814814814814</v>
      </c>
      <c r="H21" s="78">
        <f t="shared" si="6"/>
        <v>0.19290123456790131</v>
      </c>
      <c r="I21" s="78">
        <f t="shared" si="6"/>
        <v>0.16075102880658432</v>
      </c>
      <c r="J21" s="78">
        <f t="shared" si="6"/>
        <v>0.13395919067215378</v>
      </c>
      <c r="K21" s="78">
        <f t="shared" si="6"/>
        <v>0.1116326588934613</v>
      </c>
      <c r="L21" s="78">
        <f t="shared" si="6"/>
        <v>9.3027215744551084E-2</v>
      </c>
      <c r="M21" s="78">
        <f t="shared" si="6"/>
        <v>7.7522679787125792E-2</v>
      </c>
      <c r="N21" s="78">
        <f t="shared" si="6"/>
        <v>6.4602233155938382E-2</v>
      </c>
    </row>
    <row r="22" spans="1:15" ht="14.25" x14ac:dyDescent="0.45">
      <c r="B22" s="185"/>
      <c r="C22" s="203"/>
      <c r="D22" s="19" t="s">
        <v>129</v>
      </c>
      <c r="E22" s="78"/>
      <c r="F22" s="78"/>
      <c r="G22" s="78"/>
      <c r="H22" s="78"/>
      <c r="I22" s="78">
        <f>AVERAGE(E21:I21)</f>
        <v>0.23924897119341565</v>
      </c>
      <c r="J22" s="26"/>
      <c r="K22" s="26"/>
      <c r="L22" s="26"/>
      <c r="M22" s="26"/>
      <c r="N22" s="78">
        <f>AVERAGE(E21:N21)</f>
        <v>0.16769888342203085</v>
      </c>
    </row>
    <row r="23" spans="1:15" ht="14.25" x14ac:dyDescent="0.45">
      <c r="B23" s="185"/>
      <c r="C23" s="203"/>
      <c r="D23" s="15" t="s">
        <v>58</v>
      </c>
      <c r="E23" s="17">
        <f>E19+E21</f>
        <v>0.5</v>
      </c>
      <c r="F23" s="17">
        <f t="shared" ref="F23:N23" si="7">F19+F21</f>
        <v>0.41666666666666674</v>
      </c>
      <c r="G23" s="17">
        <f t="shared" si="7"/>
        <v>0.3472222222222221</v>
      </c>
      <c r="H23" s="17">
        <f t="shared" si="7"/>
        <v>0.28935185185185197</v>
      </c>
      <c r="I23" s="17">
        <f t="shared" si="7"/>
        <v>0.24112654320987648</v>
      </c>
      <c r="J23" s="17">
        <f t="shared" si="7"/>
        <v>0.20093878600823067</v>
      </c>
      <c r="K23" s="17">
        <f t="shared" si="7"/>
        <v>0.16744898834019195</v>
      </c>
      <c r="L23" s="17">
        <f t="shared" si="7"/>
        <v>0.13954082361682663</v>
      </c>
      <c r="M23" s="17">
        <f t="shared" si="7"/>
        <v>0.11628401968068869</v>
      </c>
      <c r="N23" s="17">
        <f t="shared" si="7"/>
        <v>9.6903349733907573E-2</v>
      </c>
    </row>
    <row r="24" spans="1:15" ht="14.25" x14ac:dyDescent="0.45">
      <c r="B24" s="186"/>
      <c r="C24" s="204"/>
      <c r="D24" s="15" t="s">
        <v>59</v>
      </c>
      <c r="E24" s="17"/>
      <c r="F24" s="17"/>
      <c r="G24" s="17"/>
      <c r="H24" s="17"/>
      <c r="I24" s="17">
        <f>AVERAGE(E23:I23)</f>
        <v>0.3588734567901235</v>
      </c>
      <c r="J24" s="16"/>
      <c r="K24" s="16"/>
      <c r="L24" s="16"/>
      <c r="M24" s="16"/>
      <c r="N24" s="17">
        <f>AVERAGE(E23:N23)</f>
        <v>0.25154832513304626</v>
      </c>
    </row>
    <row r="25" spans="1:15" ht="14.25" x14ac:dyDescent="0.45">
      <c r="B25" s="184" t="s">
        <v>137</v>
      </c>
      <c r="C25" s="202" t="s">
        <v>32</v>
      </c>
      <c r="D25" s="15" t="s">
        <v>43</v>
      </c>
      <c r="E25" s="17">
        <f>((1+$E$11)*$E$6)+($E$6*E18)</f>
        <v>7.6666666666666661E-2</v>
      </c>
      <c r="F25" s="17">
        <f t="shared" ref="F25:N25" si="8">((1+$E$11)*$E$6)+($E$6*F18)</f>
        <v>7.3888888888888893E-2</v>
      </c>
      <c r="G25" s="17">
        <f t="shared" si="8"/>
        <v>7.1574074074074068E-2</v>
      </c>
      <c r="H25" s="17">
        <f t="shared" si="8"/>
        <v>6.9645061728395061E-2</v>
      </c>
      <c r="I25" s="17">
        <f>((1+$E$11)*$E$6)+($E$6*I18)</f>
        <v>6.8037551440329219E-2</v>
      </c>
      <c r="J25" s="17">
        <f t="shared" si="8"/>
        <v>6.6697959533607673E-2</v>
      </c>
      <c r="K25" s="17">
        <f t="shared" si="8"/>
        <v>6.5581632944673063E-2</v>
      </c>
      <c r="L25" s="17">
        <f t="shared" si="8"/>
        <v>6.4651360787227552E-2</v>
      </c>
      <c r="M25" s="17">
        <f t="shared" si="8"/>
        <v>6.3876133989356293E-2</v>
      </c>
      <c r="N25" s="17">
        <f t="shared" si="8"/>
        <v>6.3230111657796906E-2</v>
      </c>
    </row>
    <row r="26" spans="1:15" ht="14.25" x14ac:dyDescent="0.45">
      <c r="B26" s="185"/>
      <c r="C26" s="203"/>
      <c r="D26" s="15" t="s">
        <v>44</v>
      </c>
      <c r="E26" s="17"/>
      <c r="F26" s="17"/>
      <c r="G26" s="17"/>
      <c r="H26" s="17"/>
      <c r="I26" s="17">
        <f>AVERAGE(E25:I25)</f>
        <v>7.196244855967078E-2</v>
      </c>
      <c r="J26" s="16"/>
      <c r="K26" s="16"/>
      <c r="L26" s="16"/>
      <c r="M26" s="16"/>
      <c r="N26" s="17">
        <f>AVERAGE(E25:N25)</f>
        <v>6.8384944171101553E-2</v>
      </c>
    </row>
    <row r="27" spans="1:15" ht="14.25" x14ac:dyDescent="0.45">
      <c r="B27" s="185"/>
      <c r="C27" s="203"/>
      <c r="D27" s="19" t="s">
        <v>42</v>
      </c>
      <c r="E27" s="78">
        <f>E25</f>
        <v>7.6666666666666661E-2</v>
      </c>
      <c r="F27" s="78">
        <f>E27+F25</f>
        <v>0.15055555555555555</v>
      </c>
      <c r="G27" s="78">
        <f>F27+G25</f>
        <v>0.22212962962962962</v>
      </c>
      <c r="H27" s="78">
        <f t="shared" ref="H27:I27" si="9">G27+H25</f>
        <v>0.2917746913580247</v>
      </c>
      <c r="I27" s="78">
        <f t="shared" si="9"/>
        <v>0.35981224279835389</v>
      </c>
      <c r="J27" s="78">
        <f>I27+J25</f>
        <v>0.42651020233196157</v>
      </c>
      <c r="K27" s="78">
        <f t="shared" ref="K27:N27" si="10">J27+K25</f>
        <v>0.49209183527663464</v>
      </c>
      <c r="L27" s="78">
        <f t="shared" si="10"/>
        <v>0.55674319606386224</v>
      </c>
      <c r="M27" s="78">
        <f t="shared" si="10"/>
        <v>0.62061933005321857</v>
      </c>
      <c r="N27" s="78">
        <f t="shared" si="10"/>
        <v>0.68384944171101547</v>
      </c>
    </row>
    <row r="28" spans="1:15" ht="14.25" x14ac:dyDescent="0.45">
      <c r="B28" s="184" t="s">
        <v>17</v>
      </c>
      <c r="C28" s="202" t="s">
        <v>32</v>
      </c>
      <c r="D28" s="15" t="s">
        <v>43</v>
      </c>
      <c r="E28" s="17">
        <f t="shared" ref="E28:N28" si="11">((1+$E$11)*$E$7)+($E$7*E18)</f>
        <v>3.833333333333333E-2</v>
      </c>
      <c r="F28" s="17">
        <f t="shared" si="11"/>
        <v>3.6944444444444446E-2</v>
      </c>
      <c r="G28" s="17">
        <f t="shared" si="11"/>
        <v>3.5787037037037034E-2</v>
      </c>
      <c r="H28" s="17">
        <f t="shared" si="11"/>
        <v>3.482253086419753E-2</v>
      </c>
      <c r="I28" s="17">
        <f t="shared" si="11"/>
        <v>3.401877572016461E-2</v>
      </c>
      <c r="J28" s="17">
        <f t="shared" si="11"/>
        <v>3.3348979766803837E-2</v>
      </c>
      <c r="K28" s="17">
        <f t="shared" si="11"/>
        <v>3.2790816472336531E-2</v>
      </c>
      <c r="L28" s="17">
        <f t="shared" si="11"/>
        <v>3.2325680393613776E-2</v>
      </c>
      <c r="M28" s="17">
        <f t="shared" si="11"/>
        <v>3.1938066994678146E-2</v>
      </c>
      <c r="N28" s="17">
        <f t="shared" si="11"/>
        <v>3.1615055828898453E-2</v>
      </c>
    </row>
    <row r="29" spans="1:15" ht="15" customHeight="1" x14ac:dyDescent="0.45">
      <c r="B29" s="185"/>
      <c r="C29" s="203"/>
      <c r="D29" s="15" t="s">
        <v>44</v>
      </c>
      <c r="E29" s="17"/>
      <c r="F29" s="17"/>
      <c r="G29" s="17"/>
      <c r="H29" s="17"/>
      <c r="I29" s="17">
        <f>AVERAGE(E28:I28)</f>
        <v>3.598122427983539E-2</v>
      </c>
      <c r="J29" s="16"/>
      <c r="K29" s="16"/>
      <c r="L29" s="16"/>
      <c r="M29" s="16"/>
      <c r="N29" s="17">
        <f>AVERAGE(E28:N28)</f>
        <v>3.4192472085550776E-2</v>
      </c>
    </row>
    <row r="30" spans="1:15" ht="14.25" x14ac:dyDescent="0.45">
      <c r="B30" s="185"/>
      <c r="C30" s="203"/>
      <c r="D30" s="19" t="s">
        <v>42</v>
      </c>
      <c r="E30" s="78">
        <f>E28</f>
        <v>3.833333333333333E-2</v>
      </c>
      <c r="F30" s="78">
        <f t="shared" ref="F30:N30" si="12">E30+F28</f>
        <v>7.5277777777777777E-2</v>
      </c>
      <c r="G30" s="78">
        <f>F30+G28</f>
        <v>0.11106481481481481</v>
      </c>
      <c r="H30" s="78">
        <f t="shared" si="12"/>
        <v>0.14588734567901235</v>
      </c>
      <c r="I30" s="78">
        <f t="shared" si="12"/>
        <v>0.17990612139917694</v>
      </c>
      <c r="J30" s="78">
        <f>I30+J28</f>
        <v>0.21325510116598079</v>
      </c>
      <c r="K30" s="78">
        <f t="shared" si="12"/>
        <v>0.24604591763831732</v>
      </c>
      <c r="L30" s="78">
        <f t="shared" si="12"/>
        <v>0.27837159803193112</v>
      </c>
      <c r="M30" s="78">
        <f t="shared" si="12"/>
        <v>0.31030966502660928</v>
      </c>
      <c r="N30" s="78">
        <f t="shared" si="12"/>
        <v>0.34192472085550774</v>
      </c>
    </row>
    <row r="31" spans="1:15" ht="14.25" x14ac:dyDescent="0.45">
      <c r="B31" s="3"/>
      <c r="C31" s="1"/>
      <c r="D31" s="43"/>
      <c r="E31" s="31"/>
      <c r="F31" s="31"/>
      <c r="G31" s="31"/>
      <c r="H31" s="31"/>
      <c r="I31" s="31"/>
      <c r="J31" s="31"/>
      <c r="K31" s="31"/>
      <c r="L31" s="31"/>
      <c r="M31" s="31"/>
      <c r="N31" s="31"/>
    </row>
    <row r="32" spans="1:15" ht="14.25" x14ac:dyDescent="0.45">
      <c r="A32" s="8"/>
      <c r="B32" s="194" t="s">
        <v>114</v>
      </c>
      <c r="C32" s="196" t="s">
        <v>21</v>
      </c>
      <c r="D32" s="198" t="str">
        <f>"10 BTC / "&amp;TEXT($E$4*10, "$###0.00,,")&amp;"M USD"</f>
        <v>10 BTC / $1.00M USD</v>
      </c>
      <c r="E32" s="174" t="s">
        <v>3</v>
      </c>
      <c r="F32" s="174" t="s">
        <v>4</v>
      </c>
      <c r="G32" s="174" t="s">
        <v>5</v>
      </c>
      <c r="H32" s="174" t="s">
        <v>6</v>
      </c>
      <c r="I32" s="174" t="s">
        <v>7</v>
      </c>
      <c r="J32" s="174" t="s">
        <v>8</v>
      </c>
      <c r="K32" s="174" t="s">
        <v>9</v>
      </c>
      <c r="L32" s="174" t="s">
        <v>10</v>
      </c>
      <c r="M32" s="174" t="s">
        <v>11</v>
      </c>
      <c r="N32" s="174" t="s">
        <v>12</v>
      </c>
      <c r="O32" s="8"/>
    </row>
    <row r="33" spans="2:14" ht="14.25" x14ac:dyDescent="0.45">
      <c r="B33" s="195"/>
      <c r="C33" s="197"/>
      <c r="D33" s="199"/>
      <c r="E33" s="175"/>
      <c r="F33" s="175"/>
      <c r="G33" s="175"/>
      <c r="H33" s="175"/>
      <c r="I33" s="175"/>
      <c r="J33" s="175"/>
      <c r="K33" s="175"/>
      <c r="L33" s="175"/>
      <c r="M33" s="175"/>
      <c r="N33" s="175"/>
    </row>
    <row r="34" spans="2:14" ht="14.25" x14ac:dyDescent="0.45">
      <c r="B34" s="184" t="s">
        <v>137</v>
      </c>
      <c r="C34" s="192" t="s">
        <v>32</v>
      </c>
      <c r="D34" s="15" t="s">
        <v>58</v>
      </c>
      <c r="E34" s="16">
        <f>E39*$E$4/E$15</f>
        <v>9.583333333333334E-2</v>
      </c>
      <c r="F34" s="16">
        <f t="shared" ref="F34:N34" si="13">F39*$E$4/F$15</f>
        <v>7.9861111111111105E-2</v>
      </c>
      <c r="G34" s="16">
        <f t="shared" si="13"/>
        <v>6.655092592592593E-2</v>
      </c>
      <c r="H34" s="16">
        <f t="shared" si="13"/>
        <v>5.5459104938271608E-2</v>
      </c>
      <c r="I34" s="16">
        <f t="shared" si="13"/>
        <v>4.6215920781893002E-2</v>
      </c>
      <c r="J34" s="16">
        <f t="shared" si="13"/>
        <v>3.8513267318244164E-2</v>
      </c>
      <c r="K34" s="16">
        <f t="shared" si="13"/>
        <v>3.2094389431870138E-2</v>
      </c>
      <c r="L34" s="16">
        <f t="shared" si="13"/>
        <v>2.674532452655845E-2</v>
      </c>
      <c r="M34" s="16">
        <f t="shared" si="13"/>
        <v>2.2287770438798711E-2</v>
      </c>
      <c r="N34" s="16">
        <f t="shared" si="13"/>
        <v>1.8573142032332259E-2</v>
      </c>
    </row>
    <row r="35" spans="2:14" ht="14.25" x14ac:dyDescent="0.45">
      <c r="B35" s="185"/>
      <c r="C35" s="192"/>
      <c r="D35" s="15" t="s">
        <v>59</v>
      </c>
      <c r="E35" s="16"/>
      <c r="F35" s="16"/>
      <c r="G35" s="16"/>
      <c r="H35" s="16"/>
      <c r="I35" s="80">
        <f>AVERAGE(E34:I34)</f>
        <v>6.8784079218107003E-2</v>
      </c>
      <c r="J35" s="16"/>
      <c r="K35" s="16"/>
      <c r="L35" s="16"/>
      <c r="M35" s="16"/>
      <c r="N35" s="17">
        <f>AVERAGE(E34:N34)</f>
        <v>4.8213428983833864E-2</v>
      </c>
    </row>
    <row r="36" spans="2:14" ht="14.25" x14ac:dyDescent="0.45">
      <c r="B36" s="185"/>
      <c r="C36" s="192"/>
      <c r="D36" s="15" t="s">
        <v>42</v>
      </c>
      <c r="E36" s="16">
        <f t="shared" ref="E36:N36" si="14">E$17*(E34/E$19)</f>
        <v>9.583333333333334E-2</v>
      </c>
      <c r="F36" s="16">
        <f t="shared" si="14"/>
        <v>0.1756944444444444</v>
      </c>
      <c r="G36" s="16">
        <f>G$17*(G34/G$19)</f>
        <v>0.24224537037037047</v>
      </c>
      <c r="H36" s="16">
        <f>H$17*(H34/H$19)</f>
        <v>0.29770447530864191</v>
      </c>
      <c r="I36" s="16">
        <f>I$17*(I34/I$19)</f>
        <v>0.3439203960905351</v>
      </c>
      <c r="J36" s="16">
        <f t="shared" si="14"/>
        <v>0.38243366340877871</v>
      </c>
      <c r="K36" s="16">
        <f t="shared" si="14"/>
        <v>0.41452805284064953</v>
      </c>
      <c r="L36" s="16">
        <f t="shared" si="14"/>
        <v>0.44127337736720795</v>
      </c>
      <c r="M36" s="16">
        <f t="shared" si="14"/>
        <v>0.46356114780600738</v>
      </c>
      <c r="N36" s="16">
        <f t="shared" si="14"/>
        <v>0.482134289838338</v>
      </c>
    </row>
    <row r="37" spans="2:14" ht="14.25" customHeight="1" x14ac:dyDescent="0.45">
      <c r="B37" s="185"/>
      <c r="C37" s="193"/>
      <c r="D37" s="19" t="s">
        <v>45</v>
      </c>
      <c r="E37" s="20">
        <f t="shared" ref="E37:N37" si="15">10*E34</f>
        <v>0.95833333333333337</v>
      </c>
      <c r="F37" s="20">
        <f t="shared" si="15"/>
        <v>0.79861111111111105</v>
      </c>
      <c r="G37" s="20">
        <f t="shared" si="15"/>
        <v>0.6655092592592593</v>
      </c>
      <c r="H37" s="20">
        <f t="shared" si="15"/>
        <v>0.55459104938271608</v>
      </c>
      <c r="I37" s="20">
        <f t="shared" si="15"/>
        <v>0.46215920781893005</v>
      </c>
      <c r="J37" s="20">
        <f t="shared" si="15"/>
        <v>0.38513267318244165</v>
      </c>
      <c r="K37" s="20">
        <f t="shared" si="15"/>
        <v>0.32094389431870141</v>
      </c>
      <c r="L37" s="20">
        <f t="shared" si="15"/>
        <v>0.2674532452655845</v>
      </c>
      <c r="M37" s="20">
        <f t="shared" si="15"/>
        <v>0.2228777043879871</v>
      </c>
      <c r="N37" s="20">
        <f t="shared" si="15"/>
        <v>0.1857314203233226</v>
      </c>
    </row>
    <row r="38" spans="2:14" ht="14.25" x14ac:dyDescent="0.45">
      <c r="B38" s="185"/>
      <c r="C38" s="193"/>
      <c r="D38" s="19" t="s">
        <v>46</v>
      </c>
      <c r="E38" s="20">
        <f>10*E36</f>
        <v>0.95833333333333337</v>
      </c>
      <c r="F38" s="20">
        <f>10*F36</f>
        <v>1.756944444444444</v>
      </c>
      <c r="G38" s="20">
        <f>10*G36</f>
        <v>2.4224537037037046</v>
      </c>
      <c r="H38" s="20">
        <f t="shared" ref="H38:N38" si="16">10*H36</f>
        <v>2.9770447530864192</v>
      </c>
      <c r="I38" s="20">
        <f t="shared" si="16"/>
        <v>3.4392039609053509</v>
      </c>
      <c r="J38" s="20">
        <f t="shared" si="16"/>
        <v>3.8243366340877873</v>
      </c>
      <c r="K38" s="20">
        <f t="shared" si="16"/>
        <v>4.1452805284064951</v>
      </c>
      <c r="L38" s="20">
        <f t="shared" si="16"/>
        <v>4.4127337736720795</v>
      </c>
      <c r="M38" s="20">
        <f t="shared" si="16"/>
        <v>4.6356114780600741</v>
      </c>
      <c r="N38" s="20">
        <f t="shared" si="16"/>
        <v>4.8213428983833797</v>
      </c>
    </row>
    <row r="39" spans="2:14" ht="14.25" x14ac:dyDescent="0.45">
      <c r="B39" s="185"/>
      <c r="C39" s="191" t="s">
        <v>36</v>
      </c>
      <c r="D39" s="15" t="s">
        <v>43</v>
      </c>
      <c r="E39" s="16">
        <f>E8</f>
        <v>0.115</v>
      </c>
      <c r="F39" s="16">
        <f>E39</f>
        <v>0.115</v>
      </c>
      <c r="G39" s="16">
        <f t="shared" ref="G39:N39" si="17">F39</f>
        <v>0.115</v>
      </c>
      <c r="H39" s="16">
        <f t="shared" si="17"/>
        <v>0.115</v>
      </c>
      <c r="I39" s="16">
        <f t="shared" si="17"/>
        <v>0.115</v>
      </c>
      <c r="J39" s="16">
        <f t="shared" si="17"/>
        <v>0.115</v>
      </c>
      <c r="K39" s="16">
        <f t="shared" si="17"/>
        <v>0.115</v>
      </c>
      <c r="L39" s="16">
        <f t="shared" si="17"/>
        <v>0.115</v>
      </c>
      <c r="M39" s="16">
        <f t="shared" si="17"/>
        <v>0.115</v>
      </c>
      <c r="N39" s="16">
        <f t="shared" si="17"/>
        <v>0.115</v>
      </c>
    </row>
    <row r="40" spans="2:14" ht="14.25" customHeight="1" x14ac:dyDescent="0.45">
      <c r="B40" s="185"/>
      <c r="C40" s="193"/>
      <c r="D40" s="19" t="s">
        <v>45</v>
      </c>
      <c r="E40" s="21">
        <f>E37*E$15</f>
        <v>115000</v>
      </c>
      <c r="F40" s="21">
        <f t="shared" ref="F40:N40" si="18">F37*F$15</f>
        <v>114999.99999999999</v>
      </c>
      <c r="G40" s="21">
        <f>G37*G$15</f>
        <v>115000</v>
      </c>
      <c r="H40" s="21">
        <f>H37*H$15</f>
        <v>115000</v>
      </c>
      <c r="I40" s="21">
        <f>I37*I$15</f>
        <v>115000</v>
      </c>
      <c r="J40" s="21">
        <f t="shared" si="18"/>
        <v>115000</v>
      </c>
      <c r="K40" s="21">
        <f t="shared" si="18"/>
        <v>115000</v>
      </c>
      <c r="L40" s="21">
        <f t="shared" si="18"/>
        <v>115000</v>
      </c>
      <c r="M40" s="21">
        <f t="shared" si="18"/>
        <v>115000</v>
      </c>
      <c r="N40" s="21">
        <f t="shared" si="18"/>
        <v>115000</v>
      </c>
    </row>
    <row r="41" spans="2:14" ht="14.25" x14ac:dyDescent="0.45">
      <c r="B41" s="185"/>
      <c r="C41" s="193"/>
      <c r="D41" s="19" t="s">
        <v>46</v>
      </c>
      <c r="E41" s="21">
        <f>E40</f>
        <v>115000</v>
      </c>
      <c r="F41" s="21">
        <f>E41+F40</f>
        <v>230000</v>
      </c>
      <c r="G41" s="21">
        <f>F41+G40</f>
        <v>345000</v>
      </c>
      <c r="H41" s="21">
        <f t="shared" ref="H41:N41" si="19">G41+H40</f>
        <v>460000</v>
      </c>
      <c r="I41" s="21">
        <f t="shared" si="19"/>
        <v>575000</v>
      </c>
      <c r="J41" s="21">
        <f>I41+J40</f>
        <v>690000</v>
      </c>
      <c r="K41" s="21">
        <f t="shared" si="19"/>
        <v>805000</v>
      </c>
      <c r="L41" s="21">
        <f t="shared" si="19"/>
        <v>920000</v>
      </c>
      <c r="M41" s="21">
        <f t="shared" si="19"/>
        <v>1035000</v>
      </c>
      <c r="N41" s="21">
        <f t="shared" si="19"/>
        <v>1150000</v>
      </c>
    </row>
    <row r="42" spans="2:14" ht="14.25" x14ac:dyDescent="0.45">
      <c r="B42" s="185"/>
      <c r="C42" s="191" t="s">
        <v>35</v>
      </c>
      <c r="D42" s="15" t="s">
        <v>43</v>
      </c>
      <c r="E42" s="16">
        <f>E36*E$15/$E$4</f>
        <v>0.115</v>
      </c>
      <c r="F42" s="16">
        <f>F36*F$15/$E$4-E42</f>
        <v>0.13799999999999996</v>
      </c>
      <c r="G42" s="16">
        <f>G36*G$15/$E$4-F42-E42</f>
        <v>0.16560000000000019</v>
      </c>
      <c r="H42" s="16">
        <f>H36*H$15/$E$4-G42-F42-E42</f>
        <v>0.19871999999999973</v>
      </c>
      <c r="I42" s="16">
        <f>I36*I$15/$E$4-H42-G42-F42-E42</f>
        <v>0.2384640000000004</v>
      </c>
      <c r="J42" s="16">
        <f>J36*J$15/$E$4-I42-H42-G42-F42-E42</f>
        <v>0.28615679999999849</v>
      </c>
      <c r="K42" s="16">
        <f>K36*K$15/$E$4-J42-I42-H42-G42-F42-E42</f>
        <v>0.34338816000000211</v>
      </c>
      <c r="L42" s="16">
        <f>L36*L$15/$E$4-K42-J42-I42-H42-G42-F42-E42</f>
        <v>0.41206579199999993</v>
      </c>
      <c r="M42" s="16">
        <f>M36*M$15/$E$4-L42-K42-J42-I42-H42-G42-F42-E42</f>
        <v>0.49447895040000378</v>
      </c>
      <c r="N42" s="16">
        <f>N36*N$15/$E$4-M42-L42-K42-J42-I42-H42-G42-F42-E42</f>
        <v>0.59337474047999117</v>
      </c>
    </row>
    <row r="43" spans="2:14" ht="14.25" x14ac:dyDescent="0.45">
      <c r="B43" s="185"/>
      <c r="C43" s="192"/>
      <c r="D43" s="15" t="s">
        <v>44</v>
      </c>
      <c r="E43" s="17"/>
      <c r="F43" s="17"/>
      <c r="G43" s="17"/>
      <c r="H43" s="17"/>
      <c r="I43" s="38">
        <f>AVERAGE(E42:I42)</f>
        <v>0.17115680000000005</v>
      </c>
      <c r="J43" s="17"/>
      <c r="K43" s="17"/>
      <c r="L43" s="17"/>
      <c r="M43" s="17"/>
      <c r="N43" s="17">
        <f>AVERAGE(E42:N42)</f>
        <v>0.29852484428799964</v>
      </c>
    </row>
    <row r="44" spans="2:14" ht="14.25" x14ac:dyDescent="0.45">
      <c r="B44" s="185"/>
      <c r="C44" s="193"/>
      <c r="D44" s="19" t="s">
        <v>45</v>
      </c>
      <c r="E44" s="22">
        <f>E46</f>
        <v>115000</v>
      </c>
      <c r="F44" s="22">
        <f>F46-E46</f>
        <v>137999.99999999994</v>
      </c>
      <c r="G44" s="22">
        <f>G46-F46</f>
        <v>165600.00000000023</v>
      </c>
      <c r="H44" s="22">
        <f t="shared" ref="H44:N44" si="20">H46-G46</f>
        <v>198719.99999999971</v>
      </c>
      <c r="I44" s="22">
        <f t="shared" si="20"/>
        <v>238464.00000000035</v>
      </c>
      <c r="J44" s="22">
        <f>J46-I46</f>
        <v>286156.79999999865</v>
      </c>
      <c r="K44" s="22">
        <f t="shared" si="20"/>
        <v>343388.16000000201</v>
      </c>
      <c r="L44" s="22">
        <f t="shared" si="20"/>
        <v>412065.7919999999</v>
      </c>
      <c r="M44" s="22">
        <f t="shared" si="20"/>
        <v>494478.95040000416</v>
      </c>
      <c r="N44" s="22">
        <f t="shared" si="20"/>
        <v>593374.74047999037</v>
      </c>
    </row>
    <row r="45" spans="2:14" ht="15" customHeight="1" x14ac:dyDescent="0.45">
      <c r="B45" s="185"/>
      <c r="C45" s="193"/>
      <c r="D45" s="19" t="s">
        <v>47</v>
      </c>
      <c r="E45" s="22"/>
      <c r="F45" s="22"/>
      <c r="G45" s="22"/>
      <c r="H45" s="22"/>
      <c r="I45" s="22">
        <f>AVERAGE(E44:I44)</f>
        <v>171156.80000000005</v>
      </c>
      <c r="J45" s="22"/>
      <c r="K45" s="22"/>
      <c r="L45" s="22"/>
      <c r="M45" s="22"/>
      <c r="N45" s="22">
        <f>AVERAGE(E44:N44)</f>
        <v>298524.84428799956</v>
      </c>
    </row>
    <row r="46" spans="2:14" ht="14.25" x14ac:dyDescent="0.45">
      <c r="B46" s="186"/>
      <c r="C46" s="193"/>
      <c r="D46" s="19" t="s">
        <v>46</v>
      </c>
      <c r="E46" s="21">
        <f t="shared" ref="E46:N46" si="21">E38*E$15</f>
        <v>115000</v>
      </c>
      <c r="F46" s="21">
        <f t="shared" si="21"/>
        <v>252999.99999999994</v>
      </c>
      <c r="G46" s="21">
        <f>G38*G$15</f>
        <v>418600.00000000017</v>
      </c>
      <c r="H46" s="21">
        <f>H38*H$15</f>
        <v>617319.99999999988</v>
      </c>
      <c r="I46" s="21">
        <f>I38*I$15</f>
        <v>855784.00000000023</v>
      </c>
      <c r="J46" s="21">
        <f t="shared" si="21"/>
        <v>1141940.7999999989</v>
      </c>
      <c r="K46" s="21">
        <f t="shared" si="21"/>
        <v>1485328.9600000009</v>
      </c>
      <c r="L46" s="21">
        <f t="shared" si="21"/>
        <v>1897394.7520000008</v>
      </c>
      <c r="M46" s="21">
        <f t="shared" si="21"/>
        <v>2391873.702400005</v>
      </c>
      <c r="N46" s="21">
        <f t="shared" si="21"/>
        <v>2985248.4428799953</v>
      </c>
    </row>
    <row r="47" spans="2:14" ht="14.25" x14ac:dyDescent="0.45">
      <c r="B47" s="3"/>
      <c r="C47" s="1"/>
      <c r="D47" s="43"/>
      <c r="E47" s="31"/>
      <c r="F47" s="31"/>
      <c r="G47" s="31"/>
      <c r="H47" s="31"/>
      <c r="I47" s="31"/>
      <c r="J47" s="31"/>
      <c r="K47" s="31"/>
      <c r="L47" s="31"/>
      <c r="M47" s="31"/>
      <c r="N47" s="31"/>
    </row>
    <row r="48" spans="2:14" ht="14.25" x14ac:dyDescent="0.45">
      <c r="B48" s="176" t="s">
        <v>116</v>
      </c>
      <c r="C48" s="200" t="s">
        <v>21</v>
      </c>
      <c r="D48" s="178" t="str">
        <f>"10 BTC / "&amp;TEXT($E$4*10, "$###0.00,,")&amp;"M USD"</f>
        <v>10 BTC / $1.00M USD</v>
      </c>
      <c r="E48" s="174" t="s">
        <v>3</v>
      </c>
      <c r="F48" s="174" t="s">
        <v>4</v>
      </c>
      <c r="G48" s="174" t="s">
        <v>5</v>
      </c>
      <c r="H48" s="174" t="s">
        <v>6</v>
      </c>
      <c r="I48" s="174" t="s">
        <v>7</v>
      </c>
      <c r="J48" s="174" t="s">
        <v>8</v>
      </c>
      <c r="K48" s="174" t="s">
        <v>9</v>
      </c>
      <c r="L48" s="174" t="s">
        <v>10</v>
      </c>
      <c r="M48" s="174" t="s">
        <v>11</v>
      </c>
      <c r="N48" s="174" t="s">
        <v>12</v>
      </c>
    </row>
    <row r="49" spans="1:15" ht="14.25" x14ac:dyDescent="0.45">
      <c r="B49" s="177"/>
      <c r="C49" s="201"/>
      <c r="D49" s="179"/>
      <c r="E49" s="175"/>
      <c r="F49" s="175"/>
      <c r="G49" s="175"/>
      <c r="H49" s="175"/>
      <c r="I49" s="175"/>
      <c r="J49" s="175"/>
      <c r="K49" s="175"/>
      <c r="L49" s="175"/>
      <c r="M49" s="175"/>
      <c r="N49" s="175"/>
    </row>
    <row r="50" spans="1:15" ht="14.25" x14ac:dyDescent="0.45">
      <c r="B50" s="184" t="s">
        <v>137</v>
      </c>
      <c r="C50" s="192" t="s">
        <v>32</v>
      </c>
      <c r="D50" s="15" t="s">
        <v>43</v>
      </c>
      <c r="E50" s="16">
        <f>E55*$E$4/E$15</f>
        <v>0.16666666666666666</v>
      </c>
      <c r="F50" s="16">
        <f t="shared" ref="F50:N50" si="22">F55*$E$4/F$15</f>
        <v>0.1388888888888889</v>
      </c>
      <c r="G50" s="16">
        <f t="shared" si="22"/>
        <v>0.11574074074074074</v>
      </c>
      <c r="H50" s="16">
        <f t="shared" si="22"/>
        <v>9.6450617283950615E-2</v>
      </c>
      <c r="I50" s="16">
        <f t="shared" si="22"/>
        <v>8.0375514403292186E-2</v>
      </c>
      <c r="J50" s="16">
        <f t="shared" si="22"/>
        <v>6.6979595336076808E-2</v>
      </c>
      <c r="K50" s="16">
        <f t="shared" si="22"/>
        <v>5.5816329446730678E-2</v>
      </c>
      <c r="L50" s="16">
        <f t="shared" si="22"/>
        <v>4.651360787227557E-2</v>
      </c>
      <c r="M50" s="16">
        <f t="shared" si="22"/>
        <v>3.8761339893562972E-2</v>
      </c>
      <c r="N50" s="16">
        <f t="shared" si="22"/>
        <v>3.2301116577969149E-2</v>
      </c>
    </row>
    <row r="51" spans="1:15" ht="14.25" x14ac:dyDescent="0.45">
      <c r="B51" s="185"/>
      <c r="C51" s="192"/>
      <c r="D51" s="15" t="s">
        <v>44</v>
      </c>
      <c r="E51" s="16"/>
      <c r="F51" s="16"/>
      <c r="G51" s="16"/>
      <c r="H51" s="16"/>
      <c r="I51" s="125">
        <f>AVERAGE(E50:I50)</f>
        <v>0.11962448559670782</v>
      </c>
      <c r="J51" s="16"/>
      <c r="K51" s="16"/>
      <c r="L51" s="16"/>
      <c r="M51" s="16"/>
      <c r="N51" s="17">
        <f>AVERAGE(E50:N50)</f>
        <v>8.3849441711015424E-2</v>
      </c>
    </row>
    <row r="52" spans="1:15" ht="14.25" x14ac:dyDescent="0.45">
      <c r="B52" s="185"/>
      <c r="C52" s="192"/>
      <c r="D52" s="15" t="s">
        <v>42</v>
      </c>
      <c r="E52" s="16">
        <f t="shared" ref="E52:N52" si="23">E$17*(E50/E$19)</f>
        <v>0.16666666666666666</v>
      </c>
      <c r="F52" s="16">
        <f t="shared" si="23"/>
        <v>0.30555555555555552</v>
      </c>
      <c r="G52" s="16">
        <f t="shared" si="23"/>
        <v>0.42129629629629645</v>
      </c>
      <c r="H52" s="16">
        <f t="shared" si="23"/>
        <v>0.51774691358024671</v>
      </c>
      <c r="I52" s="16">
        <f t="shared" si="23"/>
        <v>0.59812242798353932</v>
      </c>
      <c r="J52" s="16">
        <f t="shared" si="23"/>
        <v>0.66510202331961521</v>
      </c>
      <c r="K52" s="16">
        <f t="shared" si="23"/>
        <v>0.72091835276634697</v>
      </c>
      <c r="L52" s="16">
        <f t="shared" si="23"/>
        <v>0.76743196063862273</v>
      </c>
      <c r="M52" s="16">
        <f t="shared" si="23"/>
        <v>0.80619330053218674</v>
      </c>
      <c r="N52" s="16">
        <f t="shared" si="23"/>
        <v>0.83849441711015316</v>
      </c>
    </row>
    <row r="53" spans="1:15" ht="14.25" customHeight="1" x14ac:dyDescent="0.45">
      <c r="B53" s="185"/>
      <c r="C53" s="193"/>
      <c r="D53" s="19" t="s">
        <v>45</v>
      </c>
      <c r="E53" s="20">
        <f>10*E50</f>
        <v>1.6666666666666665</v>
      </c>
      <c r="F53" s="20">
        <f t="shared" ref="F53:N53" si="24">10*F50</f>
        <v>1.3888888888888888</v>
      </c>
      <c r="G53" s="20">
        <f t="shared" si="24"/>
        <v>1.1574074074074074</v>
      </c>
      <c r="H53" s="20">
        <f t="shared" si="24"/>
        <v>0.96450617283950613</v>
      </c>
      <c r="I53" s="20">
        <f t="shared" si="24"/>
        <v>0.80375514403292181</v>
      </c>
      <c r="J53" s="20">
        <f t="shared" si="24"/>
        <v>0.66979595336076803</v>
      </c>
      <c r="K53" s="20">
        <f t="shared" si="24"/>
        <v>0.55816329446730673</v>
      </c>
      <c r="L53" s="20">
        <f t="shared" si="24"/>
        <v>0.4651360787227557</v>
      </c>
      <c r="M53" s="20">
        <f t="shared" si="24"/>
        <v>0.38761339893562974</v>
      </c>
      <c r="N53" s="20">
        <f t="shared" si="24"/>
        <v>0.32301116577969147</v>
      </c>
    </row>
    <row r="54" spans="1:15" ht="14.25" x14ac:dyDescent="0.45">
      <c r="B54" s="185"/>
      <c r="C54" s="193"/>
      <c r="D54" s="19" t="s">
        <v>46</v>
      </c>
      <c r="E54" s="20">
        <f>10*E52</f>
        <v>1.6666666666666665</v>
      </c>
      <c r="F54" s="20">
        <f>10*F52</f>
        <v>3.0555555555555554</v>
      </c>
      <c r="G54" s="20">
        <f>10*G52</f>
        <v>4.2129629629629646</v>
      </c>
      <c r="H54" s="20">
        <f t="shared" ref="H54:N54" si="25">10*H52</f>
        <v>5.1774691358024674</v>
      </c>
      <c r="I54" s="20">
        <f t="shared" si="25"/>
        <v>5.9812242798353932</v>
      </c>
      <c r="J54" s="20">
        <f t="shared" si="25"/>
        <v>6.6510202331961521</v>
      </c>
      <c r="K54" s="20">
        <f t="shared" si="25"/>
        <v>7.2091835276634697</v>
      </c>
      <c r="L54" s="20">
        <f t="shared" si="25"/>
        <v>7.6743196063862271</v>
      </c>
      <c r="M54" s="20">
        <f t="shared" si="25"/>
        <v>8.0619330053218672</v>
      </c>
      <c r="N54" s="20">
        <f t="shared" si="25"/>
        <v>8.384944171101532</v>
      </c>
    </row>
    <row r="55" spans="1:15" ht="14.25" x14ac:dyDescent="0.45">
      <c r="B55" s="185"/>
      <c r="C55" s="191" t="s">
        <v>36</v>
      </c>
      <c r="D55" s="15" t="s">
        <v>43</v>
      </c>
      <c r="E55" s="16">
        <f t="shared" ref="E55:N55" si="26">$E9+($E$10*$E$11)</f>
        <v>0.2</v>
      </c>
      <c r="F55" s="16">
        <f t="shared" si="26"/>
        <v>0.2</v>
      </c>
      <c r="G55" s="16">
        <f t="shared" si="26"/>
        <v>0.2</v>
      </c>
      <c r="H55" s="16">
        <f t="shared" si="26"/>
        <v>0.2</v>
      </c>
      <c r="I55" s="16">
        <f t="shared" si="26"/>
        <v>0.2</v>
      </c>
      <c r="J55" s="16">
        <f t="shared" si="26"/>
        <v>0.2</v>
      </c>
      <c r="K55" s="16">
        <f t="shared" si="26"/>
        <v>0.2</v>
      </c>
      <c r="L55" s="16">
        <f t="shared" si="26"/>
        <v>0.2</v>
      </c>
      <c r="M55" s="16">
        <f t="shared" si="26"/>
        <v>0.2</v>
      </c>
      <c r="N55" s="16">
        <f t="shared" si="26"/>
        <v>0.2</v>
      </c>
    </row>
    <row r="56" spans="1:15" ht="14.25" customHeight="1" x14ac:dyDescent="0.45">
      <c r="B56" s="185"/>
      <c r="C56" s="193"/>
      <c r="D56" s="19" t="s">
        <v>45</v>
      </c>
      <c r="E56" s="21">
        <f t="shared" ref="E56:N56" si="27">E53*E$15</f>
        <v>199999.99999999997</v>
      </c>
      <c r="F56" s="21">
        <f t="shared" si="27"/>
        <v>200000</v>
      </c>
      <c r="G56" s="21">
        <f t="shared" si="27"/>
        <v>200000</v>
      </c>
      <c r="H56" s="21">
        <f t="shared" si="27"/>
        <v>200000</v>
      </c>
      <c r="I56" s="21">
        <f t="shared" si="27"/>
        <v>200000</v>
      </c>
      <c r="J56" s="21">
        <f t="shared" si="27"/>
        <v>199999.99999999997</v>
      </c>
      <c r="K56" s="21">
        <f t="shared" si="27"/>
        <v>199999.99999999997</v>
      </c>
      <c r="L56" s="21">
        <f t="shared" si="27"/>
        <v>200000</v>
      </c>
      <c r="M56" s="21">
        <f t="shared" si="27"/>
        <v>200000</v>
      </c>
      <c r="N56" s="21">
        <f t="shared" si="27"/>
        <v>200000</v>
      </c>
    </row>
    <row r="57" spans="1:15" ht="14.25" x14ac:dyDescent="0.45">
      <c r="B57" s="185"/>
      <c r="C57" s="193"/>
      <c r="D57" s="19" t="s">
        <v>46</v>
      </c>
      <c r="E57" s="21">
        <f>E56</f>
        <v>199999.99999999997</v>
      </c>
      <c r="F57" s="21">
        <f>E57+F56</f>
        <v>400000</v>
      </c>
      <c r="G57" s="21">
        <f>F57+G56</f>
        <v>600000</v>
      </c>
      <c r="H57" s="21">
        <f t="shared" ref="H57:N57" si="28">G57+H56</f>
        <v>800000</v>
      </c>
      <c r="I57" s="21">
        <f t="shared" si="28"/>
        <v>1000000</v>
      </c>
      <c r="J57" s="21">
        <f>I57+J56</f>
        <v>1200000</v>
      </c>
      <c r="K57" s="21">
        <f t="shared" si="28"/>
        <v>1400000</v>
      </c>
      <c r="L57" s="21">
        <f t="shared" si="28"/>
        <v>1600000</v>
      </c>
      <c r="M57" s="21">
        <f t="shared" si="28"/>
        <v>1800000</v>
      </c>
      <c r="N57" s="21">
        <f t="shared" si="28"/>
        <v>2000000</v>
      </c>
    </row>
    <row r="58" spans="1:15" ht="14.25" x14ac:dyDescent="0.45">
      <c r="B58" s="185"/>
      <c r="C58" s="191" t="s">
        <v>35</v>
      </c>
      <c r="D58" s="15" t="s">
        <v>43</v>
      </c>
      <c r="E58" s="16">
        <f>E52*E$15/$E$4</f>
        <v>0.2</v>
      </c>
      <c r="F58" s="16">
        <f>F52*F$15/$E$4-E58</f>
        <v>0.23999999999999994</v>
      </c>
      <c r="G58" s="16">
        <f>G52*G$15/$E$4-F58-E58</f>
        <v>0.28800000000000037</v>
      </c>
      <c r="H58" s="16">
        <f>H52*H$15/$E$4-G58-F58-E58</f>
        <v>0.34559999999999941</v>
      </c>
      <c r="I58" s="16">
        <f>I52*I$15/$E$4-H58-G58-F58-E58</f>
        <v>0.41472000000000081</v>
      </c>
      <c r="J58" s="16">
        <f>J52*J$15/$E$4-I58-H58-G58-F58-E58</f>
        <v>0.49766399999999761</v>
      </c>
      <c r="K58" s="16">
        <f>K52*K$15/$E$4-J58-I58-H58-G58-F58-E58</f>
        <v>0.59719680000000297</v>
      </c>
      <c r="L58" s="16">
        <f>L52*L$15/$E$4-K58-J58-I58-H58-G58-F58-E58</f>
        <v>0.71663616000000108</v>
      </c>
      <c r="M58" s="16">
        <f>M52*M$15/$E$4-L58-K58-J58-I58-H58-G58-F58-E58</f>
        <v>0.85996339200000582</v>
      </c>
      <c r="N58" s="16">
        <f>N52*N$15/$E$4-M58-L58-K58-J58-I58-H58-G58-F58-E58</f>
        <v>1.0319560703999842</v>
      </c>
    </row>
    <row r="59" spans="1:15" ht="14.25" x14ac:dyDescent="0.45">
      <c r="B59" s="185"/>
      <c r="C59" s="192"/>
      <c r="D59" s="15" t="s">
        <v>44</v>
      </c>
      <c r="E59" s="17"/>
      <c r="F59" s="17"/>
      <c r="G59" s="17"/>
      <c r="H59" s="17"/>
      <c r="I59" s="17">
        <f>AVERAGE(E58:I58)</f>
        <v>0.2976640000000001</v>
      </c>
      <c r="J59" s="17"/>
      <c r="K59" s="17"/>
      <c r="L59" s="17"/>
      <c r="M59" s="17"/>
      <c r="N59" s="17">
        <f>AVERAGE(E58:N58)</f>
        <v>0.51917364223999907</v>
      </c>
    </row>
    <row r="60" spans="1:15" ht="14.25" x14ac:dyDescent="0.45">
      <c r="B60" s="185"/>
      <c r="C60" s="193"/>
      <c r="D60" s="19" t="s">
        <v>45</v>
      </c>
      <c r="E60" s="22">
        <f>E62</f>
        <v>199999.99999999997</v>
      </c>
      <c r="F60" s="22">
        <f>F62-E62</f>
        <v>240000.00000000003</v>
      </c>
      <c r="G60" s="22">
        <f>G62-F62</f>
        <v>288000.00000000023</v>
      </c>
      <c r="H60" s="22">
        <f t="shared" ref="H60:N60" si="29">H62-G62</f>
        <v>345599.9999999993</v>
      </c>
      <c r="I60" s="22">
        <f t="shared" si="29"/>
        <v>414720.00000000093</v>
      </c>
      <c r="J60" s="22">
        <f>J62-I62</f>
        <v>497663.99999999767</v>
      </c>
      <c r="K60" s="22">
        <f t="shared" si="29"/>
        <v>597196.80000000354</v>
      </c>
      <c r="L60" s="22">
        <f t="shared" si="29"/>
        <v>716636.16000000061</v>
      </c>
      <c r="M60" s="22">
        <f t="shared" si="29"/>
        <v>859963.39200000558</v>
      </c>
      <c r="N60" s="22">
        <f t="shared" si="29"/>
        <v>1031956.0703999852</v>
      </c>
    </row>
    <row r="61" spans="1:15" ht="15" customHeight="1" x14ac:dyDescent="0.45">
      <c r="B61" s="185"/>
      <c r="C61" s="193"/>
      <c r="D61" s="19" t="s">
        <v>47</v>
      </c>
      <c r="E61" s="22"/>
      <c r="F61" s="22"/>
      <c r="G61" s="22"/>
      <c r="H61" s="22"/>
      <c r="I61" s="22">
        <f>AVERAGE(E60:I60)</f>
        <v>297664.00000000012</v>
      </c>
      <c r="J61" s="22"/>
      <c r="K61" s="22"/>
      <c r="L61" s="22"/>
      <c r="M61" s="22"/>
      <c r="N61" s="22">
        <f>AVERAGE(E60:N60)</f>
        <v>519173.64223999932</v>
      </c>
    </row>
    <row r="62" spans="1:15" ht="14.25" x14ac:dyDescent="0.45">
      <c r="B62" s="186"/>
      <c r="C62" s="193"/>
      <c r="D62" s="19" t="s">
        <v>46</v>
      </c>
      <c r="E62" s="21">
        <f t="shared" ref="E62:N62" si="30">E54*E$15</f>
        <v>199999.99999999997</v>
      </c>
      <c r="F62" s="21">
        <f t="shared" si="30"/>
        <v>440000</v>
      </c>
      <c r="G62" s="21">
        <f t="shared" si="30"/>
        <v>728000.00000000023</v>
      </c>
      <c r="H62" s="21">
        <f t="shared" si="30"/>
        <v>1073599.9999999995</v>
      </c>
      <c r="I62" s="21">
        <f t="shared" si="30"/>
        <v>1488320.0000000005</v>
      </c>
      <c r="J62" s="21">
        <f t="shared" si="30"/>
        <v>1985983.9999999981</v>
      </c>
      <c r="K62" s="21">
        <f t="shared" si="30"/>
        <v>2583180.8000000017</v>
      </c>
      <c r="L62" s="21">
        <f t="shared" si="30"/>
        <v>3299816.9600000023</v>
      </c>
      <c r="M62" s="21">
        <f t="shared" si="30"/>
        <v>4159780.3520000079</v>
      </c>
      <c r="N62" s="21">
        <f t="shared" si="30"/>
        <v>5191736.4223999931</v>
      </c>
    </row>
    <row r="63" spans="1:15" ht="14.25" x14ac:dyDescent="0.45">
      <c r="A63" s="8"/>
      <c r="B63" s="3"/>
      <c r="C63" s="1"/>
      <c r="D63" s="43"/>
      <c r="E63" s="31"/>
      <c r="F63" s="31"/>
      <c r="G63" s="31"/>
      <c r="H63" s="31"/>
      <c r="I63" s="31"/>
      <c r="J63" s="31"/>
      <c r="K63" s="31"/>
      <c r="L63" s="31"/>
      <c r="M63" s="31"/>
      <c r="N63" s="31"/>
      <c r="O63" s="8"/>
    </row>
    <row r="64" spans="1:15" ht="14.25" x14ac:dyDescent="0.45">
      <c r="B64" s="189" t="s">
        <v>115</v>
      </c>
      <c r="C64" s="187" t="s">
        <v>21</v>
      </c>
      <c r="D64" s="180" t="str">
        <f>"10 BTC / "&amp;TEXT($E$4*10, "$###0.00,,")&amp;"M USD"</f>
        <v>10 BTC / $1.00M USD</v>
      </c>
      <c r="E64" s="174" t="s">
        <v>3</v>
      </c>
      <c r="F64" s="174" t="s">
        <v>4</v>
      </c>
      <c r="G64" s="174" t="s">
        <v>5</v>
      </c>
      <c r="H64" s="174" t="s">
        <v>6</v>
      </c>
      <c r="I64" s="174" t="s">
        <v>7</v>
      </c>
      <c r="J64" s="174" t="s">
        <v>8</v>
      </c>
      <c r="K64" s="174" t="s">
        <v>9</v>
      </c>
      <c r="L64" s="174" t="s">
        <v>10</v>
      </c>
      <c r="M64" s="174" t="s">
        <v>11</v>
      </c>
      <c r="N64" s="174" t="s">
        <v>12</v>
      </c>
    </row>
    <row r="65" spans="2:14" ht="14.25" x14ac:dyDescent="0.45">
      <c r="B65" s="190"/>
      <c r="C65" s="188"/>
      <c r="D65" s="181"/>
      <c r="E65" s="175"/>
      <c r="F65" s="175"/>
      <c r="G65" s="175"/>
      <c r="H65" s="175"/>
      <c r="I65" s="175"/>
      <c r="J65" s="175"/>
      <c r="K65" s="175"/>
      <c r="L65" s="175"/>
      <c r="M65" s="175"/>
      <c r="N65" s="175"/>
    </row>
    <row r="66" spans="2:14" ht="14.25" x14ac:dyDescent="0.45">
      <c r="B66" s="193" t="s">
        <v>16</v>
      </c>
      <c r="C66" s="192" t="s">
        <v>32</v>
      </c>
      <c r="D66" s="15" t="s">
        <v>58</v>
      </c>
      <c r="E66" s="16">
        <f>E$23</f>
        <v>0.5</v>
      </c>
      <c r="F66" s="16">
        <f t="shared" ref="F66:N66" si="31">F$23</f>
        <v>0.41666666666666674</v>
      </c>
      <c r="G66" s="16">
        <f t="shared" si="31"/>
        <v>0.3472222222222221</v>
      </c>
      <c r="H66" s="16">
        <f t="shared" si="31"/>
        <v>0.28935185185185197</v>
      </c>
      <c r="I66" s="16">
        <f t="shared" si="31"/>
        <v>0.24112654320987648</v>
      </c>
      <c r="J66" s="16">
        <f t="shared" si="31"/>
        <v>0.20093878600823067</v>
      </c>
      <c r="K66" s="16">
        <f t="shared" si="31"/>
        <v>0.16744898834019195</v>
      </c>
      <c r="L66" s="16">
        <f t="shared" si="31"/>
        <v>0.13954082361682663</v>
      </c>
      <c r="M66" s="16">
        <f t="shared" si="31"/>
        <v>0.11628401968068869</v>
      </c>
      <c r="N66" s="16">
        <f t="shared" si="31"/>
        <v>9.6903349733907573E-2</v>
      </c>
    </row>
    <row r="67" spans="2:14" ht="14.25" x14ac:dyDescent="0.45">
      <c r="B67" s="193"/>
      <c r="C67" s="192"/>
      <c r="D67" s="15" t="s">
        <v>59</v>
      </c>
      <c r="E67" s="16"/>
      <c r="F67" s="16"/>
      <c r="G67" s="16"/>
      <c r="H67" s="16"/>
      <c r="I67" s="80">
        <f>AVERAGE(E66:I66)</f>
        <v>0.3588734567901235</v>
      </c>
      <c r="J67" s="16"/>
      <c r="K67" s="16"/>
      <c r="L67" s="16"/>
      <c r="M67" s="16"/>
      <c r="N67" s="17">
        <f>AVERAGE(E66:N66)</f>
        <v>0.25154832513304626</v>
      </c>
    </row>
    <row r="68" spans="2:14" ht="14.25" x14ac:dyDescent="0.45">
      <c r="B68" s="193"/>
      <c r="C68" s="192"/>
      <c r="D68" s="15" t="s">
        <v>42</v>
      </c>
      <c r="E68" s="16">
        <f>E$17*(E66/E$19)</f>
        <v>0.5</v>
      </c>
      <c r="F68" s="16">
        <f t="shared" ref="F68:N68" si="32">F$17*(F66/F$19)</f>
        <v>0.91666666666666674</v>
      </c>
      <c r="G68" s="16">
        <f>G$17*(G66/G$19)</f>
        <v>1.2638888888888888</v>
      </c>
      <c r="H68" s="16">
        <f>H$17*(H66/H$19)</f>
        <v>1.5532407407407409</v>
      </c>
      <c r="I68" s="16">
        <f>I$17*(I66/I$19)</f>
        <v>1.7943672839506173</v>
      </c>
      <c r="J68" s="16">
        <f t="shared" si="32"/>
        <v>1.9953060699588478</v>
      </c>
      <c r="K68" s="16">
        <f t="shared" si="32"/>
        <v>2.16275505829904</v>
      </c>
      <c r="L68" s="16">
        <f t="shared" si="32"/>
        <v>2.3022958819158665</v>
      </c>
      <c r="M68" s="16">
        <f t="shared" si="32"/>
        <v>2.418579901596555</v>
      </c>
      <c r="N68" s="16">
        <f t="shared" si="32"/>
        <v>2.5154832513304628</v>
      </c>
    </row>
    <row r="69" spans="2:14" ht="14.25" customHeight="1" x14ac:dyDescent="0.45">
      <c r="B69" s="193"/>
      <c r="C69" s="193"/>
      <c r="D69" s="19" t="s">
        <v>45</v>
      </c>
      <c r="E69" s="20">
        <f>10*E66</f>
        <v>5</v>
      </c>
      <c r="F69" s="20">
        <f t="shared" ref="F69:N69" si="33">10*F66</f>
        <v>4.1666666666666679</v>
      </c>
      <c r="G69" s="20">
        <f t="shared" si="33"/>
        <v>3.472222222222221</v>
      </c>
      <c r="H69" s="20">
        <f t="shared" si="33"/>
        <v>2.8935185185185199</v>
      </c>
      <c r="I69" s="20">
        <f t="shared" si="33"/>
        <v>2.411265432098765</v>
      </c>
      <c r="J69" s="20">
        <f t="shared" si="33"/>
        <v>2.009387860082307</v>
      </c>
      <c r="K69" s="20">
        <f t="shared" si="33"/>
        <v>1.6744898834019195</v>
      </c>
      <c r="L69" s="20">
        <f t="shared" si="33"/>
        <v>1.3954082361682663</v>
      </c>
      <c r="M69" s="20">
        <f t="shared" si="33"/>
        <v>1.1628401968068869</v>
      </c>
      <c r="N69" s="20">
        <f t="shared" si="33"/>
        <v>0.96903349733907573</v>
      </c>
    </row>
    <row r="70" spans="2:14" ht="14.25" x14ac:dyDescent="0.45">
      <c r="B70" s="193"/>
      <c r="C70" s="193"/>
      <c r="D70" s="19" t="s">
        <v>46</v>
      </c>
      <c r="E70" s="20">
        <f>10*E68</f>
        <v>5</v>
      </c>
      <c r="F70" s="20">
        <f>10*F68</f>
        <v>9.1666666666666679</v>
      </c>
      <c r="G70" s="20">
        <f>10*G68</f>
        <v>12.638888888888889</v>
      </c>
      <c r="H70" s="20">
        <f t="shared" ref="H70:N70" si="34">10*H68</f>
        <v>15.532407407407408</v>
      </c>
      <c r="I70" s="20">
        <f t="shared" si="34"/>
        <v>17.943672839506174</v>
      </c>
      <c r="J70" s="20">
        <f t="shared" si="34"/>
        <v>19.953060699588477</v>
      </c>
      <c r="K70" s="20">
        <f t="shared" si="34"/>
        <v>21.627550582990402</v>
      </c>
      <c r="L70" s="20">
        <f t="shared" si="34"/>
        <v>23.022958819158667</v>
      </c>
      <c r="M70" s="20">
        <f t="shared" si="34"/>
        <v>24.18579901596555</v>
      </c>
      <c r="N70" s="20">
        <f t="shared" si="34"/>
        <v>25.154832513304626</v>
      </c>
    </row>
    <row r="71" spans="2:14" ht="14.25" x14ac:dyDescent="0.45">
      <c r="B71" s="193"/>
      <c r="C71" s="191" t="s">
        <v>36</v>
      </c>
      <c r="D71" s="15" t="s">
        <v>43</v>
      </c>
      <c r="E71" s="16">
        <f t="shared" ref="E71:N71" si="35">E66*E$15/$E$4</f>
        <v>0.6</v>
      </c>
      <c r="F71" s="16">
        <f t="shared" si="35"/>
        <v>0.60000000000000009</v>
      </c>
      <c r="G71" s="16">
        <f t="shared" si="35"/>
        <v>0.59999999999999976</v>
      </c>
      <c r="H71" s="16">
        <f t="shared" si="35"/>
        <v>0.6000000000000002</v>
      </c>
      <c r="I71" s="16">
        <f t="shared" si="35"/>
        <v>0.59999999999999987</v>
      </c>
      <c r="J71" s="16">
        <f t="shared" si="35"/>
        <v>0.60000000000000075</v>
      </c>
      <c r="K71" s="16">
        <f t="shared" si="35"/>
        <v>0.59999999999999976</v>
      </c>
      <c r="L71" s="16">
        <f t="shared" si="35"/>
        <v>0.59999999999999964</v>
      </c>
      <c r="M71" s="16">
        <f t="shared" si="35"/>
        <v>0.59999999999999876</v>
      </c>
      <c r="N71" s="16">
        <f t="shared" si="35"/>
        <v>0.60000000000000075</v>
      </c>
    </row>
    <row r="72" spans="2:14" ht="14.25" customHeight="1" x14ac:dyDescent="0.45">
      <c r="B72" s="193"/>
      <c r="C72" s="193"/>
      <c r="D72" s="19" t="s">
        <v>45</v>
      </c>
      <c r="E72" s="21">
        <f t="shared" ref="E72:N72" si="36">E69*E$15</f>
        <v>600000</v>
      </c>
      <c r="F72" s="21">
        <f t="shared" si="36"/>
        <v>600000.00000000012</v>
      </c>
      <c r="G72" s="21">
        <f>G69*G$15</f>
        <v>599999.99999999977</v>
      </c>
      <c r="H72" s="21">
        <f>H69*H$15</f>
        <v>600000.00000000035</v>
      </c>
      <c r="I72" s="21">
        <f>I69*I$15</f>
        <v>599999.99999999988</v>
      </c>
      <c r="J72" s="21">
        <f t="shared" si="36"/>
        <v>600000.00000000081</v>
      </c>
      <c r="K72" s="21">
        <f t="shared" si="36"/>
        <v>599999.99999999965</v>
      </c>
      <c r="L72" s="21">
        <f t="shared" si="36"/>
        <v>599999.99999999965</v>
      </c>
      <c r="M72" s="21">
        <f t="shared" si="36"/>
        <v>599999.99999999884</v>
      </c>
      <c r="N72" s="21">
        <f t="shared" si="36"/>
        <v>600000.00000000081</v>
      </c>
    </row>
    <row r="73" spans="2:14" ht="14.25" x14ac:dyDescent="0.45">
      <c r="B73" s="193"/>
      <c r="C73" s="193"/>
      <c r="D73" s="19" t="s">
        <v>46</v>
      </c>
      <c r="E73" s="21">
        <f>E72</f>
        <v>600000</v>
      </c>
      <c r="F73" s="21">
        <f>E73+F72</f>
        <v>1200000</v>
      </c>
      <c r="G73" s="21">
        <f>F73+G72</f>
        <v>1799999.9999999998</v>
      </c>
      <c r="H73" s="21">
        <f t="shared" ref="H73:N73" si="37">G73+H72</f>
        <v>2400000</v>
      </c>
      <c r="I73" s="21">
        <f t="shared" si="37"/>
        <v>3000000</v>
      </c>
      <c r="J73" s="21">
        <f>I73+J72</f>
        <v>3600000.0000000009</v>
      </c>
      <c r="K73" s="21">
        <f t="shared" si="37"/>
        <v>4200000.0000000009</v>
      </c>
      <c r="L73" s="21">
        <f t="shared" si="37"/>
        <v>4800000.0000000009</v>
      </c>
      <c r="M73" s="21">
        <f t="shared" si="37"/>
        <v>5400000</v>
      </c>
      <c r="N73" s="21">
        <f t="shared" si="37"/>
        <v>6000000.0000000009</v>
      </c>
    </row>
    <row r="74" spans="2:14" ht="14.25" x14ac:dyDescent="0.45">
      <c r="B74" s="193"/>
      <c r="C74" s="191" t="s">
        <v>35</v>
      </c>
      <c r="D74" s="15" t="s">
        <v>43</v>
      </c>
      <c r="E74" s="16">
        <f>E68*E$15/$E$4</f>
        <v>0.6</v>
      </c>
      <c r="F74" s="16">
        <f>F68*F$15/$E$4-E74</f>
        <v>0.72000000000000008</v>
      </c>
      <c r="G74" s="16">
        <f>G68*G$15/$E$4-F74-E74</f>
        <v>0.86399999999999999</v>
      </c>
      <c r="H74" s="16">
        <f>H68*H$15/$E$4-G74-F74-E74</f>
        <v>1.0368000000000004</v>
      </c>
      <c r="I74" s="16">
        <f>I68*I$15/$E$4-H74-G74-F74-E74</f>
        <v>1.244159999999999</v>
      </c>
      <c r="J74" s="16">
        <f>J68*J$15/$E$4-I74-H74-G74-F74-E74</f>
        <v>1.492992000000001</v>
      </c>
      <c r="K74" s="16">
        <f>K68*K$15/$E$4-J74-I74-H74-G74-F74-E74</f>
        <v>1.7915904000000005</v>
      </c>
      <c r="L74" s="16">
        <f>L68*L$15/$E$4-K74-J74-I74-H74-G74-F74-E74</f>
        <v>2.1499084799999988</v>
      </c>
      <c r="M74" s="16">
        <f>M68*M$15/$E$4-L74-K74-J74-I74-H74-G74-F74-E74</f>
        <v>2.5798901759999975</v>
      </c>
      <c r="N74" s="16">
        <f>N68*N$15/$E$4-M74-L74-K74-J74-I74-H74-G74-F74-E74</f>
        <v>3.0958682112000009</v>
      </c>
    </row>
    <row r="75" spans="2:14" ht="14.25" x14ac:dyDescent="0.45">
      <c r="B75" s="193"/>
      <c r="C75" s="192"/>
      <c r="D75" s="15" t="s">
        <v>44</v>
      </c>
      <c r="E75" s="17"/>
      <c r="F75" s="17"/>
      <c r="G75" s="17"/>
      <c r="H75" s="17"/>
      <c r="I75" s="17">
        <f>AVERAGE(E74:I74)</f>
        <v>0.8929919999999999</v>
      </c>
      <c r="J75" s="17"/>
      <c r="K75" s="17"/>
      <c r="L75" s="17"/>
      <c r="M75" s="17"/>
      <c r="N75" s="17">
        <f>AVERAGE(E74:N74)</f>
        <v>1.5575209267199999</v>
      </c>
    </row>
    <row r="76" spans="2:14" ht="14.25" x14ac:dyDescent="0.45">
      <c r="B76" s="193"/>
      <c r="C76" s="193"/>
      <c r="D76" s="19" t="s">
        <v>45</v>
      </c>
      <c r="E76" s="22">
        <f>E78</f>
        <v>600000</v>
      </c>
      <c r="F76" s="22">
        <f>F78-E78</f>
        <v>720000.00000000023</v>
      </c>
      <c r="G76" s="22">
        <f>G78-F78</f>
        <v>863999.99999999977</v>
      </c>
      <c r="H76" s="22">
        <f t="shared" ref="H76:N76" si="38">H78-G78</f>
        <v>1036800</v>
      </c>
      <c r="I76" s="22">
        <f t="shared" si="38"/>
        <v>1244160</v>
      </c>
      <c r="J76" s="22">
        <f>J78-I78</f>
        <v>1492992</v>
      </c>
      <c r="K76" s="22">
        <f t="shared" si="38"/>
        <v>1791590.4000000022</v>
      </c>
      <c r="L76" s="22">
        <f t="shared" si="38"/>
        <v>2149908.4799999986</v>
      </c>
      <c r="M76" s="22">
        <f t="shared" si="38"/>
        <v>2579890.1759999972</v>
      </c>
      <c r="N76" s="22">
        <f t="shared" si="38"/>
        <v>3095868.2111999989</v>
      </c>
    </row>
    <row r="77" spans="2:14" ht="14.25" x14ac:dyDescent="0.45">
      <c r="B77" s="193"/>
      <c r="C77" s="193"/>
      <c r="D77" s="19" t="s">
        <v>47</v>
      </c>
      <c r="E77" s="22"/>
      <c r="F77" s="22"/>
      <c r="G77" s="22"/>
      <c r="H77" s="22"/>
      <c r="I77" s="22">
        <f>AVERAGE(E76:I76)</f>
        <v>892992</v>
      </c>
      <c r="J77" s="22"/>
      <c r="K77" s="22"/>
      <c r="L77" s="22"/>
      <c r="M77" s="22"/>
      <c r="N77" s="22">
        <f>AVERAGE(E76:N76)</f>
        <v>1557520.9267199996</v>
      </c>
    </row>
    <row r="78" spans="2:14" ht="14.25" x14ac:dyDescent="0.45">
      <c r="B78" s="193"/>
      <c r="C78" s="193"/>
      <c r="D78" s="19" t="s">
        <v>46</v>
      </c>
      <c r="E78" s="21">
        <f t="shared" ref="E78:N78" si="39">E70*E$15</f>
        <v>600000</v>
      </c>
      <c r="F78" s="21">
        <f t="shared" si="39"/>
        <v>1320000.0000000002</v>
      </c>
      <c r="G78" s="21">
        <f>G70*G$15</f>
        <v>2184000</v>
      </c>
      <c r="H78" s="21">
        <f>H70*H$15</f>
        <v>3220800</v>
      </c>
      <c r="I78" s="21">
        <f>I70*I$15</f>
        <v>4464960</v>
      </c>
      <c r="J78" s="21">
        <f t="shared" si="39"/>
        <v>5957952</v>
      </c>
      <c r="K78" s="21">
        <f t="shared" si="39"/>
        <v>7749542.4000000022</v>
      </c>
      <c r="L78" s="21">
        <f t="shared" si="39"/>
        <v>9899450.8800000008</v>
      </c>
      <c r="M78" s="21">
        <f t="shared" si="39"/>
        <v>12479341.055999998</v>
      </c>
      <c r="N78" s="21">
        <f t="shared" si="39"/>
        <v>15575209.267199997</v>
      </c>
    </row>
    <row r="79" spans="2:14" ht="14.25" x14ac:dyDescent="0.45">
      <c r="B79" s="193" t="s">
        <v>137</v>
      </c>
      <c r="C79" s="192" t="s">
        <v>32</v>
      </c>
      <c r="D79" s="15" t="s">
        <v>43</v>
      </c>
      <c r="E79" s="16">
        <f>E$25</f>
        <v>7.6666666666666661E-2</v>
      </c>
      <c r="F79" s="16">
        <f t="shared" ref="F79:N79" si="40">F$25</f>
        <v>7.3888888888888893E-2</v>
      </c>
      <c r="G79" s="16">
        <f t="shared" si="40"/>
        <v>7.1574074074074068E-2</v>
      </c>
      <c r="H79" s="16">
        <f t="shared" si="40"/>
        <v>6.9645061728395061E-2</v>
      </c>
      <c r="I79" s="16">
        <f t="shared" si="40"/>
        <v>6.8037551440329219E-2</v>
      </c>
      <c r="J79" s="16">
        <f t="shared" si="40"/>
        <v>6.6697959533607673E-2</v>
      </c>
      <c r="K79" s="16">
        <f t="shared" si="40"/>
        <v>6.5581632944673063E-2</v>
      </c>
      <c r="L79" s="16">
        <f t="shared" si="40"/>
        <v>6.4651360787227552E-2</v>
      </c>
      <c r="M79" s="16">
        <f t="shared" si="40"/>
        <v>6.3876133989356293E-2</v>
      </c>
      <c r="N79" s="16">
        <f t="shared" si="40"/>
        <v>6.3230111657796906E-2</v>
      </c>
    </row>
    <row r="80" spans="2:14" ht="14.25" x14ac:dyDescent="0.45">
      <c r="B80" s="193"/>
      <c r="C80" s="192"/>
      <c r="D80" s="15" t="s">
        <v>44</v>
      </c>
      <c r="E80" s="16"/>
      <c r="F80" s="16"/>
      <c r="G80" s="16"/>
      <c r="H80" s="16"/>
      <c r="I80" s="80">
        <f>AVERAGE(E79:I79)</f>
        <v>7.196244855967078E-2</v>
      </c>
      <c r="J80" s="17"/>
      <c r="K80" s="17"/>
      <c r="L80" s="17"/>
      <c r="M80" s="17"/>
      <c r="N80" s="17">
        <f>AVERAGE(E79:N79)</f>
        <v>6.8384944171101553E-2</v>
      </c>
    </row>
    <row r="81" spans="2:14" ht="14.25" x14ac:dyDescent="0.45">
      <c r="B81" s="193"/>
      <c r="C81" s="192"/>
      <c r="D81" s="15" t="s">
        <v>42</v>
      </c>
      <c r="E81" s="16">
        <f>E$27</f>
        <v>7.6666666666666661E-2</v>
      </c>
      <c r="F81" s="16">
        <f t="shared" ref="F81:N81" si="41">F$27</f>
        <v>0.15055555555555555</v>
      </c>
      <c r="G81" s="16">
        <f t="shared" si="41"/>
        <v>0.22212962962962962</v>
      </c>
      <c r="H81" s="16">
        <f t="shared" si="41"/>
        <v>0.2917746913580247</v>
      </c>
      <c r="I81" s="16">
        <f t="shared" si="41"/>
        <v>0.35981224279835389</v>
      </c>
      <c r="J81" s="16">
        <f t="shared" si="41"/>
        <v>0.42651020233196157</v>
      </c>
      <c r="K81" s="16">
        <f t="shared" si="41"/>
        <v>0.49209183527663464</v>
      </c>
      <c r="L81" s="16">
        <f t="shared" si="41"/>
        <v>0.55674319606386224</v>
      </c>
      <c r="M81" s="16">
        <f t="shared" si="41"/>
        <v>0.62061933005321857</v>
      </c>
      <c r="N81" s="16">
        <f t="shared" si="41"/>
        <v>0.68384944171101547</v>
      </c>
    </row>
    <row r="82" spans="2:14" ht="14.25" customHeight="1" x14ac:dyDescent="0.45">
      <c r="B82" s="193"/>
      <c r="C82" s="193"/>
      <c r="D82" s="19" t="s">
        <v>45</v>
      </c>
      <c r="E82" s="20">
        <f t="shared" ref="E82:N82" si="42">10*E79</f>
        <v>0.76666666666666661</v>
      </c>
      <c r="F82" s="20">
        <f t="shared" si="42"/>
        <v>0.73888888888888893</v>
      </c>
      <c r="G82" s="20">
        <f t="shared" si="42"/>
        <v>0.71574074074074068</v>
      </c>
      <c r="H82" s="20">
        <f t="shared" si="42"/>
        <v>0.69645061728395063</v>
      </c>
      <c r="I82" s="20">
        <f t="shared" si="42"/>
        <v>0.68037551440329214</v>
      </c>
      <c r="J82" s="20">
        <f t="shared" si="42"/>
        <v>0.66697959533607676</v>
      </c>
      <c r="K82" s="20">
        <f t="shared" si="42"/>
        <v>0.65581632944673063</v>
      </c>
      <c r="L82" s="20">
        <f t="shared" si="42"/>
        <v>0.64651360787227552</v>
      </c>
      <c r="M82" s="20">
        <f t="shared" si="42"/>
        <v>0.63876133989356298</v>
      </c>
      <c r="N82" s="20">
        <f t="shared" si="42"/>
        <v>0.63230111657796906</v>
      </c>
    </row>
    <row r="83" spans="2:14" ht="14.25" x14ac:dyDescent="0.45">
      <c r="B83" s="193"/>
      <c r="C83" s="193"/>
      <c r="D83" s="19" t="s">
        <v>46</v>
      </c>
      <c r="E83" s="20">
        <f>10*E81</f>
        <v>0.76666666666666661</v>
      </c>
      <c r="F83" s="20">
        <f t="shared" ref="F83:N83" si="43">10*F81</f>
        <v>1.5055555555555555</v>
      </c>
      <c r="G83" s="20">
        <f t="shared" si="43"/>
        <v>2.2212962962962961</v>
      </c>
      <c r="H83" s="20">
        <f t="shared" si="43"/>
        <v>2.9177469135802472</v>
      </c>
      <c r="I83" s="20">
        <f t="shared" si="43"/>
        <v>3.5981224279835389</v>
      </c>
      <c r="J83" s="20">
        <f t="shared" si="43"/>
        <v>4.2651020233196153</v>
      </c>
      <c r="K83" s="20">
        <f t="shared" si="43"/>
        <v>4.9209183527663463</v>
      </c>
      <c r="L83" s="20">
        <f t="shared" si="43"/>
        <v>5.567431960638622</v>
      </c>
      <c r="M83" s="20">
        <f t="shared" si="43"/>
        <v>6.2061933005321857</v>
      </c>
      <c r="N83" s="20">
        <f t="shared" si="43"/>
        <v>6.8384944171101552</v>
      </c>
    </row>
    <row r="84" spans="2:14" ht="14.25" x14ac:dyDescent="0.45">
      <c r="B84" s="193"/>
      <c r="C84" s="191" t="s">
        <v>36</v>
      </c>
      <c r="D84" s="15" t="s">
        <v>43</v>
      </c>
      <c r="E84" s="16">
        <f>E79*E$15/$E$4</f>
        <v>9.1999999999999998E-2</v>
      </c>
      <c r="F84" s="16">
        <f t="shared" ref="F84:N84" si="44">F79*F$15/$E$4</f>
        <v>0.10639999999999999</v>
      </c>
      <c r="G84" s="16">
        <f t="shared" si="44"/>
        <v>0.12367999999999998</v>
      </c>
      <c r="H84" s="16">
        <f t="shared" si="44"/>
        <v>0.14441600000000002</v>
      </c>
      <c r="I84" s="16">
        <f t="shared" si="44"/>
        <v>0.16929920000000001</v>
      </c>
      <c r="J84" s="16">
        <f t="shared" si="44"/>
        <v>0.19915903999999998</v>
      </c>
      <c r="K84" s="16">
        <f t="shared" si="44"/>
        <v>0.234990848</v>
      </c>
      <c r="L84" s="16">
        <f t="shared" si="44"/>
        <v>0.27798901759999994</v>
      </c>
      <c r="M84" s="16">
        <f t="shared" si="44"/>
        <v>0.32958682111999993</v>
      </c>
      <c r="N84" s="16">
        <f t="shared" si="44"/>
        <v>0.39150418534399994</v>
      </c>
    </row>
    <row r="85" spans="2:14" ht="14.25" x14ac:dyDescent="0.45">
      <c r="B85" s="193"/>
      <c r="C85" s="192"/>
      <c r="D85" s="15" t="s">
        <v>44</v>
      </c>
      <c r="E85" s="16"/>
      <c r="F85" s="16"/>
      <c r="G85" s="16"/>
      <c r="H85" s="16"/>
      <c r="I85" s="17">
        <f>AVERAGE(E84:I84)</f>
        <v>0.12715904</v>
      </c>
      <c r="J85" s="17"/>
      <c r="K85" s="17"/>
      <c r="L85" s="17"/>
      <c r="M85" s="17"/>
      <c r="N85" s="17">
        <f>AVERAGE(E84:N84)</f>
        <v>0.20690251120639996</v>
      </c>
    </row>
    <row r="86" spans="2:14" ht="14.25" x14ac:dyDescent="0.45">
      <c r="B86" s="193"/>
      <c r="C86" s="193"/>
      <c r="D86" s="19" t="s">
        <v>45</v>
      </c>
      <c r="E86" s="23">
        <f t="shared" ref="E86:F86" si="45">E82*E$15</f>
        <v>92000</v>
      </c>
      <c r="F86" s="23">
        <f t="shared" si="45"/>
        <v>106400</v>
      </c>
      <c r="G86" s="23">
        <f>G82*G$15</f>
        <v>123679.99999999999</v>
      </c>
      <c r="H86" s="23">
        <f>H82*H$15</f>
        <v>144416</v>
      </c>
      <c r="I86" s="23">
        <f>I82*I$15</f>
        <v>169299.19999999998</v>
      </c>
      <c r="J86" s="23">
        <f t="shared" ref="J86:N86" si="46">J82*J$15</f>
        <v>199159.04000000001</v>
      </c>
      <c r="K86" s="23">
        <f t="shared" si="46"/>
        <v>234990.848</v>
      </c>
      <c r="L86" s="23">
        <f t="shared" si="46"/>
        <v>277989.01759999996</v>
      </c>
      <c r="M86" s="23">
        <f t="shared" si="46"/>
        <v>329586.82111999998</v>
      </c>
      <c r="N86" s="23">
        <f t="shared" si="46"/>
        <v>391504.18534399994</v>
      </c>
    </row>
    <row r="87" spans="2:14" ht="14.25" customHeight="1" x14ac:dyDescent="0.45">
      <c r="B87" s="193"/>
      <c r="C87" s="193"/>
      <c r="D87" s="19" t="s">
        <v>47</v>
      </c>
      <c r="E87" s="24"/>
      <c r="F87" s="24"/>
      <c r="G87" s="24"/>
      <c r="H87" s="24"/>
      <c r="I87" s="23">
        <f>AVERAGE(E86:I86)</f>
        <v>127159.03999999999</v>
      </c>
      <c r="J87" s="23"/>
      <c r="K87" s="23"/>
      <c r="L87" s="23"/>
      <c r="M87" s="23"/>
      <c r="N87" s="23">
        <f>AVERAGE(E86:N86)</f>
        <v>206902.51120639997</v>
      </c>
    </row>
    <row r="88" spans="2:14" ht="14.25" x14ac:dyDescent="0.45">
      <c r="B88" s="193"/>
      <c r="C88" s="193"/>
      <c r="D88" s="19" t="s">
        <v>46</v>
      </c>
      <c r="E88" s="24">
        <f>E86</f>
        <v>92000</v>
      </c>
      <c r="F88" s="24">
        <f t="shared" ref="F88" si="47">E88+F86</f>
        <v>198400</v>
      </c>
      <c r="G88" s="24">
        <f>F88+G86</f>
        <v>322080</v>
      </c>
      <c r="H88" s="24">
        <f t="shared" ref="H88:I88" si="48">G88+H86</f>
        <v>466496</v>
      </c>
      <c r="I88" s="24">
        <f t="shared" si="48"/>
        <v>635795.19999999995</v>
      </c>
      <c r="J88" s="24">
        <f>I88+J86</f>
        <v>834954.23999999999</v>
      </c>
      <c r="K88" s="24">
        <f t="shared" ref="K88:N88" si="49">J88+K86</f>
        <v>1069945.088</v>
      </c>
      <c r="L88" s="24">
        <f t="shared" si="49"/>
        <v>1347934.1055999999</v>
      </c>
      <c r="M88" s="24">
        <f t="shared" si="49"/>
        <v>1677520.9267199999</v>
      </c>
      <c r="N88" s="24">
        <f t="shared" si="49"/>
        <v>2069025.1120639998</v>
      </c>
    </row>
    <row r="89" spans="2:14" ht="14.25" x14ac:dyDescent="0.45">
      <c r="B89" s="193"/>
      <c r="C89" s="191" t="s">
        <v>35</v>
      </c>
      <c r="D89" s="15" t="s">
        <v>43</v>
      </c>
      <c r="E89" s="16">
        <f>E81*E$15/$E$4</f>
        <v>9.1999999999999998E-2</v>
      </c>
      <c r="F89" s="16">
        <f>F81*F$15/$E$4-E89</f>
        <v>0.12479999999999999</v>
      </c>
      <c r="G89" s="16">
        <f>G81*G$15/$E$4-F89-E89</f>
        <v>0.16704000000000005</v>
      </c>
      <c r="H89" s="16">
        <f>H81*H$15/$E$4-G89-F89-E89</f>
        <v>0.22118399999999991</v>
      </c>
      <c r="I89" s="16">
        <f>I81*I$15/$E$4-H89-G89-F89-E89</f>
        <v>0.2903039999999999</v>
      </c>
      <c r="J89" s="16">
        <f>J81*J$15/$E$4-I89-H89-G89-F89-E89</f>
        <v>0.37822464000000022</v>
      </c>
      <c r="K89" s="16">
        <f>K81*K$15/$E$4-J89-I89-H89-G89-F89-E89</f>
        <v>0.48970137599999997</v>
      </c>
      <c r="L89" s="16">
        <f>L81*L$15/$E$4-K89-J89-I89-H89-G89-F89-E89</f>
        <v>0.63063982079999981</v>
      </c>
      <c r="M89" s="16">
        <f>M81*M$15/$E$4-L89-K89-J89-I89-H89-G89-F89-E89</f>
        <v>0.80836558848000017</v>
      </c>
      <c r="N89" s="16">
        <f>N81*N$15/$E$4-M89-L89-K89-J89-I89-H89-G89-F89-E89</f>
        <v>1.0319560703999997</v>
      </c>
    </row>
    <row r="90" spans="2:14" ht="14.25" x14ac:dyDescent="0.45">
      <c r="B90" s="193"/>
      <c r="C90" s="192"/>
      <c r="D90" s="15" t="s">
        <v>44</v>
      </c>
      <c r="E90" s="17"/>
      <c r="F90" s="17"/>
      <c r="G90" s="17"/>
      <c r="H90" s="17"/>
      <c r="I90" s="17">
        <f>AVERAGE(E89:I89)</f>
        <v>0.17906559999999999</v>
      </c>
      <c r="J90" s="17"/>
      <c r="K90" s="17"/>
      <c r="L90" s="17"/>
      <c r="M90" s="17"/>
      <c r="N90" s="17">
        <f>AVERAGE(E89:N89)</f>
        <v>0.42342154956799993</v>
      </c>
    </row>
    <row r="91" spans="2:14" ht="14.25" x14ac:dyDescent="0.45">
      <c r="B91" s="193"/>
      <c r="C91" s="193"/>
      <c r="D91" s="19" t="s">
        <v>45</v>
      </c>
      <c r="E91" s="23">
        <f>E93</f>
        <v>92000</v>
      </c>
      <c r="F91" s="23">
        <f>F93-E93</f>
        <v>124800</v>
      </c>
      <c r="G91" s="23">
        <f>G93-F93</f>
        <v>167039.99999999994</v>
      </c>
      <c r="H91" s="23">
        <f>H93-G93</f>
        <v>221184.00000000006</v>
      </c>
      <c r="I91" s="23">
        <f>I93-H93</f>
        <v>290304</v>
      </c>
      <c r="J91" s="23">
        <f>J93-I93</f>
        <v>378224.6399999999</v>
      </c>
      <c r="K91" s="23">
        <f t="shared" ref="K91:N91" si="50">K93-J93</f>
        <v>489701.37600000016</v>
      </c>
      <c r="L91" s="23">
        <f t="shared" si="50"/>
        <v>630639.82079999964</v>
      </c>
      <c r="M91" s="23">
        <f t="shared" si="50"/>
        <v>808365.58848000038</v>
      </c>
      <c r="N91" s="23">
        <f t="shared" si="50"/>
        <v>1031956.0704000005</v>
      </c>
    </row>
    <row r="92" spans="2:14" ht="14.25" x14ac:dyDescent="0.45">
      <c r="B92" s="193"/>
      <c r="C92" s="193"/>
      <c r="D92" s="19" t="s">
        <v>47</v>
      </c>
      <c r="E92" s="23"/>
      <c r="F92" s="23"/>
      <c r="G92" s="23"/>
      <c r="H92" s="23"/>
      <c r="I92" s="23">
        <f>AVERAGE(E91:I91)</f>
        <v>179065.60000000001</v>
      </c>
      <c r="J92" s="23"/>
      <c r="K92" s="23"/>
      <c r="L92" s="23"/>
      <c r="M92" s="23"/>
      <c r="N92" s="23">
        <f>AVERAGE(E91:N91)</f>
        <v>423421.54956800007</v>
      </c>
    </row>
    <row r="93" spans="2:14" ht="14.25" x14ac:dyDescent="0.45">
      <c r="B93" s="193"/>
      <c r="C93" s="193"/>
      <c r="D93" s="19" t="s">
        <v>46</v>
      </c>
      <c r="E93" s="24">
        <f t="shared" ref="E93:F93" si="51">E83*E$15</f>
        <v>92000</v>
      </c>
      <c r="F93" s="24">
        <f t="shared" si="51"/>
        <v>216800</v>
      </c>
      <c r="G93" s="24">
        <f>G83*G$15</f>
        <v>383839.99999999994</v>
      </c>
      <c r="H93" s="24">
        <f>H83*H$15</f>
        <v>605024</v>
      </c>
      <c r="I93" s="24">
        <f>I83*I$15</f>
        <v>895328</v>
      </c>
      <c r="J93" s="24">
        <f t="shared" ref="J93:N93" si="52">J83*J$15</f>
        <v>1273552.6399999999</v>
      </c>
      <c r="K93" s="24">
        <f t="shared" si="52"/>
        <v>1763254.0160000001</v>
      </c>
      <c r="L93" s="24">
        <f t="shared" si="52"/>
        <v>2393893.8367999997</v>
      </c>
      <c r="M93" s="24">
        <f t="shared" si="52"/>
        <v>3202259.4252800001</v>
      </c>
      <c r="N93" s="24">
        <f t="shared" si="52"/>
        <v>4234215.4956800006</v>
      </c>
    </row>
    <row r="94" spans="2:14" ht="14.25" x14ac:dyDescent="0.45">
      <c r="B94" s="193" t="s">
        <v>17</v>
      </c>
      <c r="C94" s="192" t="s">
        <v>32</v>
      </c>
      <c r="D94" s="15" t="s">
        <v>43</v>
      </c>
      <c r="E94" s="16">
        <f>E$28</f>
        <v>3.833333333333333E-2</v>
      </c>
      <c r="F94" s="16">
        <f t="shared" ref="F94:N94" si="53">F$28</f>
        <v>3.6944444444444446E-2</v>
      </c>
      <c r="G94" s="16">
        <f t="shared" si="53"/>
        <v>3.5787037037037034E-2</v>
      </c>
      <c r="H94" s="16">
        <f t="shared" si="53"/>
        <v>3.482253086419753E-2</v>
      </c>
      <c r="I94" s="16">
        <f t="shared" si="53"/>
        <v>3.401877572016461E-2</v>
      </c>
      <c r="J94" s="16">
        <f t="shared" si="53"/>
        <v>3.3348979766803837E-2</v>
      </c>
      <c r="K94" s="16">
        <f t="shared" si="53"/>
        <v>3.2790816472336531E-2</v>
      </c>
      <c r="L94" s="16">
        <f t="shared" si="53"/>
        <v>3.2325680393613776E-2</v>
      </c>
      <c r="M94" s="16">
        <f t="shared" si="53"/>
        <v>3.1938066994678146E-2</v>
      </c>
      <c r="N94" s="16">
        <f t="shared" si="53"/>
        <v>3.1615055828898453E-2</v>
      </c>
    </row>
    <row r="95" spans="2:14" ht="14.25" x14ac:dyDescent="0.45">
      <c r="B95" s="193"/>
      <c r="C95" s="192"/>
      <c r="D95" s="15" t="s">
        <v>44</v>
      </c>
      <c r="E95" s="16"/>
      <c r="F95" s="16"/>
      <c r="G95" s="16"/>
      <c r="H95" s="16"/>
      <c r="I95" s="80">
        <f>AVERAGE(E94:I94)</f>
        <v>3.598122427983539E-2</v>
      </c>
      <c r="J95" s="17"/>
      <c r="K95" s="17"/>
      <c r="L95" s="17"/>
      <c r="M95" s="17"/>
      <c r="N95" s="17">
        <f>AVERAGE(E94:N94)</f>
        <v>3.4192472085550776E-2</v>
      </c>
    </row>
    <row r="96" spans="2:14" ht="14.25" x14ac:dyDescent="0.45">
      <c r="B96" s="193"/>
      <c r="C96" s="192"/>
      <c r="D96" s="15" t="s">
        <v>42</v>
      </c>
      <c r="E96" s="16">
        <f t="shared" ref="E96:N96" si="54">E$30</f>
        <v>3.833333333333333E-2</v>
      </c>
      <c r="F96" s="16">
        <f t="shared" si="54"/>
        <v>7.5277777777777777E-2</v>
      </c>
      <c r="G96" s="16">
        <f t="shared" si="54"/>
        <v>0.11106481481481481</v>
      </c>
      <c r="H96" s="16">
        <f t="shared" si="54"/>
        <v>0.14588734567901235</v>
      </c>
      <c r="I96" s="16">
        <f t="shared" si="54"/>
        <v>0.17990612139917694</v>
      </c>
      <c r="J96" s="16">
        <f t="shared" si="54"/>
        <v>0.21325510116598079</v>
      </c>
      <c r="K96" s="16">
        <f t="shared" si="54"/>
        <v>0.24604591763831732</v>
      </c>
      <c r="L96" s="16">
        <f t="shared" si="54"/>
        <v>0.27837159803193112</v>
      </c>
      <c r="M96" s="16">
        <f t="shared" si="54"/>
        <v>0.31030966502660928</v>
      </c>
      <c r="N96" s="16">
        <f t="shared" si="54"/>
        <v>0.34192472085550774</v>
      </c>
    </row>
    <row r="97" spans="2:14" ht="14.25" customHeight="1" x14ac:dyDescent="0.45">
      <c r="B97" s="193"/>
      <c r="C97" s="193"/>
      <c r="D97" s="19" t="s">
        <v>45</v>
      </c>
      <c r="E97" s="20">
        <f t="shared" ref="E97:N97" si="55">10*E94</f>
        <v>0.3833333333333333</v>
      </c>
      <c r="F97" s="20">
        <f t="shared" si="55"/>
        <v>0.36944444444444446</v>
      </c>
      <c r="G97" s="20">
        <f t="shared" si="55"/>
        <v>0.35787037037037034</v>
      </c>
      <c r="H97" s="20">
        <f t="shared" si="55"/>
        <v>0.34822530864197532</v>
      </c>
      <c r="I97" s="20">
        <f t="shared" si="55"/>
        <v>0.34018775720164607</v>
      </c>
      <c r="J97" s="20">
        <f t="shared" si="55"/>
        <v>0.33348979766803838</v>
      </c>
      <c r="K97" s="20">
        <f t="shared" si="55"/>
        <v>0.32790816472336531</v>
      </c>
      <c r="L97" s="20">
        <f t="shared" si="55"/>
        <v>0.32325680393613776</v>
      </c>
      <c r="M97" s="20">
        <f t="shared" si="55"/>
        <v>0.31938066994678149</v>
      </c>
      <c r="N97" s="20">
        <f t="shared" si="55"/>
        <v>0.31615055828898453</v>
      </c>
    </row>
    <row r="98" spans="2:14" ht="14.25" x14ac:dyDescent="0.45">
      <c r="B98" s="193"/>
      <c r="C98" s="193"/>
      <c r="D98" s="19" t="s">
        <v>46</v>
      </c>
      <c r="E98" s="20">
        <f>10*E96</f>
        <v>0.3833333333333333</v>
      </c>
      <c r="F98" s="20">
        <f t="shared" ref="F98:N98" si="56">10*F96</f>
        <v>0.75277777777777777</v>
      </c>
      <c r="G98" s="20">
        <f t="shared" si="56"/>
        <v>1.1106481481481481</v>
      </c>
      <c r="H98" s="20">
        <f t="shared" si="56"/>
        <v>1.4588734567901236</v>
      </c>
      <c r="I98" s="20">
        <f t="shared" si="56"/>
        <v>1.7990612139917694</v>
      </c>
      <c r="J98" s="20">
        <f t="shared" si="56"/>
        <v>2.1325510116598076</v>
      </c>
      <c r="K98" s="20">
        <f t="shared" si="56"/>
        <v>2.4604591763831731</v>
      </c>
      <c r="L98" s="20">
        <f t="shared" si="56"/>
        <v>2.783715980319311</v>
      </c>
      <c r="M98" s="20">
        <f t="shared" si="56"/>
        <v>3.1030966502660928</v>
      </c>
      <c r="N98" s="20">
        <f t="shared" si="56"/>
        <v>3.4192472085550776</v>
      </c>
    </row>
    <row r="99" spans="2:14" ht="14.25" x14ac:dyDescent="0.45">
      <c r="B99" s="193"/>
      <c r="C99" s="191" t="s">
        <v>36</v>
      </c>
      <c r="D99" s="15" t="s">
        <v>43</v>
      </c>
      <c r="E99" s="16">
        <f t="shared" ref="E99:N99" si="57">E94*E$15/$E$4</f>
        <v>4.5999999999999999E-2</v>
      </c>
      <c r="F99" s="16">
        <f t="shared" si="57"/>
        <v>5.3199999999999997E-2</v>
      </c>
      <c r="G99" s="16">
        <f t="shared" si="57"/>
        <v>6.1839999999999992E-2</v>
      </c>
      <c r="H99" s="16">
        <f t="shared" si="57"/>
        <v>7.2208000000000008E-2</v>
      </c>
      <c r="I99" s="16">
        <f t="shared" si="57"/>
        <v>8.4649600000000005E-2</v>
      </c>
      <c r="J99" s="16">
        <f t="shared" si="57"/>
        <v>9.9579519999999991E-2</v>
      </c>
      <c r="K99" s="16">
        <f t="shared" si="57"/>
        <v>0.117495424</v>
      </c>
      <c r="L99" s="16">
        <f t="shared" si="57"/>
        <v>0.13899450879999997</v>
      </c>
      <c r="M99" s="16">
        <f t="shared" si="57"/>
        <v>0.16479341055999996</v>
      </c>
      <c r="N99" s="16">
        <f t="shared" si="57"/>
        <v>0.19575209267199997</v>
      </c>
    </row>
    <row r="100" spans="2:14" ht="14.25" x14ac:dyDescent="0.45">
      <c r="B100" s="193"/>
      <c r="C100" s="192"/>
      <c r="D100" s="15" t="s">
        <v>44</v>
      </c>
      <c r="E100" s="16"/>
      <c r="F100" s="16"/>
      <c r="G100" s="16"/>
      <c r="H100" s="16"/>
      <c r="I100" s="17">
        <f>AVERAGE(E99:I99)</f>
        <v>6.357952E-2</v>
      </c>
      <c r="J100" s="17"/>
      <c r="K100" s="17"/>
      <c r="L100" s="17"/>
      <c r="M100" s="17"/>
      <c r="N100" s="17">
        <f>AVERAGE(E99:N99)</f>
        <v>0.10345125560319998</v>
      </c>
    </row>
    <row r="101" spans="2:14" ht="14.25" x14ac:dyDescent="0.45">
      <c r="B101" s="193"/>
      <c r="C101" s="193"/>
      <c r="D101" s="19" t="s">
        <v>45</v>
      </c>
      <c r="E101" s="23">
        <f t="shared" ref="E101:N101" si="58">E97*E$15</f>
        <v>46000</v>
      </c>
      <c r="F101" s="23">
        <f t="shared" si="58"/>
        <v>53200</v>
      </c>
      <c r="G101" s="23">
        <f>G97*G$15</f>
        <v>61839.999999999993</v>
      </c>
      <c r="H101" s="23">
        <f>H97*H$15</f>
        <v>72208</v>
      </c>
      <c r="I101" s="23">
        <f>I97*I$15</f>
        <v>84649.599999999991</v>
      </c>
      <c r="J101" s="23">
        <f t="shared" si="58"/>
        <v>99579.520000000004</v>
      </c>
      <c r="K101" s="23">
        <f t="shared" si="58"/>
        <v>117495.424</v>
      </c>
      <c r="L101" s="23">
        <f t="shared" si="58"/>
        <v>138994.50879999998</v>
      </c>
      <c r="M101" s="23">
        <f t="shared" si="58"/>
        <v>164793.41055999999</v>
      </c>
      <c r="N101" s="23">
        <f t="shared" si="58"/>
        <v>195752.09267199997</v>
      </c>
    </row>
    <row r="102" spans="2:14" ht="14.25" customHeight="1" x14ac:dyDescent="0.45">
      <c r="B102" s="193"/>
      <c r="C102" s="193"/>
      <c r="D102" s="19" t="s">
        <v>47</v>
      </c>
      <c r="E102" s="24"/>
      <c r="F102" s="24"/>
      <c r="G102" s="24"/>
      <c r="H102" s="24"/>
      <c r="I102" s="23">
        <f>AVERAGE(E101:I101)</f>
        <v>63579.519999999997</v>
      </c>
      <c r="J102" s="23"/>
      <c r="K102" s="23"/>
      <c r="L102" s="23"/>
      <c r="M102" s="23"/>
      <c r="N102" s="23">
        <f>AVERAGE(E101:N101)</f>
        <v>103451.25560319998</v>
      </c>
    </row>
    <row r="103" spans="2:14" ht="14.25" x14ac:dyDescent="0.45">
      <c r="B103" s="193"/>
      <c r="C103" s="193"/>
      <c r="D103" s="19" t="s">
        <v>46</v>
      </c>
      <c r="E103" s="24">
        <f>E101</f>
        <v>46000</v>
      </c>
      <c r="F103" s="24">
        <f t="shared" ref="F103:N103" si="59">E103+F101</f>
        <v>99200</v>
      </c>
      <c r="G103" s="24">
        <f>F103+G101</f>
        <v>161040</v>
      </c>
      <c r="H103" s="24">
        <f t="shared" si="59"/>
        <v>233248</v>
      </c>
      <c r="I103" s="24">
        <f t="shared" si="59"/>
        <v>317897.59999999998</v>
      </c>
      <c r="J103" s="24">
        <f>I103+J101</f>
        <v>417477.12</v>
      </c>
      <c r="K103" s="24">
        <f t="shared" si="59"/>
        <v>534972.54399999999</v>
      </c>
      <c r="L103" s="24">
        <f t="shared" si="59"/>
        <v>673967.05279999995</v>
      </c>
      <c r="M103" s="24">
        <f t="shared" si="59"/>
        <v>838760.46335999994</v>
      </c>
      <c r="N103" s="24">
        <f t="shared" si="59"/>
        <v>1034512.5560319999</v>
      </c>
    </row>
    <row r="104" spans="2:14" ht="14.25" x14ac:dyDescent="0.45">
      <c r="B104" s="193"/>
      <c r="C104" s="191" t="s">
        <v>35</v>
      </c>
      <c r="D104" s="15" t="s">
        <v>43</v>
      </c>
      <c r="E104" s="16">
        <f>E96*E$15/$E$4</f>
        <v>4.5999999999999999E-2</v>
      </c>
      <c r="F104" s="16">
        <f>F96*F$15/$E$4-E104</f>
        <v>6.2399999999999997E-2</v>
      </c>
      <c r="G104" s="16">
        <f>G96*G$15/$E$4-F104-E104</f>
        <v>8.3520000000000025E-2</v>
      </c>
      <c r="H104" s="16">
        <f>H96*H$15/$E$4-G104-F104-E104</f>
        <v>0.11059199999999995</v>
      </c>
      <c r="I104" s="16">
        <f>I96*I$15/$E$4-H104-G104-F104-E104</f>
        <v>0.14515199999999995</v>
      </c>
      <c r="J104" s="16">
        <f>J96*J$15/$E$4-I104-H104-G104-F104-E104</f>
        <v>0.18911232000000011</v>
      </c>
      <c r="K104" s="16">
        <f>K96*K$15/$E$4-J104-I104-H104-G104-F104-E104</f>
        <v>0.24485068799999998</v>
      </c>
      <c r="L104" s="16">
        <f>L96*L$15/$E$4-K104-J104-I104-H104-G104-F104-E104</f>
        <v>0.3153199103999999</v>
      </c>
      <c r="M104" s="16">
        <f>M96*M$15/$E$4-L104-K104-J104-I104-H104-G104-F104-E104</f>
        <v>0.40418279424000009</v>
      </c>
      <c r="N104" s="16">
        <f>N96*N$15/$E$4-M104-L104-K104-J104-I104-H104-G104-F104-E104</f>
        <v>0.51597803519999985</v>
      </c>
    </row>
    <row r="105" spans="2:14" ht="14.25" x14ac:dyDescent="0.45">
      <c r="B105" s="193"/>
      <c r="C105" s="192"/>
      <c r="D105" s="15" t="s">
        <v>44</v>
      </c>
      <c r="E105" s="17"/>
      <c r="F105" s="17"/>
      <c r="G105" s="17"/>
      <c r="H105" s="17"/>
      <c r="I105" s="17">
        <f>AVERAGE(E104:I104)</f>
        <v>8.9532799999999996E-2</v>
      </c>
      <c r="J105" s="17"/>
      <c r="K105" s="17"/>
      <c r="L105" s="17"/>
      <c r="M105" s="17"/>
      <c r="N105" s="17">
        <f>AVERAGE(E104:N104)</f>
        <v>0.21171077478399997</v>
      </c>
    </row>
    <row r="106" spans="2:14" ht="14.25" x14ac:dyDescent="0.45">
      <c r="B106" s="193"/>
      <c r="C106" s="193"/>
      <c r="D106" s="19" t="s">
        <v>45</v>
      </c>
      <c r="E106" s="23">
        <f>E108</f>
        <v>46000</v>
      </c>
      <c r="F106" s="23">
        <f>F108-E108</f>
        <v>62400</v>
      </c>
      <c r="G106" s="23">
        <f>G108-F108</f>
        <v>83519.999999999971</v>
      </c>
      <c r="H106" s="23">
        <f>H108-G108</f>
        <v>110592.00000000003</v>
      </c>
      <c r="I106" s="23">
        <f>I108-H108</f>
        <v>145152</v>
      </c>
      <c r="J106" s="23">
        <f>J108-I108</f>
        <v>189112.31999999995</v>
      </c>
      <c r="K106" s="23">
        <f t="shared" ref="K106:N106" si="60">K108-J108</f>
        <v>244850.68800000008</v>
      </c>
      <c r="L106" s="23">
        <f t="shared" si="60"/>
        <v>315319.91039999982</v>
      </c>
      <c r="M106" s="23">
        <f t="shared" si="60"/>
        <v>404182.79424000019</v>
      </c>
      <c r="N106" s="23">
        <f t="shared" si="60"/>
        <v>515978.03520000027</v>
      </c>
    </row>
    <row r="107" spans="2:14" ht="15" customHeight="1" x14ac:dyDescent="0.45">
      <c r="B107" s="193"/>
      <c r="C107" s="193"/>
      <c r="D107" s="19" t="s">
        <v>47</v>
      </c>
      <c r="E107" s="23"/>
      <c r="F107" s="23"/>
      <c r="G107" s="23"/>
      <c r="H107" s="23"/>
      <c r="I107" s="23">
        <f>AVERAGE(E106:I106)</f>
        <v>89532.800000000003</v>
      </c>
      <c r="J107" s="23"/>
      <c r="K107" s="23"/>
      <c r="L107" s="23"/>
      <c r="M107" s="23"/>
      <c r="N107" s="23">
        <f>AVERAGE(E106:N106)</f>
        <v>211710.77478400004</v>
      </c>
    </row>
    <row r="108" spans="2:14" ht="14.25" x14ac:dyDescent="0.45">
      <c r="B108" s="193"/>
      <c r="C108" s="193"/>
      <c r="D108" s="19" t="s">
        <v>46</v>
      </c>
      <c r="E108" s="24">
        <f t="shared" ref="E108:N108" si="61">E98*E$15</f>
        <v>46000</v>
      </c>
      <c r="F108" s="24">
        <f t="shared" si="61"/>
        <v>108400</v>
      </c>
      <c r="G108" s="24">
        <f>G98*G$15</f>
        <v>191919.99999999997</v>
      </c>
      <c r="H108" s="24">
        <f>H98*H$15</f>
        <v>302512</v>
      </c>
      <c r="I108" s="24">
        <f>I98*I$15</f>
        <v>447664</v>
      </c>
      <c r="J108" s="24">
        <f t="shared" si="61"/>
        <v>636776.31999999995</v>
      </c>
      <c r="K108" s="24">
        <f t="shared" si="61"/>
        <v>881627.00800000003</v>
      </c>
      <c r="L108" s="24">
        <f t="shared" si="61"/>
        <v>1196946.9183999998</v>
      </c>
      <c r="M108" s="24">
        <f t="shared" si="61"/>
        <v>1601129.71264</v>
      </c>
      <c r="N108" s="24">
        <f t="shared" si="61"/>
        <v>2117107.7478400003</v>
      </c>
    </row>
    <row r="109" spans="2:14" ht="14.25" x14ac:dyDescent="0.45">
      <c r="B109" s="193" t="s">
        <v>18</v>
      </c>
      <c r="C109" s="192" t="s">
        <v>32</v>
      </c>
      <c r="D109" s="15" t="s">
        <v>43</v>
      </c>
      <c r="E109" s="16">
        <f>E66+E79+E94-E34-E50</f>
        <v>0.35250000000000004</v>
      </c>
      <c r="F109" s="16">
        <f t="shared" ref="F109:N109" si="62">F66+F79+F94-F34-F50</f>
        <v>0.30875000000000008</v>
      </c>
      <c r="G109" s="16">
        <f t="shared" si="62"/>
        <v>0.27229166666666654</v>
      </c>
      <c r="H109" s="16">
        <f t="shared" si="62"/>
        <v>0.24190972222222235</v>
      </c>
      <c r="I109" s="16">
        <f t="shared" si="62"/>
        <v>0.21659143518518506</v>
      </c>
      <c r="J109" s="16">
        <f t="shared" si="62"/>
        <v>0.19549286265432123</v>
      </c>
      <c r="K109" s="16">
        <f t="shared" si="62"/>
        <v>0.17791071887860074</v>
      </c>
      <c r="L109" s="16">
        <f t="shared" si="62"/>
        <v>0.16325893239883393</v>
      </c>
      <c r="M109" s="16">
        <f t="shared" si="62"/>
        <v>0.15104911033236143</v>
      </c>
      <c r="N109" s="16">
        <f t="shared" si="62"/>
        <v>0.14087425861030151</v>
      </c>
    </row>
    <row r="110" spans="2:14" ht="14.25" x14ac:dyDescent="0.45">
      <c r="B110" s="193"/>
      <c r="C110" s="192"/>
      <c r="D110" s="15" t="s">
        <v>44</v>
      </c>
      <c r="E110" s="16"/>
      <c r="F110" s="16"/>
      <c r="G110" s="16"/>
      <c r="H110" s="16"/>
      <c r="I110" s="38">
        <f>AVERAGE(E109:I109)</f>
        <v>0.2784085648148148</v>
      </c>
      <c r="J110" s="16"/>
      <c r="K110" s="16"/>
      <c r="L110" s="16"/>
      <c r="M110" s="16"/>
      <c r="N110" s="17">
        <f>AVERAGE(E109:N109)</f>
        <v>0.22206287069484926</v>
      </c>
    </row>
    <row r="111" spans="2:14" ht="14.25" x14ac:dyDescent="0.45">
      <c r="B111" s="193"/>
      <c r="C111" s="192"/>
      <c r="D111" s="15" t="s">
        <v>42</v>
      </c>
      <c r="E111" s="16">
        <f>E68+E81+E96-E36-E52</f>
        <v>0.35250000000000004</v>
      </c>
      <c r="F111" s="16">
        <f t="shared" ref="F111:N111" si="63">F68+F81+F96-F36-F52</f>
        <v>0.66125000000000012</v>
      </c>
      <c r="G111" s="16">
        <f t="shared" si="63"/>
        <v>0.93354166666666627</v>
      </c>
      <c r="H111" s="16">
        <f t="shared" si="63"/>
        <v>1.1754513888888893</v>
      </c>
      <c r="I111" s="16">
        <f t="shared" si="63"/>
        <v>1.3920428240740736</v>
      </c>
      <c r="J111" s="16">
        <f t="shared" si="63"/>
        <v>1.5875356867283958</v>
      </c>
      <c r="K111" s="16">
        <f t="shared" si="63"/>
        <v>1.7654464056069958</v>
      </c>
      <c r="L111" s="16">
        <f t="shared" si="63"/>
        <v>1.928705338005829</v>
      </c>
      <c r="M111" s="16">
        <f t="shared" si="63"/>
        <v>2.0797544483381891</v>
      </c>
      <c r="N111" s="16">
        <f t="shared" si="63"/>
        <v>2.2206287069484949</v>
      </c>
    </row>
    <row r="112" spans="2:14" ht="14.25" x14ac:dyDescent="0.45">
      <c r="B112" s="193"/>
      <c r="C112" s="193"/>
      <c r="D112" s="19" t="s">
        <v>45</v>
      </c>
      <c r="E112" s="20">
        <f>10*E109</f>
        <v>3.5250000000000004</v>
      </c>
      <c r="F112" s="20">
        <f t="shared" ref="F112:N112" si="64">10*F109</f>
        <v>3.0875000000000008</v>
      </c>
      <c r="G112" s="20">
        <f t="shared" si="64"/>
        <v>2.7229166666666655</v>
      </c>
      <c r="H112" s="20">
        <f t="shared" si="64"/>
        <v>2.4190972222222236</v>
      </c>
      <c r="I112" s="20">
        <f t="shared" si="64"/>
        <v>2.1659143518518507</v>
      </c>
      <c r="J112" s="20">
        <f t="shared" si="64"/>
        <v>1.9549286265432122</v>
      </c>
      <c r="K112" s="20">
        <f t="shared" si="64"/>
        <v>1.7791071887860075</v>
      </c>
      <c r="L112" s="20">
        <f t="shared" si="64"/>
        <v>1.6325893239883393</v>
      </c>
      <c r="M112" s="20">
        <f t="shared" si="64"/>
        <v>1.5104911033236144</v>
      </c>
      <c r="N112" s="20">
        <f t="shared" si="64"/>
        <v>1.4087425861030152</v>
      </c>
    </row>
    <row r="113" spans="1:15" ht="14.25" x14ac:dyDescent="0.45">
      <c r="B113" s="193"/>
      <c r="C113" s="193"/>
      <c r="D113" s="19" t="s">
        <v>46</v>
      </c>
      <c r="E113" s="20">
        <f>10*E111</f>
        <v>3.5250000000000004</v>
      </c>
      <c r="F113" s="20">
        <f>10*F111</f>
        <v>6.6125000000000007</v>
      </c>
      <c r="G113" s="20">
        <f>10*G111</f>
        <v>9.3354166666666636</v>
      </c>
      <c r="H113" s="20">
        <f t="shared" ref="H113:N113" si="65">10*H111</f>
        <v>11.754513888888894</v>
      </c>
      <c r="I113" s="20">
        <f t="shared" si="65"/>
        <v>13.920428240740737</v>
      </c>
      <c r="J113" s="20">
        <f t="shared" si="65"/>
        <v>15.875356867283958</v>
      </c>
      <c r="K113" s="20">
        <f t="shared" si="65"/>
        <v>17.654464056069958</v>
      </c>
      <c r="L113" s="20">
        <f t="shared" si="65"/>
        <v>19.287053380058289</v>
      </c>
      <c r="M113" s="20">
        <f t="shared" si="65"/>
        <v>20.797544483381891</v>
      </c>
      <c r="N113" s="20">
        <f t="shared" si="65"/>
        <v>22.206287069484951</v>
      </c>
    </row>
    <row r="114" spans="1:15" ht="14.25" x14ac:dyDescent="0.45">
      <c r="B114" s="193"/>
      <c r="C114" s="191" t="s">
        <v>36</v>
      </c>
      <c r="D114" s="15" t="s">
        <v>43</v>
      </c>
      <c r="E114" s="16">
        <f>E71+E84+E99-E39-E55</f>
        <v>0.42299999999999999</v>
      </c>
      <c r="F114" s="16">
        <f t="shared" ref="F114:N114" si="66">F71+F84+F99-F39-F55</f>
        <v>0.44460000000000016</v>
      </c>
      <c r="G114" s="16">
        <f t="shared" si="66"/>
        <v>0.47051999999999977</v>
      </c>
      <c r="H114" s="16">
        <f t="shared" si="66"/>
        <v>0.50162400000000029</v>
      </c>
      <c r="I114" s="16">
        <f t="shared" si="66"/>
        <v>0.53894879999999978</v>
      </c>
      <c r="J114" s="16">
        <f t="shared" si="66"/>
        <v>0.58373856000000068</v>
      </c>
      <c r="K114" s="16">
        <f t="shared" si="66"/>
        <v>0.63748627199999985</v>
      </c>
      <c r="L114" s="16">
        <f t="shared" si="66"/>
        <v>0.70198352639999961</v>
      </c>
      <c r="M114" s="16">
        <f t="shared" si="66"/>
        <v>0.7793802316799987</v>
      </c>
      <c r="N114" s="16">
        <f t="shared" si="66"/>
        <v>0.87225627801600081</v>
      </c>
    </row>
    <row r="115" spans="1:15" ht="14.25" x14ac:dyDescent="0.45">
      <c r="B115" s="193"/>
      <c r="C115" s="192"/>
      <c r="D115" s="15" t="s">
        <v>44</v>
      </c>
      <c r="E115" s="16"/>
      <c r="F115" s="16"/>
      <c r="G115" s="16"/>
      <c r="H115" s="16"/>
      <c r="I115" s="17">
        <f>AVERAGE(E114:I114)</f>
        <v>0.47573856000000003</v>
      </c>
      <c r="J115" s="17"/>
      <c r="K115" s="17"/>
      <c r="L115" s="17"/>
      <c r="M115" s="17"/>
      <c r="N115" s="17">
        <f>AVERAGE(E114:N114)</f>
        <v>0.59535376680959995</v>
      </c>
    </row>
    <row r="116" spans="1:15" ht="14.25" x14ac:dyDescent="0.45">
      <c r="B116" s="193"/>
      <c r="C116" s="193"/>
      <c r="D116" s="19" t="s">
        <v>45</v>
      </c>
      <c r="E116" s="22">
        <f t="shared" ref="E116:N116" si="67">E112*E$15</f>
        <v>423000.00000000006</v>
      </c>
      <c r="F116" s="22">
        <f t="shared" si="67"/>
        <v>444600.00000000012</v>
      </c>
      <c r="G116" s="22">
        <f>G112*G$15</f>
        <v>470519.99999999983</v>
      </c>
      <c r="H116" s="22">
        <f>H112*H$15</f>
        <v>501624.00000000029</v>
      </c>
      <c r="I116" s="22">
        <f>I112*I$15</f>
        <v>538948.7999999997</v>
      </c>
      <c r="J116" s="22">
        <f t="shared" si="67"/>
        <v>583738.56000000075</v>
      </c>
      <c r="K116" s="22">
        <f t="shared" si="67"/>
        <v>637486.27199999976</v>
      </c>
      <c r="L116" s="22">
        <f t="shared" si="67"/>
        <v>701983.52639999962</v>
      </c>
      <c r="M116" s="22">
        <f t="shared" si="67"/>
        <v>779380.23167999869</v>
      </c>
      <c r="N116" s="22">
        <f t="shared" si="67"/>
        <v>872256.27801600064</v>
      </c>
    </row>
    <row r="117" spans="1:15" ht="14.25" x14ac:dyDescent="0.45">
      <c r="B117" s="193"/>
      <c r="C117" s="193"/>
      <c r="D117" s="19" t="s">
        <v>47</v>
      </c>
      <c r="E117" s="21"/>
      <c r="F117" s="21"/>
      <c r="G117" s="21"/>
      <c r="H117" s="21"/>
      <c r="I117" s="22">
        <f>AVERAGE(E116:I116)</f>
        <v>475738.55999999994</v>
      </c>
      <c r="J117" s="22"/>
      <c r="K117" s="22"/>
      <c r="L117" s="22"/>
      <c r="M117" s="22"/>
      <c r="N117" s="22">
        <f>AVERAGE(E116:N116)</f>
        <v>595353.76680959994</v>
      </c>
    </row>
    <row r="118" spans="1:15" ht="14.25" x14ac:dyDescent="0.45">
      <c r="B118" s="193"/>
      <c r="C118" s="193"/>
      <c r="D118" s="19" t="s">
        <v>46</v>
      </c>
      <c r="E118" s="21">
        <f>E116</f>
        <v>423000.00000000006</v>
      </c>
      <c r="F118" s="21">
        <f t="shared" ref="F118:N118" si="68">E118+F116</f>
        <v>867600.00000000023</v>
      </c>
      <c r="G118" s="21">
        <f>F118+G116</f>
        <v>1338120</v>
      </c>
      <c r="H118" s="21">
        <f t="shared" si="68"/>
        <v>1839744.0000000002</v>
      </c>
      <c r="I118" s="21">
        <f t="shared" si="68"/>
        <v>2378692.7999999998</v>
      </c>
      <c r="J118" s="21">
        <f>I118+J116</f>
        <v>2962431.3600000003</v>
      </c>
      <c r="K118" s="21">
        <f t="shared" si="68"/>
        <v>3599917.6320000002</v>
      </c>
      <c r="L118" s="21">
        <f t="shared" si="68"/>
        <v>4301901.1584000001</v>
      </c>
      <c r="M118" s="21">
        <f t="shared" si="68"/>
        <v>5081281.3900799984</v>
      </c>
      <c r="N118" s="21">
        <f t="shared" si="68"/>
        <v>5953537.6680959994</v>
      </c>
    </row>
    <row r="119" spans="1:15" ht="15" customHeight="1" x14ac:dyDescent="0.45">
      <c r="B119" s="193"/>
      <c r="C119" s="191" t="s">
        <v>35</v>
      </c>
      <c r="D119" s="15" t="s">
        <v>43</v>
      </c>
      <c r="E119" s="16">
        <f>E74+E89+E104-E42-E58</f>
        <v>0.42299999999999999</v>
      </c>
      <c r="F119" s="16">
        <f t="shared" ref="F119:N119" si="69">F74+F89+F104-F42-F58</f>
        <v>0.52920000000000011</v>
      </c>
      <c r="G119" s="16">
        <f t="shared" si="69"/>
        <v>0.66095999999999944</v>
      </c>
      <c r="H119" s="16">
        <f t="shared" si="69"/>
        <v>0.82425600000000099</v>
      </c>
      <c r="I119" s="16">
        <f t="shared" si="69"/>
        <v>1.0264319999999976</v>
      </c>
      <c r="J119" s="16">
        <f t="shared" si="69"/>
        <v>1.2765081600000052</v>
      </c>
      <c r="K119" s="16">
        <f t="shared" si="69"/>
        <v>1.5855575039999956</v>
      </c>
      <c r="L119" s="16">
        <f t="shared" si="69"/>
        <v>1.9671662591999977</v>
      </c>
      <c r="M119" s="16">
        <f t="shared" si="69"/>
        <v>2.4379962163199882</v>
      </c>
      <c r="N119" s="16">
        <f t="shared" si="69"/>
        <v>3.0184715059200253</v>
      </c>
    </row>
    <row r="120" spans="1:15" ht="15" customHeight="1" x14ac:dyDescent="0.45">
      <c r="B120" s="193"/>
      <c r="C120" s="192"/>
      <c r="D120" s="15" t="s">
        <v>44</v>
      </c>
      <c r="E120" s="17"/>
      <c r="F120" s="17"/>
      <c r="G120" s="17"/>
      <c r="H120" s="17"/>
      <c r="I120" s="17">
        <f>AVERAGE(E119:I119)</f>
        <v>0.69276959999999965</v>
      </c>
      <c r="J120" s="17"/>
      <c r="K120" s="17"/>
      <c r="L120" s="17"/>
      <c r="M120" s="17"/>
      <c r="N120" s="17">
        <f>AVERAGE(E119:N119)</f>
        <v>1.374954764544001</v>
      </c>
    </row>
    <row r="121" spans="1:15" ht="15" customHeight="1" x14ac:dyDescent="0.45">
      <c r="B121" s="193"/>
      <c r="C121" s="193"/>
      <c r="D121" s="19" t="s">
        <v>45</v>
      </c>
      <c r="E121" s="22">
        <f>E123</f>
        <v>423000.00000000006</v>
      </c>
      <c r="F121" s="22">
        <f>F123-E123</f>
        <v>529200</v>
      </c>
      <c r="G121" s="22">
        <f>G123-F123</f>
        <v>660959.99999999942</v>
      </c>
      <c r="H121" s="22">
        <f t="shared" ref="H121:N121" si="70">H123-G123</f>
        <v>824256.0000000014</v>
      </c>
      <c r="I121" s="22">
        <f t="shared" si="70"/>
        <v>1026431.9999999981</v>
      </c>
      <c r="J121" s="22">
        <f>J123-I123</f>
        <v>1276508.1600000039</v>
      </c>
      <c r="K121" s="22">
        <f t="shared" si="70"/>
        <v>1585557.5039999969</v>
      </c>
      <c r="L121" s="22">
        <f t="shared" si="70"/>
        <v>1967166.2591999955</v>
      </c>
      <c r="M121" s="22">
        <f t="shared" si="70"/>
        <v>2437996.2163199922</v>
      </c>
      <c r="N121" s="22">
        <f t="shared" si="70"/>
        <v>3018471.5059200246</v>
      </c>
    </row>
    <row r="122" spans="1:15" ht="15" customHeight="1" x14ac:dyDescent="0.45">
      <c r="A122" s="8"/>
      <c r="B122" s="193"/>
      <c r="C122" s="193"/>
      <c r="D122" s="19" t="s">
        <v>47</v>
      </c>
      <c r="E122" s="22"/>
      <c r="F122" s="22"/>
      <c r="G122" s="22"/>
      <c r="H122" s="22"/>
      <c r="I122" s="22">
        <f>AVERAGE(E121:I121)</f>
        <v>692769.59999999986</v>
      </c>
      <c r="J122" s="22"/>
      <c r="K122" s="22"/>
      <c r="L122" s="22"/>
      <c r="M122" s="22"/>
      <c r="N122" s="22">
        <f>AVERAGE(E121:N121)</f>
        <v>1374954.7645440013</v>
      </c>
      <c r="O122" s="8"/>
    </row>
    <row r="123" spans="1:15" ht="15" customHeight="1" x14ac:dyDescent="0.45">
      <c r="B123" s="193"/>
      <c r="C123" s="193"/>
      <c r="D123" s="19" t="s">
        <v>46</v>
      </c>
      <c r="E123" s="21">
        <f t="shared" ref="E123:N123" si="71">E113*E$15</f>
        <v>423000.00000000006</v>
      </c>
      <c r="F123" s="21">
        <f t="shared" si="71"/>
        <v>952200.00000000012</v>
      </c>
      <c r="G123" s="21">
        <f>G113*G$15</f>
        <v>1613159.9999999995</v>
      </c>
      <c r="H123" s="21">
        <f>H113*H$15</f>
        <v>2437416.0000000009</v>
      </c>
      <c r="I123" s="21">
        <f>I113*I$15</f>
        <v>3463847.9999999991</v>
      </c>
      <c r="J123" s="21">
        <f t="shared" si="71"/>
        <v>4740356.1600000029</v>
      </c>
      <c r="K123" s="21">
        <f t="shared" si="71"/>
        <v>6325913.6639999999</v>
      </c>
      <c r="L123" s="21">
        <f t="shared" si="71"/>
        <v>8293079.9231999954</v>
      </c>
      <c r="M123" s="21">
        <f t="shared" si="71"/>
        <v>10731076.139519988</v>
      </c>
      <c r="N123" s="21">
        <f t="shared" si="71"/>
        <v>13749547.645440012</v>
      </c>
    </row>
    <row r="124" spans="1:15" ht="15" customHeight="1" x14ac:dyDescent="0.45">
      <c r="B124" s="1"/>
      <c r="C124" s="1"/>
      <c r="D124" s="40"/>
      <c r="E124" s="10"/>
      <c r="F124" s="10"/>
      <c r="G124" s="10"/>
      <c r="H124" s="10"/>
      <c r="I124" s="10"/>
      <c r="J124" s="10"/>
      <c r="K124" s="10"/>
      <c r="L124" s="10"/>
      <c r="M124" s="10"/>
      <c r="N124" s="10"/>
    </row>
    <row r="125" spans="1:15" ht="15" customHeight="1" x14ac:dyDescent="0.45">
      <c r="B125" s="176" t="s">
        <v>116</v>
      </c>
      <c r="C125" s="178" t="s">
        <v>55</v>
      </c>
      <c r="D125" s="178" t="s">
        <v>54</v>
      </c>
      <c r="E125" s="174" t="s">
        <v>3</v>
      </c>
      <c r="F125" s="174" t="s">
        <v>4</v>
      </c>
      <c r="G125" s="174" t="s">
        <v>5</v>
      </c>
      <c r="H125" s="174" t="s">
        <v>6</v>
      </c>
      <c r="I125" s="174" t="s">
        <v>7</v>
      </c>
      <c r="J125" s="174" t="s">
        <v>8</v>
      </c>
      <c r="K125" s="174" t="s">
        <v>9</v>
      </c>
      <c r="L125" s="174" t="s">
        <v>10</v>
      </c>
      <c r="M125" s="174" t="s">
        <v>11</v>
      </c>
      <c r="N125" s="174" t="s">
        <v>12</v>
      </c>
    </row>
    <row r="126" spans="1:15" ht="15" customHeight="1" x14ac:dyDescent="0.45">
      <c r="B126" s="177"/>
      <c r="C126" s="179"/>
      <c r="D126" s="179"/>
      <c r="E126" s="175"/>
      <c r="F126" s="175"/>
      <c r="G126" s="175"/>
      <c r="H126" s="175"/>
      <c r="I126" s="175"/>
      <c r="J126" s="175"/>
      <c r="K126" s="175"/>
      <c r="L126" s="175"/>
      <c r="M126" s="175"/>
      <c r="N126" s="175"/>
    </row>
    <row r="127" spans="1:15" ht="15" customHeight="1" x14ac:dyDescent="0.45">
      <c r="B127" s="184" t="s">
        <v>137</v>
      </c>
      <c r="C127" s="182">
        <v>20000</v>
      </c>
      <c r="D127" s="44" t="s">
        <v>19</v>
      </c>
      <c r="E127" s="27">
        <f t="shared" ref="E127:N127" si="72">E$53/10*$C127/(2+$E$11)</f>
        <v>833.33333333333326</v>
      </c>
      <c r="F127" s="27">
        <f t="shared" si="72"/>
        <v>694.44444444444446</v>
      </c>
      <c r="G127" s="27">
        <f t="shared" si="72"/>
        <v>578.7037037037037</v>
      </c>
      <c r="H127" s="27">
        <f t="shared" si="72"/>
        <v>482.25308641975306</v>
      </c>
      <c r="I127" s="27">
        <f t="shared" si="72"/>
        <v>401.87757201646093</v>
      </c>
      <c r="J127" s="27">
        <f t="shared" si="72"/>
        <v>334.89797668038403</v>
      </c>
      <c r="K127" s="27">
        <f t="shared" si="72"/>
        <v>279.08164723365337</v>
      </c>
      <c r="L127" s="27">
        <f t="shared" si="72"/>
        <v>232.56803936137786</v>
      </c>
      <c r="M127" s="27">
        <f t="shared" si="72"/>
        <v>193.80669946781487</v>
      </c>
      <c r="N127" s="27">
        <f t="shared" si="72"/>
        <v>161.50558288984575</v>
      </c>
    </row>
    <row r="128" spans="1:15" ht="15" customHeight="1" x14ac:dyDescent="0.45">
      <c r="B128" s="185"/>
      <c r="C128" s="182"/>
      <c r="D128" s="19" t="s">
        <v>22</v>
      </c>
      <c r="E128" s="27"/>
      <c r="F128" s="27"/>
      <c r="G128" s="27"/>
      <c r="H128" s="27"/>
      <c r="I128" s="28">
        <f>AVERAGE(E127:I127)</f>
        <v>598.12242798353907</v>
      </c>
      <c r="J128" s="27"/>
      <c r="K128" s="27"/>
      <c r="L128" s="27"/>
      <c r="M128" s="27"/>
      <c r="N128" s="27">
        <f>AVERAGE(E127:N127)</f>
        <v>419.24720855507712</v>
      </c>
    </row>
    <row r="129" spans="2:14" ht="15" customHeight="1" x14ac:dyDescent="0.45">
      <c r="B129" s="185"/>
      <c r="C129" s="182"/>
      <c r="D129" s="19" t="s">
        <v>41</v>
      </c>
      <c r="E129" s="27">
        <f t="shared" ref="E129:N129" si="73">E$54/10*$C127/(2+$E$11)</f>
        <v>833.33333333333326</v>
      </c>
      <c r="F129" s="27">
        <f t="shared" si="73"/>
        <v>1527.7777777777776</v>
      </c>
      <c r="G129" s="27">
        <f t="shared" si="73"/>
        <v>2106.4814814814822</v>
      </c>
      <c r="H129" s="27">
        <f t="shared" si="73"/>
        <v>2588.7345679012337</v>
      </c>
      <c r="I129" s="28">
        <f t="shared" si="73"/>
        <v>2990.6121399176964</v>
      </c>
      <c r="J129" s="27">
        <f t="shared" si="73"/>
        <v>3325.5101165980759</v>
      </c>
      <c r="K129" s="27">
        <f t="shared" si="73"/>
        <v>3604.5917638317351</v>
      </c>
      <c r="L129" s="27">
        <f t="shared" si="73"/>
        <v>3837.1598031931135</v>
      </c>
      <c r="M129" s="27">
        <f t="shared" si="73"/>
        <v>4030.9665026609337</v>
      </c>
      <c r="N129" s="27">
        <f t="shared" si="73"/>
        <v>4192.4720855507658</v>
      </c>
    </row>
    <row r="130" spans="2:14" ht="15" customHeight="1" x14ac:dyDescent="0.45">
      <c r="B130" s="185"/>
      <c r="C130" s="182">
        <v>400000</v>
      </c>
      <c r="D130" s="44" t="s">
        <v>19</v>
      </c>
      <c r="E130" s="27">
        <f t="shared" ref="E130:N130" si="74">E$53/10*$C130/(2+$E$11)</f>
        <v>16666.666666666664</v>
      </c>
      <c r="F130" s="27">
        <f t="shared" si="74"/>
        <v>13888.888888888889</v>
      </c>
      <c r="G130" s="27">
        <f t="shared" si="74"/>
        <v>11574.074074074075</v>
      </c>
      <c r="H130" s="27">
        <f t="shared" si="74"/>
        <v>9645.0617283950614</v>
      </c>
      <c r="I130" s="27">
        <f t="shared" si="74"/>
        <v>8037.5514403292191</v>
      </c>
      <c r="J130" s="27">
        <f t="shared" si="74"/>
        <v>6697.9595336076809</v>
      </c>
      <c r="K130" s="27">
        <f t="shared" si="74"/>
        <v>5581.632944673067</v>
      </c>
      <c r="L130" s="27">
        <f t="shared" si="74"/>
        <v>4651.360787227557</v>
      </c>
      <c r="M130" s="27">
        <f t="shared" si="74"/>
        <v>3876.1339893562972</v>
      </c>
      <c r="N130" s="27">
        <f t="shared" si="74"/>
        <v>3230.1116577969151</v>
      </c>
    </row>
    <row r="131" spans="2:14" ht="15" customHeight="1" x14ac:dyDescent="0.45">
      <c r="B131" s="185"/>
      <c r="C131" s="182"/>
      <c r="D131" s="19" t="s">
        <v>22</v>
      </c>
      <c r="E131" s="27"/>
      <c r="F131" s="27"/>
      <c r="G131" s="27"/>
      <c r="H131" s="27"/>
      <c r="I131" s="28">
        <f>AVERAGE(E130:I130)</f>
        <v>11962.448559670782</v>
      </c>
      <c r="J131" s="27"/>
      <c r="K131" s="27"/>
      <c r="L131" s="27"/>
      <c r="M131" s="27"/>
      <c r="N131" s="27">
        <f>AVERAGE(E130:N130)</f>
        <v>8384.9441711015425</v>
      </c>
    </row>
    <row r="132" spans="2:14" ht="15" customHeight="1" x14ac:dyDescent="0.45">
      <c r="B132" s="185"/>
      <c r="C132" s="182"/>
      <c r="D132" s="19" t="s">
        <v>41</v>
      </c>
      <c r="E132" s="27">
        <f t="shared" ref="E132:N132" si="75">E$54/10*$C130/(2+$E$11)</f>
        <v>16666.666666666664</v>
      </c>
      <c r="F132" s="27">
        <f t="shared" si="75"/>
        <v>30555.555555555551</v>
      </c>
      <c r="G132" s="27">
        <f t="shared" si="75"/>
        <v>42129.629629629642</v>
      </c>
      <c r="H132" s="27">
        <f t="shared" si="75"/>
        <v>51774.691358024669</v>
      </c>
      <c r="I132" s="28">
        <f t="shared" si="75"/>
        <v>59812.242798353931</v>
      </c>
      <c r="J132" s="27">
        <f t="shared" si="75"/>
        <v>66510.202331961525</v>
      </c>
      <c r="K132" s="27">
        <f t="shared" si="75"/>
        <v>72091.835276634694</v>
      </c>
      <c r="L132" s="27">
        <f t="shared" si="75"/>
        <v>76743.19606386227</v>
      </c>
      <c r="M132" s="27">
        <f t="shared" si="75"/>
        <v>80619.330053218669</v>
      </c>
      <c r="N132" s="27">
        <f t="shared" si="75"/>
        <v>83849.441711015315</v>
      </c>
    </row>
    <row r="133" spans="2:14" ht="15" customHeight="1" x14ac:dyDescent="0.45">
      <c r="B133" s="185"/>
      <c r="C133" s="183">
        <v>1000000</v>
      </c>
      <c r="D133" s="15" t="s">
        <v>19</v>
      </c>
      <c r="E133" s="29">
        <f t="shared" ref="E133:N133" si="76">E$53/10*$C133/(2+$E$11)</f>
        <v>41666.666666666664</v>
      </c>
      <c r="F133" s="29">
        <f t="shared" si="76"/>
        <v>34722.222222222226</v>
      </c>
      <c r="G133" s="29">
        <f t="shared" si="76"/>
        <v>28935.185185185186</v>
      </c>
      <c r="H133" s="29">
        <f t="shared" si="76"/>
        <v>24112.654320987655</v>
      </c>
      <c r="I133" s="29">
        <f t="shared" si="76"/>
        <v>20093.878600823045</v>
      </c>
      <c r="J133" s="29">
        <f t="shared" si="76"/>
        <v>16744.898834019201</v>
      </c>
      <c r="K133" s="29">
        <f t="shared" si="76"/>
        <v>13954.082361682667</v>
      </c>
      <c r="L133" s="29">
        <f t="shared" si="76"/>
        <v>11628.401968068893</v>
      </c>
      <c r="M133" s="29">
        <f t="shared" si="76"/>
        <v>9690.3349733907435</v>
      </c>
      <c r="N133" s="29">
        <f t="shared" si="76"/>
        <v>8075.2791444922877</v>
      </c>
    </row>
    <row r="134" spans="2:14" ht="15" customHeight="1" x14ac:dyDescent="0.45">
      <c r="B134" s="185"/>
      <c r="C134" s="183"/>
      <c r="D134" s="15" t="s">
        <v>22</v>
      </c>
      <c r="E134" s="29"/>
      <c r="F134" s="29"/>
      <c r="G134" s="29"/>
      <c r="H134" s="29"/>
      <c r="I134" s="30">
        <f>AVERAGE(E133:I133)</f>
        <v>29906.121399176955</v>
      </c>
      <c r="J134" s="29"/>
      <c r="K134" s="29"/>
      <c r="L134" s="29"/>
      <c r="M134" s="29"/>
      <c r="N134" s="29">
        <f>AVERAGE(E133:N133)</f>
        <v>20962.360427753854</v>
      </c>
    </row>
    <row r="135" spans="2:14" ht="15" customHeight="1" x14ac:dyDescent="0.45">
      <c r="B135" s="186"/>
      <c r="C135" s="183"/>
      <c r="D135" s="15" t="s">
        <v>41</v>
      </c>
      <c r="E135" s="29">
        <f t="shared" ref="E135:N135" si="77">E$54/10*$C133/(2+$E$11)</f>
        <v>41666.666666666664</v>
      </c>
      <c r="F135" s="29">
        <f t="shared" si="77"/>
        <v>76388.888888888876</v>
      </c>
      <c r="G135" s="29">
        <f t="shared" si="77"/>
        <v>105324.07407407412</v>
      </c>
      <c r="H135" s="29">
        <f t="shared" si="77"/>
        <v>129436.72839506168</v>
      </c>
      <c r="I135" s="30">
        <f t="shared" si="77"/>
        <v>149530.60699588482</v>
      </c>
      <c r="J135" s="29">
        <f t="shared" si="77"/>
        <v>166275.50582990379</v>
      </c>
      <c r="K135" s="29">
        <f t="shared" si="77"/>
        <v>180229.58819158675</v>
      </c>
      <c r="L135" s="29">
        <f t="shared" si="77"/>
        <v>191857.99015965569</v>
      </c>
      <c r="M135" s="29">
        <f t="shared" si="77"/>
        <v>201548.32513304669</v>
      </c>
      <c r="N135" s="29">
        <f t="shared" si="77"/>
        <v>209623.60427753828</v>
      </c>
    </row>
    <row r="136" spans="2:14" ht="15" customHeight="1" x14ac:dyDescent="0.45">
      <c r="B136" s="3"/>
      <c r="C136" s="1"/>
      <c r="D136" s="40"/>
      <c r="E136" s="10"/>
      <c r="F136" s="10"/>
      <c r="G136" s="10"/>
      <c r="H136" s="10"/>
      <c r="I136" s="10"/>
      <c r="J136" s="10"/>
      <c r="K136" s="10"/>
      <c r="L136" s="10"/>
      <c r="M136" s="10"/>
      <c r="N136" s="10"/>
    </row>
  </sheetData>
  <mergeCells count="105">
    <mergeCell ref="B13:B14"/>
    <mergeCell ref="C13:C14"/>
    <mergeCell ref="D13:D14"/>
    <mergeCell ref="E13:E14"/>
    <mergeCell ref="F13:F14"/>
    <mergeCell ref="G13:G14"/>
    <mergeCell ref="H13:H14"/>
    <mergeCell ref="I13:I14"/>
    <mergeCell ref="J13:J14"/>
    <mergeCell ref="K13:K14"/>
    <mergeCell ref="L13:L14"/>
    <mergeCell ref="M13:M14"/>
    <mergeCell ref="N13:N14"/>
    <mergeCell ref="B64:B65"/>
    <mergeCell ref="C64:C65"/>
    <mergeCell ref="D64:D65"/>
    <mergeCell ref="E64:E65"/>
    <mergeCell ref="F64:F65"/>
    <mergeCell ref="G32:G33"/>
    <mergeCell ref="H32:H33"/>
    <mergeCell ref="I32:I33"/>
    <mergeCell ref="J32:J33"/>
    <mergeCell ref="K32:K33"/>
    <mergeCell ref="L32:L33"/>
    <mergeCell ref="M32:M33"/>
    <mergeCell ref="N32:N33"/>
    <mergeCell ref="B34:B46"/>
    <mergeCell ref="C34:C38"/>
    <mergeCell ref="C39:C41"/>
    <mergeCell ref="C42:C46"/>
    <mergeCell ref="B48:B49"/>
    <mergeCell ref="C48:C49"/>
    <mergeCell ref="D48:D49"/>
    <mergeCell ref="D2:E3"/>
    <mergeCell ref="G2:I3"/>
    <mergeCell ref="K2:N2"/>
    <mergeCell ref="B2:C11"/>
    <mergeCell ref="B94:B108"/>
    <mergeCell ref="C94:C98"/>
    <mergeCell ref="C99:C103"/>
    <mergeCell ref="C104:C108"/>
    <mergeCell ref="B109:B123"/>
    <mergeCell ref="C109:C113"/>
    <mergeCell ref="C114:C118"/>
    <mergeCell ref="B15:B16"/>
    <mergeCell ref="C15:C16"/>
    <mergeCell ref="B25:B27"/>
    <mergeCell ref="C25:C27"/>
    <mergeCell ref="B17:B24"/>
    <mergeCell ref="C17:C24"/>
    <mergeCell ref="B28:B30"/>
    <mergeCell ref="C28:C30"/>
    <mergeCell ref="B32:B33"/>
    <mergeCell ref="C32:C33"/>
    <mergeCell ref="D32:D33"/>
    <mergeCell ref="E32:E33"/>
    <mergeCell ref="F32:F33"/>
    <mergeCell ref="N48:N49"/>
    <mergeCell ref="B50:B62"/>
    <mergeCell ref="C50:C54"/>
    <mergeCell ref="C55:C57"/>
    <mergeCell ref="C58:C62"/>
    <mergeCell ref="G64:G65"/>
    <mergeCell ref="H64:H65"/>
    <mergeCell ref="I64:I65"/>
    <mergeCell ref="J64:J65"/>
    <mergeCell ref="K64:K65"/>
    <mergeCell ref="L64:L65"/>
    <mergeCell ref="M64:M65"/>
    <mergeCell ref="N64:N65"/>
    <mergeCell ref="E48:E49"/>
    <mergeCell ref="F48:F49"/>
    <mergeCell ref="G48:G49"/>
    <mergeCell ref="H48:H49"/>
    <mergeCell ref="I48:I49"/>
    <mergeCell ref="J48:J49"/>
    <mergeCell ref="K48:K49"/>
    <mergeCell ref="L48:L49"/>
    <mergeCell ref="M48:M49"/>
    <mergeCell ref="B66:B78"/>
    <mergeCell ref="C66:C70"/>
    <mergeCell ref="C71:C73"/>
    <mergeCell ref="C74:C78"/>
    <mergeCell ref="B79:B93"/>
    <mergeCell ref="C79:C83"/>
    <mergeCell ref="C84:C88"/>
    <mergeCell ref="C89:C93"/>
    <mergeCell ref="C119:C123"/>
    <mergeCell ref="K125:K126"/>
    <mergeCell ref="L125:L126"/>
    <mergeCell ref="M125:M126"/>
    <mergeCell ref="N125:N126"/>
    <mergeCell ref="B127:B135"/>
    <mergeCell ref="C127:C129"/>
    <mergeCell ref="C130:C132"/>
    <mergeCell ref="C133:C135"/>
    <mergeCell ref="B125:B126"/>
    <mergeCell ref="C125:C126"/>
    <mergeCell ref="D125:D126"/>
    <mergeCell ref="E125:E126"/>
    <mergeCell ref="F125:F126"/>
    <mergeCell ref="G125:G126"/>
    <mergeCell ref="H125:H126"/>
    <mergeCell ref="I125:I126"/>
    <mergeCell ref="J125:J126"/>
  </mergeCells>
  <pageMargins left="0.7" right="0.7" top="0.75" bottom="0.75" header="0.3" footer="0.3"/>
  <pageSetup orientation="portrait" r:id="rId1"/>
  <headerFooter>
    <oddHeader>&amp;R&amp;"Aptos"&amp;12&amp;K000000 Unclassified / Non classifié&amp;1#_x000D_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2E345-B4CF-476E-A51D-CA5CA4CDE3E4}">
  <dimension ref="A1:O136"/>
  <sheetViews>
    <sheetView topLeftCell="A3" zoomScaleNormal="100" workbookViewId="0">
      <selection activeCell="E50" sqref="E5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10.398437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5" width="1.73046875" style="4" customWidth="1"/>
    <col min="16" max="16384" width="9" style="2"/>
  </cols>
  <sheetData>
    <row r="1" spans="1:15" ht="15" customHeight="1" x14ac:dyDescent="0.45">
      <c r="A1" s="8"/>
      <c r="B1" s="8"/>
      <c r="C1" s="8"/>
      <c r="D1" s="8"/>
      <c r="E1" s="8"/>
      <c r="F1" s="8"/>
      <c r="G1" s="8"/>
      <c r="H1" s="8"/>
      <c r="I1" s="8"/>
      <c r="J1" s="8"/>
      <c r="K1" s="61"/>
      <c r="L1" s="61"/>
      <c r="M1" s="61"/>
      <c r="N1" s="61"/>
      <c r="O1" s="8"/>
    </row>
    <row r="2" spans="1:15" ht="58.5" customHeight="1" x14ac:dyDescent="0.45">
      <c r="A2" s="8"/>
      <c r="B2" s="205" t="s">
        <v>110</v>
      </c>
      <c r="C2" s="206"/>
      <c r="D2" s="211" t="s">
        <v>135</v>
      </c>
      <c r="E2" s="212"/>
      <c r="F2" s="8"/>
      <c r="G2" s="214" t="s">
        <v>121</v>
      </c>
      <c r="H2" s="211"/>
      <c r="I2" s="211"/>
      <c r="J2" s="4"/>
      <c r="K2" s="217" t="s">
        <v>113</v>
      </c>
      <c r="L2" s="217"/>
      <c r="M2" s="217"/>
      <c r="N2" s="217"/>
      <c r="O2" s="8"/>
    </row>
    <row r="3" spans="1:15" ht="14.25" x14ac:dyDescent="0.45">
      <c r="A3" s="8"/>
      <c r="B3" s="207"/>
      <c r="C3" s="208"/>
      <c r="D3" s="210"/>
      <c r="E3" s="213"/>
      <c r="F3" s="8"/>
      <c r="G3" s="215"/>
      <c r="H3" s="216"/>
      <c r="I3" s="216"/>
      <c r="J3" s="4"/>
      <c r="K3" s="62" t="s">
        <v>53</v>
      </c>
      <c r="L3" s="62" t="s">
        <v>51</v>
      </c>
      <c r="M3" s="62" t="s">
        <v>32</v>
      </c>
      <c r="N3" s="62" t="s">
        <v>33</v>
      </c>
      <c r="O3" s="8"/>
    </row>
    <row r="4" spans="1:15" ht="14.25" customHeight="1" x14ac:dyDescent="0.45">
      <c r="A4" s="9"/>
      <c r="B4" s="207"/>
      <c r="C4" s="208"/>
      <c r="D4" s="32" t="s">
        <v>2</v>
      </c>
      <c r="E4" s="33">
        <v>100000</v>
      </c>
      <c r="F4" s="9"/>
      <c r="G4" s="74" t="s">
        <v>34</v>
      </c>
      <c r="H4" s="73" t="s">
        <v>39</v>
      </c>
      <c r="I4" s="41">
        <f>I43</f>
        <v>0.17115680000000005</v>
      </c>
      <c r="J4" s="9"/>
      <c r="K4" s="66">
        <f>C127</f>
        <v>20000</v>
      </c>
      <c r="L4" s="67" t="s">
        <v>40</v>
      </c>
      <c r="M4" s="42">
        <f>I128</f>
        <v>631.35145176040226</v>
      </c>
      <c r="N4" s="63">
        <f t="shared" ref="N4:N9" si="0">M4*$I$15</f>
        <v>157100444.44444442</v>
      </c>
      <c r="O4" s="9"/>
    </row>
    <row r="5" spans="1:15" ht="14.25" customHeight="1" x14ac:dyDescent="0.45">
      <c r="A5" s="37"/>
      <c r="B5" s="207"/>
      <c r="C5" s="208"/>
      <c r="D5" s="18" t="s">
        <v>123</v>
      </c>
      <c r="E5" s="35">
        <f>SUMMARY!H5</f>
        <v>0.2</v>
      </c>
      <c r="F5" s="37"/>
      <c r="G5" s="45" t="s">
        <v>37</v>
      </c>
      <c r="H5" s="64" t="s">
        <v>39</v>
      </c>
      <c r="I5" s="79">
        <f>I67</f>
        <v>0.41868569958847746</v>
      </c>
      <c r="J5" s="37"/>
      <c r="K5" s="66">
        <f>C127</f>
        <v>20000</v>
      </c>
      <c r="L5" s="65" t="s">
        <v>41</v>
      </c>
      <c r="M5" s="42">
        <f>I129</f>
        <v>3156.7572588020125</v>
      </c>
      <c r="N5" s="63">
        <f t="shared" si="0"/>
        <v>785502222.22222233</v>
      </c>
      <c r="O5" s="37"/>
    </row>
    <row r="6" spans="1:15" ht="14.25" customHeight="1" x14ac:dyDescent="0.45">
      <c r="A6" s="37"/>
      <c r="B6" s="207"/>
      <c r="C6" s="208"/>
      <c r="D6" s="18" t="s">
        <v>136</v>
      </c>
      <c r="E6" s="34">
        <f>SUMMARY!L5</f>
        <v>0.02</v>
      </c>
      <c r="F6" s="37"/>
      <c r="G6" s="45" t="s">
        <v>120</v>
      </c>
      <c r="H6" s="64" t="s">
        <v>39</v>
      </c>
      <c r="I6" s="79">
        <f>I80</f>
        <v>8.1962448559670789E-2</v>
      </c>
      <c r="J6" s="37"/>
      <c r="K6" s="66">
        <f>C130</f>
        <v>400000</v>
      </c>
      <c r="L6" s="67" t="s">
        <v>40</v>
      </c>
      <c r="M6" s="42">
        <f>I131</f>
        <v>12627.029035208045</v>
      </c>
      <c r="N6" s="63">
        <f t="shared" si="0"/>
        <v>3142008888.8888884</v>
      </c>
      <c r="O6" s="37"/>
    </row>
    <row r="7" spans="1:15" ht="14.25" customHeight="1" x14ac:dyDescent="0.45">
      <c r="A7" s="37"/>
      <c r="B7" s="207"/>
      <c r="C7" s="208"/>
      <c r="D7" s="18" t="s">
        <v>122</v>
      </c>
      <c r="E7" s="34">
        <f>SUMMARY!P5</f>
        <v>0.01</v>
      </c>
      <c r="F7" s="37"/>
      <c r="G7" s="45" t="s">
        <v>57</v>
      </c>
      <c r="H7" s="64" t="s">
        <v>39</v>
      </c>
      <c r="I7" s="79">
        <f>I95</f>
        <v>4.0981224279835395E-2</v>
      </c>
      <c r="J7" s="37"/>
      <c r="K7" s="66">
        <f>C130</f>
        <v>400000</v>
      </c>
      <c r="L7" s="65" t="s">
        <v>41</v>
      </c>
      <c r="M7" s="42">
        <f>I132</f>
        <v>63135.145176040241</v>
      </c>
      <c r="N7" s="63">
        <f t="shared" si="0"/>
        <v>15710044444.444445</v>
      </c>
      <c r="O7" s="37"/>
    </row>
    <row r="8" spans="1:15" ht="14.25" customHeight="1" x14ac:dyDescent="0.45">
      <c r="A8" s="9"/>
      <c r="B8" s="207"/>
      <c r="C8" s="208"/>
      <c r="D8" s="32" t="s">
        <v>130</v>
      </c>
      <c r="E8" s="36">
        <f>SUMMARY!H8</f>
        <v>0.115</v>
      </c>
      <c r="F8" s="9"/>
      <c r="G8" s="45" t="s">
        <v>118</v>
      </c>
      <c r="H8" s="64" t="s">
        <v>39</v>
      </c>
      <c r="I8" s="79">
        <f>-I35</f>
        <v>-6.8784079218107003E-2</v>
      </c>
      <c r="J8" s="9"/>
      <c r="K8" s="75">
        <f>C133</f>
        <v>1000000</v>
      </c>
      <c r="L8" s="76" t="s">
        <v>40</v>
      </c>
      <c r="M8" s="42">
        <f>I134</f>
        <v>31567.572588020121</v>
      </c>
      <c r="N8" s="63">
        <f t="shared" si="0"/>
        <v>7855022222.2222223</v>
      </c>
      <c r="O8" s="9"/>
    </row>
    <row r="9" spans="1:15" ht="14.25" customHeight="1" x14ac:dyDescent="0.45">
      <c r="A9" s="9"/>
      <c r="B9" s="207"/>
      <c r="C9" s="208"/>
      <c r="D9" s="32" t="s">
        <v>131</v>
      </c>
      <c r="E9" s="36">
        <f>SUMMARY!P8</f>
        <v>0.05</v>
      </c>
      <c r="F9" s="9"/>
      <c r="G9" s="45" t="s">
        <v>117</v>
      </c>
      <c r="H9" s="64" t="s">
        <v>39</v>
      </c>
      <c r="I9" s="79">
        <f>-I51</f>
        <v>-0.14205407664609054</v>
      </c>
      <c r="J9" s="9"/>
      <c r="K9" s="75">
        <f>C133</f>
        <v>1000000</v>
      </c>
      <c r="L9" s="77" t="s">
        <v>41</v>
      </c>
      <c r="M9" s="42">
        <f>I135</f>
        <v>157837.8629401006</v>
      </c>
      <c r="N9" s="63">
        <f t="shared" si="0"/>
        <v>39275111111.111115</v>
      </c>
      <c r="O9" s="9"/>
    </row>
    <row r="10" spans="1:15" ht="14.25" customHeight="1" x14ac:dyDescent="0.45">
      <c r="A10" s="9"/>
      <c r="B10" s="207"/>
      <c r="C10" s="208"/>
      <c r="D10" s="32" t="s">
        <v>132</v>
      </c>
      <c r="E10" s="36">
        <f>SUMMARY!L8</f>
        <v>7.4999999999999997E-2</v>
      </c>
      <c r="F10" s="9"/>
      <c r="G10" s="72" t="s">
        <v>38</v>
      </c>
      <c r="H10" s="73" t="s">
        <v>39</v>
      </c>
      <c r="I10" s="41">
        <f>I110</f>
        <v>0.33079121656378596</v>
      </c>
      <c r="J10" s="8"/>
      <c r="K10" s="10"/>
      <c r="L10" s="10"/>
      <c r="M10" s="3"/>
      <c r="N10" s="8"/>
      <c r="O10" s="9"/>
    </row>
    <row r="11" spans="1:15" ht="15" customHeight="1" x14ac:dyDescent="0.45">
      <c r="A11" s="9"/>
      <c r="B11" s="207"/>
      <c r="C11" s="208"/>
      <c r="D11" s="32" t="s">
        <v>133</v>
      </c>
      <c r="E11" s="36">
        <f>SUMMARY!P12</f>
        <v>2.5</v>
      </c>
      <c r="F11" s="3"/>
      <c r="G11" s="10"/>
      <c r="H11" s="10"/>
      <c r="I11" s="3"/>
      <c r="J11" s="8"/>
      <c r="K11" s="8"/>
      <c r="L11" s="8"/>
      <c r="M11" s="8"/>
      <c r="N11" s="8"/>
      <c r="O11" s="9"/>
    </row>
    <row r="12" spans="1:15" ht="14.25" x14ac:dyDescent="0.45">
      <c r="A12" s="8"/>
      <c r="B12" s="10"/>
      <c r="C12" s="8"/>
      <c r="D12" s="10"/>
      <c r="E12" s="3"/>
      <c r="F12" s="3"/>
      <c r="G12" s="10"/>
      <c r="H12" s="10"/>
      <c r="I12" s="3"/>
      <c r="J12" s="8"/>
      <c r="K12" s="8"/>
      <c r="L12" s="8"/>
      <c r="M12" s="8"/>
      <c r="N12" s="8"/>
      <c r="O12" s="8"/>
    </row>
    <row r="13" spans="1:15" ht="14.25" x14ac:dyDescent="0.45">
      <c r="B13" s="209" t="s">
        <v>52</v>
      </c>
      <c r="C13" s="209" t="s">
        <v>50</v>
      </c>
      <c r="D13" s="209" t="s">
        <v>51</v>
      </c>
      <c r="E13" s="174" t="s">
        <v>3</v>
      </c>
      <c r="F13" s="174" t="s">
        <v>4</v>
      </c>
      <c r="G13" s="174" t="s">
        <v>5</v>
      </c>
      <c r="H13" s="174" t="s">
        <v>6</v>
      </c>
      <c r="I13" s="174" t="s">
        <v>7</v>
      </c>
      <c r="J13" s="174" t="s">
        <v>8</v>
      </c>
      <c r="K13" s="174" t="s">
        <v>9</v>
      </c>
      <c r="L13" s="174" t="s">
        <v>10</v>
      </c>
      <c r="M13" s="174" t="s">
        <v>11</v>
      </c>
      <c r="N13" s="174" t="s">
        <v>12</v>
      </c>
    </row>
    <row r="14" spans="1:15" ht="14.25" x14ac:dyDescent="0.45">
      <c r="B14" s="210"/>
      <c r="C14" s="210"/>
      <c r="D14" s="210"/>
      <c r="E14" s="175"/>
      <c r="F14" s="175"/>
      <c r="G14" s="175"/>
      <c r="H14" s="175"/>
      <c r="I14" s="175"/>
      <c r="J14" s="175"/>
      <c r="K14" s="175"/>
      <c r="L14" s="175"/>
      <c r="M14" s="175"/>
      <c r="N14" s="175"/>
    </row>
    <row r="15" spans="1:15" ht="14.25" x14ac:dyDescent="0.45">
      <c r="B15" s="184" t="s">
        <v>20</v>
      </c>
      <c r="C15" s="184" t="s">
        <v>33</v>
      </c>
      <c r="D15" s="19" t="s">
        <v>48</v>
      </c>
      <c r="E15" s="21">
        <f>($E$4 * $E$5) + $E$4</f>
        <v>120000</v>
      </c>
      <c r="F15" s="21">
        <f t="shared" ref="F15:N15" si="1">(E15 * $E$5) + E15</f>
        <v>144000</v>
      </c>
      <c r="G15" s="21">
        <f t="shared" si="1"/>
        <v>172800</v>
      </c>
      <c r="H15" s="21">
        <f t="shared" si="1"/>
        <v>207360</v>
      </c>
      <c r="I15" s="21">
        <f t="shared" si="1"/>
        <v>248832</v>
      </c>
      <c r="J15" s="21">
        <f t="shared" si="1"/>
        <v>298598.40000000002</v>
      </c>
      <c r="K15" s="21">
        <f t="shared" si="1"/>
        <v>358318.08000000002</v>
      </c>
      <c r="L15" s="21">
        <f t="shared" si="1"/>
        <v>429981.696</v>
      </c>
      <c r="M15" s="21">
        <f t="shared" si="1"/>
        <v>515978.03519999998</v>
      </c>
      <c r="N15" s="21">
        <f t="shared" si="1"/>
        <v>619173.64223999996</v>
      </c>
    </row>
    <row r="16" spans="1:15" ht="14.25" x14ac:dyDescent="0.45">
      <c r="B16" s="186"/>
      <c r="C16" s="186"/>
      <c r="D16" s="19" t="s">
        <v>49</v>
      </c>
      <c r="E16" s="25">
        <f>E15*21000000</f>
        <v>2520000000000</v>
      </c>
      <c r="F16" s="25">
        <f t="shared" ref="F16:N16" si="2">F15*21000000</f>
        <v>3024000000000</v>
      </c>
      <c r="G16" s="25">
        <f t="shared" si="2"/>
        <v>3628800000000</v>
      </c>
      <c r="H16" s="25">
        <f t="shared" si="2"/>
        <v>4354560000000</v>
      </c>
      <c r="I16" s="25">
        <f t="shared" si="2"/>
        <v>5225472000000</v>
      </c>
      <c r="J16" s="25">
        <f t="shared" si="2"/>
        <v>6270566400000.001</v>
      </c>
      <c r="K16" s="25">
        <f t="shared" si="2"/>
        <v>7524679680000</v>
      </c>
      <c r="L16" s="25">
        <f t="shared" si="2"/>
        <v>9029615616000</v>
      </c>
      <c r="M16" s="25">
        <f t="shared" si="2"/>
        <v>10835538739200</v>
      </c>
      <c r="N16" s="25">
        <f t="shared" si="2"/>
        <v>13002646487040</v>
      </c>
    </row>
    <row r="17" spans="1:15" ht="14.25" x14ac:dyDescent="0.45">
      <c r="B17" s="184" t="s">
        <v>16</v>
      </c>
      <c r="C17" s="202" t="s">
        <v>32</v>
      </c>
      <c r="D17" s="19" t="s">
        <v>124</v>
      </c>
      <c r="E17" s="26">
        <f>(E15-$E4)/E15</f>
        <v>0.16666666666666666</v>
      </c>
      <c r="F17" s="26">
        <f t="shared" ref="F17:N17" si="3">(F15-$E4)/F15</f>
        <v>0.30555555555555558</v>
      </c>
      <c r="G17" s="26">
        <f t="shared" si="3"/>
        <v>0.42129629629629628</v>
      </c>
      <c r="H17" s="26">
        <f t="shared" si="3"/>
        <v>0.51774691358024694</v>
      </c>
      <c r="I17" s="26">
        <f t="shared" si="3"/>
        <v>0.5981224279835391</v>
      </c>
      <c r="J17" s="26">
        <f t="shared" si="3"/>
        <v>0.66510202331961599</v>
      </c>
      <c r="K17" s="26">
        <f t="shared" si="3"/>
        <v>0.72091835276634664</v>
      </c>
      <c r="L17" s="26">
        <f t="shared" si="3"/>
        <v>0.76743196063862218</v>
      </c>
      <c r="M17" s="26">
        <f t="shared" si="3"/>
        <v>0.80619330053218508</v>
      </c>
      <c r="N17" s="26">
        <f t="shared" si="3"/>
        <v>0.83849441711015427</v>
      </c>
    </row>
    <row r="18" spans="1:15" ht="14.25" x14ac:dyDescent="0.45">
      <c r="B18" s="185"/>
      <c r="C18" s="203"/>
      <c r="D18" s="19" t="s">
        <v>125</v>
      </c>
      <c r="E18" s="26">
        <f>1-E17</f>
        <v>0.83333333333333337</v>
      </c>
      <c r="F18" s="26">
        <f t="shared" ref="F18:N18" si="4">1-F17</f>
        <v>0.69444444444444442</v>
      </c>
      <c r="G18" s="26">
        <f t="shared" si="4"/>
        <v>0.57870370370370372</v>
      </c>
      <c r="H18" s="26">
        <f t="shared" si="4"/>
        <v>0.48225308641975306</v>
      </c>
      <c r="I18" s="26">
        <f t="shared" si="4"/>
        <v>0.4018775720164609</v>
      </c>
      <c r="J18" s="26">
        <f t="shared" si="4"/>
        <v>0.33489797668038401</v>
      </c>
      <c r="K18" s="26">
        <f t="shared" si="4"/>
        <v>0.27908164723365336</v>
      </c>
      <c r="L18" s="26">
        <f t="shared" si="4"/>
        <v>0.23256803936137782</v>
      </c>
      <c r="M18" s="26">
        <f t="shared" si="4"/>
        <v>0.19380669946781492</v>
      </c>
      <c r="N18" s="26">
        <f t="shared" si="4"/>
        <v>0.16150558288984573</v>
      </c>
    </row>
    <row r="19" spans="1:15" ht="14.25" x14ac:dyDescent="0.45">
      <c r="B19" s="185"/>
      <c r="C19" s="203"/>
      <c r="D19" s="19" t="s">
        <v>126</v>
      </c>
      <c r="E19" s="78">
        <f>E17</f>
        <v>0.16666666666666666</v>
      </c>
      <c r="F19" s="78">
        <f t="shared" ref="F19:N19" si="5">F17-E17</f>
        <v>0.13888888888888892</v>
      </c>
      <c r="G19" s="78">
        <f>G17-F17</f>
        <v>0.1157407407407407</v>
      </c>
      <c r="H19" s="78">
        <f t="shared" si="5"/>
        <v>9.6450617283950657E-2</v>
      </c>
      <c r="I19" s="78">
        <f t="shared" si="5"/>
        <v>8.0375514403292159E-2</v>
      </c>
      <c r="J19" s="78">
        <f>J17-I17</f>
        <v>6.6979595336076891E-2</v>
      </c>
      <c r="K19" s="78">
        <f t="shared" si="5"/>
        <v>5.581632944673065E-2</v>
      </c>
      <c r="L19" s="78">
        <f t="shared" si="5"/>
        <v>4.6513607872275542E-2</v>
      </c>
      <c r="M19" s="78">
        <f t="shared" si="5"/>
        <v>3.8761339893562896E-2</v>
      </c>
      <c r="N19" s="78">
        <f t="shared" si="5"/>
        <v>3.2301116577969191E-2</v>
      </c>
    </row>
    <row r="20" spans="1:15" ht="14.25" x14ac:dyDescent="0.45">
      <c r="B20" s="185"/>
      <c r="C20" s="203"/>
      <c r="D20" s="19" t="s">
        <v>127</v>
      </c>
      <c r="E20" s="78"/>
      <c r="F20" s="78"/>
      <c r="G20" s="78"/>
      <c r="H20" s="78"/>
      <c r="I20" s="78">
        <f>AVERAGE(E19:I19)</f>
        <v>0.11962448559670782</v>
      </c>
      <c r="J20" s="26"/>
      <c r="K20" s="26"/>
      <c r="L20" s="26"/>
      <c r="M20" s="26"/>
      <c r="N20" s="78">
        <f>AVERAGE(E19:N19)</f>
        <v>8.3849441711015424E-2</v>
      </c>
    </row>
    <row r="21" spans="1:15" ht="14.25" x14ac:dyDescent="0.45">
      <c r="B21" s="185"/>
      <c r="C21" s="203"/>
      <c r="D21" s="19" t="s">
        <v>128</v>
      </c>
      <c r="E21" s="78">
        <f>$E$11*E19</f>
        <v>0.41666666666666663</v>
      </c>
      <c r="F21" s="78">
        <f t="shared" ref="F21:N21" si="6">$E$11*F19</f>
        <v>0.34722222222222232</v>
      </c>
      <c r="G21" s="78">
        <f t="shared" si="6"/>
        <v>0.28935185185185175</v>
      </c>
      <c r="H21" s="78">
        <f t="shared" si="6"/>
        <v>0.24112654320987664</v>
      </c>
      <c r="I21" s="78">
        <f t="shared" si="6"/>
        <v>0.2009387860082304</v>
      </c>
      <c r="J21" s="78">
        <f t="shared" si="6"/>
        <v>0.16744898834019223</v>
      </c>
      <c r="K21" s="78">
        <f t="shared" si="6"/>
        <v>0.13954082361682663</v>
      </c>
      <c r="L21" s="78">
        <f t="shared" si="6"/>
        <v>0.11628401968068885</v>
      </c>
      <c r="M21" s="78">
        <f t="shared" si="6"/>
        <v>9.690334973390724E-2</v>
      </c>
      <c r="N21" s="78">
        <f t="shared" si="6"/>
        <v>8.0752791444922978E-2</v>
      </c>
    </row>
    <row r="22" spans="1:15" ht="14.25" x14ac:dyDescent="0.45">
      <c r="B22" s="185"/>
      <c r="C22" s="203"/>
      <c r="D22" s="19" t="s">
        <v>129</v>
      </c>
      <c r="E22" s="78"/>
      <c r="F22" s="78"/>
      <c r="G22" s="78"/>
      <c r="H22" s="78"/>
      <c r="I22" s="78">
        <f>AVERAGE(E21:I21)</f>
        <v>0.29906121399176955</v>
      </c>
      <c r="J22" s="26"/>
      <c r="K22" s="26"/>
      <c r="L22" s="26"/>
      <c r="M22" s="26"/>
      <c r="N22" s="78">
        <f>AVERAGE(E21:N21)</f>
        <v>0.20962360427753857</v>
      </c>
    </row>
    <row r="23" spans="1:15" ht="14.25" x14ac:dyDescent="0.45">
      <c r="B23" s="185"/>
      <c r="C23" s="203"/>
      <c r="D23" s="15" t="s">
        <v>58</v>
      </c>
      <c r="E23" s="17">
        <f>E19+E21</f>
        <v>0.58333333333333326</v>
      </c>
      <c r="F23" s="17">
        <f t="shared" ref="F23:N23" si="7">F19+F21</f>
        <v>0.48611111111111127</v>
      </c>
      <c r="G23" s="17">
        <f t="shared" si="7"/>
        <v>0.40509259259259245</v>
      </c>
      <c r="H23" s="17">
        <f t="shared" si="7"/>
        <v>0.3375771604938273</v>
      </c>
      <c r="I23" s="17">
        <f t="shared" si="7"/>
        <v>0.28131430041152256</v>
      </c>
      <c r="J23" s="17">
        <f t="shared" si="7"/>
        <v>0.23442858367626912</v>
      </c>
      <c r="K23" s="17">
        <f t="shared" si="7"/>
        <v>0.19535715306355728</v>
      </c>
      <c r="L23" s="17">
        <f t="shared" si="7"/>
        <v>0.1627976275529644</v>
      </c>
      <c r="M23" s="17">
        <f t="shared" si="7"/>
        <v>0.13566468962747014</v>
      </c>
      <c r="N23" s="17">
        <f t="shared" si="7"/>
        <v>0.11305390802289217</v>
      </c>
    </row>
    <row r="24" spans="1:15" ht="14.25" x14ac:dyDescent="0.45">
      <c r="B24" s="186"/>
      <c r="C24" s="204"/>
      <c r="D24" s="15" t="s">
        <v>59</v>
      </c>
      <c r="E24" s="17"/>
      <c r="F24" s="17"/>
      <c r="G24" s="17"/>
      <c r="H24" s="17"/>
      <c r="I24" s="17">
        <f>AVERAGE(E23:I23)</f>
        <v>0.41868569958847746</v>
      </c>
      <c r="J24" s="16"/>
      <c r="K24" s="16"/>
      <c r="L24" s="16"/>
      <c r="M24" s="16"/>
      <c r="N24" s="17">
        <f>AVERAGE(E23:N23)</f>
        <v>0.29347304598855406</v>
      </c>
    </row>
    <row r="25" spans="1:15" ht="14.25" x14ac:dyDescent="0.45">
      <c r="B25" s="184" t="s">
        <v>137</v>
      </c>
      <c r="C25" s="202" t="s">
        <v>32</v>
      </c>
      <c r="D25" s="15" t="s">
        <v>43</v>
      </c>
      <c r="E25" s="17">
        <f>((1+$E$11)*$E$6)+($E$6*E18)</f>
        <v>8.666666666666667E-2</v>
      </c>
      <c r="F25" s="17">
        <f t="shared" ref="F25:N25" si="8">((1+$E$11)*$E$6)+($E$6*F18)</f>
        <v>8.3888888888888902E-2</v>
      </c>
      <c r="G25" s="17">
        <f t="shared" si="8"/>
        <v>8.1574074074074077E-2</v>
      </c>
      <c r="H25" s="17">
        <f t="shared" si="8"/>
        <v>7.964506172839507E-2</v>
      </c>
      <c r="I25" s="17">
        <f>((1+$E$11)*$E$6)+($E$6*I18)</f>
        <v>7.8037551440329228E-2</v>
      </c>
      <c r="J25" s="17">
        <f t="shared" si="8"/>
        <v>7.6697959533607682E-2</v>
      </c>
      <c r="K25" s="17">
        <f t="shared" si="8"/>
        <v>7.5581632944673072E-2</v>
      </c>
      <c r="L25" s="17">
        <f t="shared" si="8"/>
        <v>7.4651360787227561E-2</v>
      </c>
      <c r="M25" s="17">
        <f t="shared" si="8"/>
        <v>7.3876133989356302E-2</v>
      </c>
      <c r="N25" s="17">
        <f t="shared" si="8"/>
        <v>7.3230111657796915E-2</v>
      </c>
    </row>
    <row r="26" spans="1:15" ht="14.25" x14ac:dyDescent="0.45">
      <c r="B26" s="185"/>
      <c r="C26" s="203"/>
      <c r="D26" s="15" t="s">
        <v>44</v>
      </c>
      <c r="E26" s="17"/>
      <c r="F26" s="17"/>
      <c r="G26" s="17"/>
      <c r="H26" s="17"/>
      <c r="I26" s="17">
        <f>AVERAGE(E25:I25)</f>
        <v>8.1962448559670789E-2</v>
      </c>
      <c r="J26" s="16"/>
      <c r="K26" s="16"/>
      <c r="L26" s="16"/>
      <c r="M26" s="16"/>
      <c r="N26" s="17">
        <f>AVERAGE(E25:N25)</f>
        <v>7.8384944171101548E-2</v>
      </c>
    </row>
    <row r="27" spans="1:15" ht="14.25" x14ac:dyDescent="0.45">
      <c r="B27" s="185"/>
      <c r="C27" s="203"/>
      <c r="D27" s="19" t="s">
        <v>42</v>
      </c>
      <c r="E27" s="78">
        <f>E25</f>
        <v>8.666666666666667E-2</v>
      </c>
      <c r="F27" s="78">
        <f>E27+F25</f>
        <v>0.17055555555555557</v>
      </c>
      <c r="G27" s="78">
        <f>F27+G25</f>
        <v>0.25212962962962965</v>
      </c>
      <c r="H27" s="78">
        <f t="shared" ref="H27:I27" si="9">G27+H25</f>
        <v>0.33177469135802473</v>
      </c>
      <c r="I27" s="78">
        <f t="shared" si="9"/>
        <v>0.40981224279835393</v>
      </c>
      <c r="J27" s="78">
        <f>I27+J25</f>
        <v>0.48651020233196163</v>
      </c>
      <c r="K27" s="78">
        <f t="shared" ref="K27:N27" si="10">J27+K25</f>
        <v>0.56209183527663464</v>
      </c>
      <c r="L27" s="78">
        <f t="shared" si="10"/>
        <v>0.6367431960638622</v>
      </c>
      <c r="M27" s="78">
        <f t="shared" si="10"/>
        <v>0.71061933005321853</v>
      </c>
      <c r="N27" s="78">
        <f t="shared" si="10"/>
        <v>0.78384944171101545</v>
      </c>
    </row>
    <row r="28" spans="1:15" ht="14.25" x14ac:dyDescent="0.45">
      <c r="B28" s="184" t="s">
        <v>17</v>
      </c>
      <c r="C28" s="202" t="s">
        <v>32</v>
      </c>
      <c r="D28" s="15" t="s">
        <v>43</v>
      </c>
      <c r="E28" s="17">
        <f t="shared" ref="E28:N28" si="11">((1+$E$11)*$E$7)+($E$7*E18)</f>
        <v>4.3333333333333335E-2</v>
      </c>
      <c r="F28" s="17">
        <f t="shared" si="11"/>
        <v>4.1944444444444451E-2</v>
      </c>
      <c r="G28" s="17">
        <f t="shared" si="11"/>
        <v>4.0787037037037038E-2</v>
      </c>
      <c r="H28" s="17">
        <f t="shared" si="11"/>
        <v>3.9822530864197535E-2</v>
      </c>
      <c r="I28" s="17">
        <f t="shared" si="11"/>
        <v>3.9018775720164614E-2</v>
      </c>
      <c r="J28" s="17">
        <f t="shared" si="11"/>
        <v>3.8348979766803841E-2</v>
      </c>
      <c r="K28" s="17">
        <f t="shared" si="11"/>
        <v>3.7790816472336536E-2</v>
      </c>
      <c r="L28" s="17">
        <f t="shared" si="11"/>
        <v>3.732568039361378E-2</v>
      </c>
      <c r="M28" s="17">
        <f t="shared" si="11"/>
        <v>3.6938066994678151E-2</v>
      </c>
      <c r="N28" s="17">
        <f t="shared" si="11"/>
        <v>3.6615055828898457E-2</v>
      </c>
    </row>
    <row r="29" spans="1:15" ht="15" customHeight="1" x14ac:dyDescent="0.45">
      <c r="B29" s="185"/>
      <c r="C29" s="203"/>
      <c r="D29" s="15" t="s">
        <v>44</v>
      </c>
      <c r="E29" s="17"/>
      <c r="F29" s="17"/>
      <c r="G29" s="17"/>
      <c r="H29" s="17"/>
      <c r="I29" s="17">
        <f>AVERAGE(E28:I28)</f>
        <v>4.0981224279835395E-2</v>
      </c>
      <c r="J29" s="16"/>
      <c r="K29" s="16"/>
      <c r="L29" s="16"/>
      <c r="M29" s="16"/>
      <c r="N29" s="17">
        <f>AVERAGE(E28:N28)</f>
        <v>3.9192472085550774E-2</v>
      </c>
    </row>
    <row r="30" spans="1:15" ht="14.25" x14ac:dyDescent="0.45">
      <c r="B30" s="185"/>
      <c r="C30" s="203"/>
      <c r="D30" s="19" t="s">
        <v>42</v>
      </c>
      <c r="E30" s="78">
        <f>E28</f>
        <v>4.3333333333333335E-2</v>
      </c>
      <c r="F30" s="78">
        <f t="shared" ref="F30:N30" si="12">E30+F28</f>
        <v>8.5277777777777786E-2</v>
      </c>
      <c r="G30" s="78">
        <f>F30+G28</f>
        <v>0.12606481481481482</v>
      </c>
      <c r="H30" s="78">
        <f t="shared" si="12"/>
        <v>0.16588734567901237</v>
      </c>
      <c r="I30" s="78">
        <f t="shared" si="12"/>
        <v>0.20490612139917697</v>
      </c>
      <c r="J30" s="78">
        <f>I30+J28</f>
        <v>0.24325510116598081</v>
      </c>
      <c r="K30" s="78">
        <f t="shared" si="12"/>
        <v>0.28104591763831732</v>
      </c>
      <c r="L30" s="78">
        <f t="shared" si="12"/>
        <v>0.3183715980319311</v>
      </c>
      <c r="M30" s="78">
        <f t="shared" si="12"/>
        <v>0.35530966502660927</v>
      </c>
      <c r="N30" s="78">
        <f t="shared" si="12"/>
        <v>0.39192472085550772</v>
      </c>
    </row>
    <row r="31" spans="1:15" ht="14.25" x14ac:dyDescent="0.45">
      <c r="B31" s="3"/>
      <c r="C31" s="1"/>
      <c r="D31" s="43"/>
      <c r="E31" s="31"/>
      <c r="F31" s="31"/>
      <c r="G31" s="31"/>
      <c r="H31" s="31"/>
      <c r="I31" s="31"/>
      <c r="J31" s="31"/>
      <c r="K31" s="31"/>
      <c r="L31" s="31"/>
      <c r="M31" s="31"/>
      <c r="N31" s="31"/>
    </row>
    <row r="32" spans="1:15" ht="14.25" x14ac:dyDescent="0.45">
      <c r="A32" s="8"/>
      <c r="B32" s="194" t="s">
        <v>114</v>
      </c>
      <c r="C32" s="196" t="s">
        <v>21</v>
      </c>
      <c r="D32" s="198" t="str">
        <f>"10 BTC / "&amp;TEXT($E$4*10, "$###0.00,,")&amp;"M USD"</f>
        <v>10 BTC / $1.00M USD</v>
      </c>
      <c r="E32" s="174" t="s">
        <v>3</v>
      </c>
      <c r="F32" s="174" t="s">
        <v>4</v>
      </c>
      <c r="G32" s="174" t="s">
        <v>5</v>
      </c>
      <c r="H32" s="174" t="s">
        <v>6</v>
      </c>
      <c r="I32" s="174" t="s">
        <v>7</v>
      </c>
      <c r="J32" s="174" t="s">
        <v>8</v>
      </c>
      <c r="K32" s="174" t="s">
        <v>9</v>
      </c>
      <c r="L32" s="174" t="s">
        <v>10</v>
      </c>
      <c r="M32" s="174" t="s">
        <v>11</v>
      </c>
      <c r="N32" s="174" t="s">
        <v>12</v>
      </c>
      <c r="O32" s="8"/>
    </row>
    <row r="33" spans="2:14" ht="14.25" x14ac:dyDescent="0.45">
      <c r="B33" s="195"/>
      <c r="C33" s="197"/>
      <c r="D33" s="199"/>
      <c r="E33" s="175"/>
      <c r="F33" s="175"/>
      <c r="G33" s="175"/>
      <c r="H33" s="175"/>
      <c r="I33" s="175"/>
      <c r="J33" s="175"/>
      <c r="K33" s="175"/>
      <c r="L33" s="175"/>
      <c r="M33" s="175"/>
      <c r="N33" s="175"/>
    </row>
    <row r="34" spans="2:14" ht="14.25" x14ac:dyDescent="0.45">
      <c r="B34" s="184" t="s">
        <v>137</v>
      </c>
      <c r="C34" s="192" t="s">
        <v>32</v>
      </c>
      <c r="D34" s="15" t="s">
        <v>58</v>
      </c>
      <c r="E34" s="16">
        <f>E39*$E$4/E$15</f>
        <v>9.583333333333334E-2</v>
      </c>
      <c r="F34" s="16">
        <f t="shared" ref="F34:N34" si="13">F39*$E$4/F$15</f>
        <v>7.9861111111111105E-2</v>
      </c>
      <c r="G34" s="16">
        <f t="shared" si="13"/>
        <v>6.655092592592593E-2</v>
      </c>
      <c r="H34" s="16">
        <f t="shared" si="13"/>
        <v>5.5459104938271608E-2</v>
      </c>
      <c r="I34" s="16">
        <f t="shared" si="13"/>
        <v>4.6215920781893002E-2</v>
      </c>
      <c r="J34" s="16">
        <f t="shared" si="13"/>
        <v>3.8513267318244164E-2</v>
      </c>
      <c r="K34" s="16">
        <f t="shared" si="13"/>
        <v>3.2094389431870138E-2</v>
      </c>
      <c r="L34" s="16">
        <f t="shared" si="13"/>
        <v>2.674532452655845E-2</v>
      </c>
      <c r="M34" s="16">
        <f t="shared" si="13"/>
        <v>2.2287770438798711E-2</v>
      </c>
      <c r="N34" s="16">
        <f t="shared" si="13"/>
        <v>1.8573142032332259E-2</v>
      </c>
    </row>
    <row r="35" spans="2:14" ht="14.25" x14ac:dyDescent="0.45">
      <c r="B35" s="185"/>
      <c r="C35" s="192"/>
      <c r="D35" s="15" t="s">
        <v>59</v>
      </c>
      <c r="E35" s="16"/>
      <c r="F35" s="16"/>
      <c r="G35" s="16"/>
      <c r="H35" s="16"/>
      <c r="I35" s="80">
        <f>AVERAGE(E34:I34)</f>
        <v>6.8784079218107003E-2</v>
      </c>
      <c r="J35" s="16"/>
      <c r="K35" s="16"/>
      <c r="L35" s="16"/>
      <c r="M35" s="16"/>
      <c r="N35" s="17">
        <f>AVERAGE(E34:N34)</f>
        <v>4.8213428983833864E-2</v>
      </c>
    </row>
    <row r="36" spans="2:14" ht="14.25" x14ac:dyDescent="0.45">
      <c r="B36" s="185"/>
      <c r="C36" s="192"/>
      <c r="D36" s="15" t="s">
        <v>42</v>
      </c>
      <c r="E36" s="16">
        <f t="shared" ref="E36:N36" si="14">E$17*(E34/E$19)</f>
        <v>9.583333333333334E-2</v>
      </c>
      <c r="F36" s="16">
        <f t="shared" si="14"/>
        <v>0.1756944444444444</v>
      </c>
      <c r="G36" s="16">
        <f>G$17*(G34/G$19)</f>
        <v>0.24224537037037047</v>
      </c>
      <c r="H36" s="16">
        <f>H$17*(H34/H$19)</f>
        <v>0.29770447530864191</v>
      </c>
      <c r="I36" s="16">
        <f>I$17*(I34/I$19)</f>
        <v>0.3439203960905351</v>
      </c>
      <c r="J36" s="16">
        <f t="shared" si="14"/>
        <v>0.38243366340877871</v>
      </c>
      <c r="K36" s="16">
        <f t="shared" si="14"/>
        <v>0.41452805284064953</v>
      </c>
      <c r="L36" s="16">
        <f t="shared" si="14"/>
        <v>0.44127337736720795</v>
      </c>
      <c r="M36" s="16">
        <f t="shared" si="14"/>
        <v>0.46356114780600738</v>
      </c>
      <c r="N36" s="16">
        <f t="shared" si="14"/>
        <v>0.482134289838338</v>
      </c>
    </row>
    <row r="37" spans="2:14" ht="14.25" customHeight="1" x14ac:dyDescent="0.45">
      <c r="B37" s="185"/>
      <c r="C37" s="193"/>
      <c r="D37" s="19" t="s">
        <v>45</v>
      </c>
      <c r="E37" s="20">
        <f t="shared" ref="E37:N37" si="15">10*E34</f>
        <v>0.95833333333333337</v>
      </c>
      <c r="F37" s="20">
        <f t="shared" si="15"/>
        <v>0.79861111111111105</v>
      </c>
      <c r="G37" s="20">
        <f t="shared" si="15"/>
        <v>0.6655092592592593</v>
      </c>
      <c r="H37" s="20">
        <f t="shared" si="15"/>
        <v>0.55459104938271608</v>
      </c>
      <c r="I37" s="20">
        <f t="shared" si="15"/>
        <v>0.46215920781893005</v>
      </c>
      <c r="J37" s="20">
        <f t="shared" si="15"/>
        <v>0.38513267318244165</v>
      </c>
      <c r="K37" s="20">
        <f t="shared" si="15"/>
        <v>0.32094389431870141</v>
      </c>
      <c r="L37" s="20">
        <f t="shared" si="15"/>
        <v>0.2674532452655845</v>
      </c>
      <c r="M37" s="20">
        <f t="shared" si="15"/>
        <v>0.2228777043879871</v>
      </c>
      <c r="N37" s="20">
        <f t="shared" si="15"/>
        <v>0.1857314203233226</v>
      </c>
    </row>
    <row r="38" spans="2:14" ht="14.25" x14ac:dyDescent="0.45">
      <c r="B38" s="185"/>
      <c r="C38" s="193"/>
      <c r="D38" s="19" t="s">
        <v>46</v>
      </c>
      <c r="E38" s="20">
        <f>10*E36</f>
        <v>0.95833333333333337</v>
      </c>
      <c r="F38" s="20">
        <f>10*F36</f>
        <v>1.756944444444444</v>
      </c>
      <c r="G38" s="20">
        <f>10*G36</f>
        <v>2.4224537037037046</v>
      </c>
      <c r="H38" s="20">
        <f t="shared" ref="H38:N38" si="16">10*H36</f>
        <v>2.9770447530864192</v>
      </c>
      <c r="I38" s="20">
        <f t="shared" si="16"/>
        <v>3.4392039609053509</v>
      </c>
      <c r="J38" s="20">
        <f t="shared" si="16"/>
        <v>3.8243366340877873</v>
      </c>
      <c r="K38" s="20">
        <f t="shared" si="16"/>
        <v>4.1452805284064951</v>
      </c>
      <c r="L38" s="20">
        <f t="shared" si="16"/>
        <v>4.4127337736720795</v>
      </c>
      <c r="M38" s="20">
        <f t="shared" si="16"/>
        <v>4.6356114780600741</v>
      </c>
      <c r="N38" s="20">
        <f t="shared" si="16"/>
        <v>4.8213428983833797</v>
      </c>
    </row>
    <row r="39" spans="2:14" ht="14.25" x14ac:dyDescent="0.45">
      <c r="B39" s="185"/>
      <c r="C39" s="191" t="s">
        <v>36</v>
      </c>
      <c r="D39" s="15" t="s">
        <v>43</v>
      </c>
      <c r="E39" s="16">
        <f>E8</f>
        <v>0.115</v>
      </c>
      <c r="F39" s="16">
        <f>E39</f>
        <v>0.115</v>
      </c>
      <c r="G39" s="16">
        <f t="shared" ref="G39:N39" si="17">F39</f>
        <v>0.115</v>
      </c>
      <c r="H39" s="16">
        <f t="shared" si="17"/>
        <v>0.115</v>
      </c>
      <c r="I39" s="16">
        <f t="shared" si="17"/>
        <v>0.115</v>
      </c>
      <c r="J39" s="16">
        <f t="shared" si="17"/>
        <v>0.115</v>
      </c>
      <c r="K39" s="16">
        <f t="shared" si="17"/>
        <v>0.115</v>
      </c>
      <c r="L39" s="16">
        <f t="shared" si="17"/>
        <v>0.115</v>
      </c>
      <c r="M39" s="16">
        <f t="shared" si="17"/>
        <v>0.115</v>
      </c>
      <c r="N39" s="16">
        <f t="shared" si="17"/>
        <v>0.115</v>
      </c>
    </row>
    <row r="40" spans="2:14" ht="14.25" customHeight="1" x14ac:dyDescent="0.45">
      <c r="B40" s="185"/>
      <c r="C40" s="193"/>
      <c r="D40" s="19" t="s">
        <v>45</v>
      </c>
      <c r="E40" s="21">
        <f>E37*E$15</f>
        <v>115000</v>
      </c>
      <c r="F40" s="21">
        <f t="shared" ref="F40:N40" si="18">F37*F$15</f>
        <v>114999.99999999999</v>
      </c>
      <c r="G40" s="21">
        <f>G37*G$15</f>
        <v>115000</v>
      </c>
      <c r="H40" s="21">
        <f>H37*H$15</f>
        <v>115000</v>
      </c>
      <c r="I40" s="21">
        <f>I37*I$15</f>
        <v>115000</v>
      </c>
      <c r="J40" s="21">
        <f t="shared" si="18"/>
        <v>115000</v>
      </c>
      <c r="K40" s="21">
        <f t="shared" si="18"/>
        <v>115000</v>
      </c>
      <c r="L40" s="21">
        <f t="shared" si="18"/>
        <v>115000</v>
      </c>
      <c r="M40" s="21">
        <f t="shared" si="18"/>
        <v>115000</v>
      </c>
      <c r="N40" s="21">
        <f t="shared" si="18"/>
        <v>115000</v>
      </c>
    </row>
    <row r="41" spans="2:14" ht="14.25" x14ac:dyDescent="0.45">
      <c r="B41" s="185"/>
      <c r="C41" s="193"/>
      <c r="D41" s="19" t="s">
        <v>46</v>
      </c>
      <c r="E41" s="21">
        <f>E40</f>
        <v>115000</v>
      </c>
      <c r="F41" s="21">
        <f>E41+F40</f>
        <v>230000</v>
      </c>
      <c r="G41" s="21">
        <f>F41+G40</f>
        <v>345000</v>
      </c>
      <c r="H41" s="21">
        <f t="shared" ref="H41:N41" si="19">G41+H40</f>
        <v>460000</v>
      </c>
      <c r="I41" s="21">
        <f t="shared" si="19"/>
        <v>575000</v>
      </c>
      <c r="J41" s="21">
        <f>I41+J40</f>
        <v>690000</v>
      </c>
      <c r="K41" s="21">
        <f t="shared" si="19"/>
        <v>805000</v>
      </c>
      <c r="L41" s="21">
        <f t="shared" si="19"/>
        <v>920000</v>
      </c>
      <c r="M41" s="21">
        <f t="shared" si="19"/>
        <v>1035000</v>
      </c>
      <c r="N41" s="21">
        <f t="shared" si="19"/>
        <v>1150000</v>
      </c>
    </row>
    <row r="42" spans="2:14" ht="14.25" x14ac:dyDescent="0.45">
      <c r="B42" s="185"/>
      <c r="C42" s="191" t="s">
        <v>35</v>
      </c>
      <c r="D42" s="15" t="s">
        <v>43</v>
      </c>
      <c r="E42" s="16">
        <f>E36*E$15/$E$4</f>
        <v>0.115</v>
      </c>
      <c r="F42" s="16">
        <f>F36*F$15/$E$4-E42</f>
        <v>0.13799999999999996</v>
      </c>
      <c r="G42" s="16">
        <f>G36*G$15/$E$4-F42-E42</f>
        <v>0.16560000000000019</v>
      </c>
      <c r="H42" s="16">
        <f>H36*H$15/$E$4-G42-F42-E42</f>
        <v>0.19871999999999973</v>
      </c>
      <c r="I42" s="16">
        <f>I36*I$15/$E$4-H42-G42-F42-E42</f>
        <v>0.2384640000000004</v>
      </c>
      <c r="J42" s="16">
        <f>J36*J$15/$E$4-I42-H42-G42-F42-E42</f>
        <v>0.28615679999999849</v>
      </c>
      <c r="K42" s="16">
        <f>K36*K$15/$E$4-J42-I42-H42-G42-F42-E42</f>
        <v>0.34338816000000211</v>
      </c>
      <c r="L42" s="16">
        <f>L36*L$15/$E$4-K42-J42-I42-H42-G42-F42-E42</f>
        <v>0.41206579199999993</v>
      </c>
      <c r="M42" s="16">
        <f>M36*M$15/$E$4-L42-K42-J42-I42-H42-G42-F42-E42</f>
        <v>0.49447895040000378</v>
      </c>
      <c r="N42" s="16">
        <f>N36*N$15/$E$4-M42-L42-K42-J42-I42-H42-G42-F42-E42</f>
        <v>0.59337474047999117</v>
      </c>
    </row>
    <row r="43" spans="2:14" ht="14.25" x14ac:dyDescent="0.45">
      <c r="B43" s="185"/>
      <c r="C43" s="192"/>
      <c r="D43" s="15" t="s">
        <v>44</v>
      </c>
      <c r="E43" s="17"/>
      <c r="F43" s="17"/>
      <c r="G43" s="17"/>
      <c r="H43" s="17"/>
      <c r="I43" s="38">
        <f>AVERAGE(E42:I42)</f>
        <v>0.17115680000000005</v>
      </c>
      <c r="J43" s="17"/>
      <c r="K43" s="17"/>
      <c r="L43" s="17"/>
      <c r="M43" s="17"/>
      <c r="N43" s="17">
        <f>AVERAGE(E42:N42)</f>
        <v>0.29852484428799964</v>
      </c>
    </row>
    <row r="44" spans="2:14" ht="14.25" x14ac:dyDescent="0.45">
      <c r="B44" s="185"/>
      <c r="C44" s="193"/>
      <c r="D44" s="19" t="s">
        <v>45</v>
      </c>
      <c r="E44" s="22">
        <f>E46</f>
        <v>115000</v>
      </c>
      <c r="F44" s="22">
        <f>F46-E46</f>
        <v>137999.99999999994</v>
      </c>
      <c r="G44" s="22">
        <f>G46-F46</f>
        <v>165600.00000000023</v>
      </c>
      <c r="H44" s="22">
        <f t="shared" ref="H44:N44" si="20">H46-G46</f>
        <v>198719.99999999971</v>
      </c>
      <c r="I44" s="22">
        <f t="shared" si="20"/>
        <v>238464.00000000035</v>
      </c>
      <c r="J44" s="22">
        <f>J46-I46</f>
        <v>286156.79999999865</v>
      </c>
      <c r="K44" s="22">
        <f t="shared" si="20"/>
        <v>343388.16000000201</v>
      </c>
      <c r="L44" s="22">
        <f t="shared" si="20"/>
        <v>412065.7919999999</v>
      </c>
      <c r="M44" s="22">
        <f t="shared" si="20"/>
        <v>494478.95040000416</v>
      </c>
      <c r="N44" s="22">
        <f t="shared" si="20"/>
        <v>593374.74047999037</v>
      </c>
    </row>
    <row r="45" spans="2:14" ht="15" customHeight="1" x14ac:dyDescent="0.45">
      <c r="B45" s="185"/>
      <c r="C45" s="193"/>
      <c r="D45" s="19" t="s">
        <v>47</v>
      </c>
      <c r="E45" s="22"/>
      <c r="F45" s="22"/>
      <c r="G45" s="22"/>
      <c r="H45" s="22"/>
      <c r="I45" s="22">
        <f>AVERAGE(E44:I44)</f>
        <v>171156.80000000005</v>
      </c>
      <c r="J45" s="22"/>
      <c r="K45" s="22"/>
      <c r="L45" s="22"/>
      <c r="M45" s="22"/>
      <c r="N45" s="22">
        <f>AVERAGE(E44:N44)</f>
        <v>298524.84428799956</v>
      </c>
    </row>
    <row r="46" spans="2:14" ht="14.25" x14ac:dyDescent="0.45">
      <c r="B46" s="186"/>
      <c r="C46" s="193"/>
      <c r="D46" s="19" t="s">
        <v>46</v>
      </c>
      <c r="E46" s="21">
        <f t="shared" ref="E46:N46" si="21">E38*E$15</f>
        <v>115000</v>
      </c>
      <c r="F46" s="21">
        <f t="shared" si="21"/>
        <v>252999.99999999994</v>
      </c>
      <c r="G46" s="21">
        <f>G38*G$15</f>
        <v>418600.00000000017</v>
      </c>
      <c r="H46" s="21">
        <f>H38*H$15</f>
        <v>617319.99999999988</v>
      </c>
      <c r="I46" s="21">
        <f>I38*I$15</f>
        <v>855784.00000000023</v>
      </c>
      <c r="J46" s="21">
        <f t="shared" si="21"/>
        <v>1141940.7999999989</v>
      </c>
      <c r="K46" s="21">
        <f t="shared" si="21"/>
        <v>1485328.9600000009</v>
      </c>
      <c r="L46" s="21">
        <f t="shared" si="21"/>
        <v>1897394.7520000008</v>
      </c>
      <c r="M46" s="21">
        <f t="shared" si="21"/>
        <v>2391873.702400005</v>
      </c>
      <c r="N46" s="21">
        <f t="shared" si="21"/>
        <v>2985248.4428799953</v>
      </c>
    </row>
    <row r="47" spans="2:14" ht="14.25" x14ac:dyDescent="0.45">
      <c r="B47" s="3"/>
      <c r="C47" s="1"/>
      <c r="D47" s="43"/>
      <c r="E47" s="31"/>
      <c r="F47" s="31"/>
      <c r="G47" s="31"/>
      <c r="H47" s="31"/>
      <c r="I47" s="31"/>
      <c r="J47" s="31"/>
      <c r="K47" s="31"/>
      <c r="L47" s="31"/>
      <c r="M47" s="31"/>
      <c r="N47" s="31"/>
    </row>
    <row r="48" spans="2:14" ht="14.25" x14ac:dyDescent="0.45">
      <c r="B48" s="176" t="s">
        <v>116</v>
      </c>
      <c r="C48" s="200" t="s">
        <v>21</v>
      </c>
      <c r="D48" s="178" t="str">
        <f>"10 BTC / "&amp;TEXT($E$4*10, "$###0.00,,")&amp;"M USD"</f>
        <v>10 BTC / $1.00M USD</v>
      </c>
      <c r="E48" s="174" t="s">
        <v>3</v>
      </c>
      <c r="F48" s="174" t="s">
        <v>4</v>
      </c>
      <c r="G48" s="174" t="s">
        <v>5</v>
      </c>
      <c r="H48" s="174" t="s">
        <v>6</v>
      </c>
      <c r="I48" s="174" t="s">
        <v>7</v>
      </c>
      <c r="J48" s="174" t="s">
        <v>8</v>
      </c>
      <c r="K48" s="174" t="s">
        <v>9</v>
      </c>
      <c r="L48" s="174" t="s">
        <v>10</v>
      </c>
      <c r="M48" s="174" t="s">
        <v>11</v>
      </c>
      <c r="N48" s="174" t="s">
        <v>12</v>
      </c>
    </row>
    <row r="49" spans="1:15" ht="14.25" x14ac:dyDescent="0.45">
      <c r="B49" s="177"/>
      <c r="C49" s="201"/>
      <c r="D49" s="179"/>
      <c r="E49" s="175"/>
      <c r="F49" s="175"/>
      <c r="G49" s="175"/>
      <c r="H49" s="175"/>
      <c r="I49" s="175"/>
      <c r="J49" s="175"/>
      <c r="K49" s="175"/>
      <c r="L49" s="175"/>
      <c r="M49" s="175"/>
      <c r="N49" s="175"/>
    </row>
    <row r="50" spans="1:15" ht="14.25" x14ac:dyDescent="0.45">
      <c r="B50" s="184" t="s">
        <v>137</v>
      </c>
      <c r="C50" s="192" t="s">
        <v>32</v>
      </c>
      <c r="D50" s="15" t="s">
        <v>43</v>
      </c>
      <c r="E50" s="16">
        <f>E55*$E$4/E$15</f>
        <v>0.19791666666666666</v>
      </c>
      <c r="F50" s="16">
        <f t="shared" ref="F50:N50" si="22">F55*$E$4/F$15</f>
        <v>0.16493055555555555</v>
      </c>
      <c r="G50" s="16">
        <f t="shared" si="22"/>
        <v>0.13744212962962962</v>
      </c>
      <c r="H50" s="16">
        <f t="shared" si="22"/>
        <v>0.11453510802469136</v>
      </c>
      <c r="I50" s="16">
        <f t="shared" si="22"/>
        <v>9.5445923353909459E-2</v>
      </c>
      <c r="J50" s="16">
        <f t="shared" si="22"/>
        <v>7.9538269461591218E-2</v>
      </c>
      <c r="K50" s="16">
        <f t="shared" si="22"/>
        <v>6.6281891217992675E-2</v>
      </c>
      <c r="L50" s="16">
        <f t="shared" si="22"/>
        <v>5.5234909348327234E-2</v>
      </c>
      <c r="M50" s="16">
        <f t="shared" si="22"/>
        <v>4.6029091123606029E-2</v>
      </c>
      <c r="N50" s="16">
        <f t="shared" si="22"/>
        <v>3.8357575936338359E-2</v>
      </c>
    </row>
    <row r="51" spans="1:15" ht="14.25" x14ac:dyDescent="0.45">
      <c r="B51" s="185"/>
      <c r="C51" s="192"/>
      <c r="D51" s="15" t="s">
        <v>44</v>
      </c>
      <c r="E51" s="16"/>
      <c r="F51" s="16"/>
      <c r="G51" s="16"/>
      <c r="H51" s="16"/>
      <c r="I51" s="125">
        <f>AVERAGE(E50:I50)</f>
        <v>0.14205407664609054</v>
      </c>
      <c r="J51" s="16"/>
      <c r="K51" s="16"/>
      <c r="L51" s="16"/>
      <c r="M51" s="16"/>
      <c r="N51" s="17">
        <f>AVERAGE(E50:N50)</f>
        <v>9.9571212031830808E-2</v>
      </c>
    </row>
    <row r="52" spans="1:15" ht="14.25" x14ac:dyDescent="0.45">
      <c r="B52" s="185"/>
      <c r="C52" s="192"/>
      <c r="D52" s="15" t="s">
        <v>42</v>
      </c>
      <c r="E52" s="16">
        <f t="shared" ref="E52:N52" si="23">E$17*(E50/E$19)</f>
        <v>0.19791666666666666</v>
      </c>
      <c r="F52" s="16">
        <f t="shared" si="23"/>
        <v>0.36284722222222221</v>
      </c>
      <c r="G52" s="16">
        <f t="shared" si="23"/>
        <v>0.50028935185185197</v>
      </c>
      <c r="H52" s="16">
        <f t="shared" si="23"/>
        <v>0.61482445987654299</v>
      </c>
      <c r="I52" s="16">
        <f t="shared" si="23"/>
        <v>0.71027038323045277</v>
      </c>
      <c r="J52" s="16">
        <f t="shared" si="23"/>
        <v>0.78980865269204314</v>
      </c>
      <c r="K52" s="16">
        <f t="shared" si="23"/>
        <v>0.85609054391003692</v>
      </c>
      <c r="L52" s="16">
        <f t="shared" si="23"/>
        <v>0.91132545325836434</v>
      </c>
      <c r="M52" s="16">
        <f t="shared" si="23"/>
        <v>0.95735454438197154</v>
      </c>
      <c r="N52" s="16">
        <f t="shared" si="23"/>
        <v>0.99571212031830669</v>
      </c>
    </row>
    <row r="53" spans="1:15" ht="14.25" customHeight="1" x14ac:dyDescent="0.45">
      <c r="B53" s="185"/>
      <c r="C53" s="193"/>
      <c r="D53" s="19" t="s">
        <v>45</v>
      </c>
      <c r="E53" s="20">
        <f>10*E50</f>
        <v>1.9791666666666665</v>
      </c>
      <c r="F53" s="20">
        <f t="shared" ref="F53:N53" si="24">10*F50</f>
        <v>1.6493055555555556</v>
      </c>
      <c r="G53" s="20">
        <f t="shared" si="24"/>
        <v>1.3744212962962963</v>
      </c>
      <c r="H53" s="20">
        <f t="shared" si="24"/>
        <v>1.1453510802469136</v>
      </c>
      <c r="I53" s="20">
        <f t="shared" si="24"/>
        <v>0.95445923353909456</v>
      </c>
      <c r="J53" s="20">
        <f t="shared" si="24"/>
        <v>0.79538269461591216</v>
      </c>
      <c r="K53" s="20">
        <f t="shared" si="24"/>
        <v>0.66281891217992672</v>
      </c>
      <c r="L53" s="20">
        <f t="shared" si="24"/>
        <v>0.55234909348327232</v>
      </c>
      <c r="M53" s="20">
        <f t="shared" si="24"/>
        <v>0.46029091123606031</v>
      </c>
      <c r="N53" s="20">
        <f t="shared" si="24"/>
        <v>0.38357575936338362</v>
      </c>
    </row>
    <row r="54" spans="1:15" ht="14.25" x14ac:dyDescent="0.45">
      <c r="B54" s="185"/>
      <c r="C54" s="193"/>
      <c r="D54" s="19" t="s">
        <v>46</v>
      </c>
      <c r="E54" s="20">
        <f>10*E52</f>
        <v>1.9791666666666665</v>
      </c>
      <c r="F54" s="20">
        <f>10*F52</f>
        <v>3.6284722222222223</v>
      </c>
      <c r="G54" s="20">
        <f>10*G52</f>
        <v>5.0028935185185199</v>
      </c>
      <c r="H54" s="20">
        <f t="shared" ref="H54:N54" si="25">10*H52</f>
        <v>6.1482445987654302</v>
      </c>
      <c r="I54" s="20">
        <f t="shared" si="25"/>
        <v>7.1027038323045275</v>
      </c>
      <c r="J54" s="20">
        <f t="shared" si="25"/>
        <v>7.8980865269204319</v>
      </c>
      <c r="K54" s="20">
        <f t="shared" si="25"/>
        <v>8.5609054391003685</v>
      </c>
      <c r="L54" s="20">
        <f t="shared" si="25"/>
        <v>9.1132545325836425</v>
      </c>
      <c r="M54" s="20">
        <f t="shared" si="25"/>
        <v>9.5735454438197145</v>
      </c>
      <c r="N54" s="20">
        <f t="shared" si="25"/>
        <v>9.9571212031830676</v>
      </c>
    </row>
    <row r="55" spans="1:15" ht="14.25" x14ac:dyDescent="0.45">
      <c r="B55" s="185"/>
      <c r="C55" s="191" t="s">
        <v>36</v>
      </c>
      <c r="D55" s="15" t="s">
        <v>43</v>
      </c>
      <c r="E55" s="16">
        <f t="shared" ref="E55:N55" si="26">$E9+($E$10*$E$11)</f>
        <v>0.23749999999999999</v>
      </c>
      <c r="F55" s="16">
        <f t="shared" si="26"/>
        <v>0.23749999999999999</v>
      </c>
      <c r="G55" s="16">
        <f t="shared" si="26"/>
        <v>0.23749999999999999</v>
      </c>
      <c r="H55" s="16">
        <f t="shared" si="26"/>
        <v>0.23749999999999999</v>
      </c>
      <c r="I55" s="16">
        <f t="shared" si="26"/>
        <v>0.23749999999999999</v>
      </c>
      <c r="J55" s="16">
        <f t="shared" si="26"/>
        <v>0.23749999999999999</v>
      </c>
      <c r="K55" s="16">
        <f t="shared" si="26"/>
        <v>0.23749999999999999</v>
      </c>
      <c r="L55" s="16">
        <f t="shared" si="26"/>
        <v>0.23749999999999999</v>
      </c>
      <c r="M55" s="16">
        <f t="shared" si="26"/>
        <v>0.23749999999999999</v>
      </c>
      <c r="N55" s="16">
        <f t="shared" si="26"/>
        <v>0.23749999999999999</v>
      </c>
    </row>
    <row r="56" spans="1:15" ht="14.25" customHeight="1" x14ac:dyDescent="0.45">
      <c r="B56" s="185"/>
      <c r="C56" s="193"/>
      <c r="D56" s="19" t="s">
        <v>45</v>
      </c>
      <c r="E56" s="21">
        <f t="shared" ref="E56:N56" si="27">E53*E$15</f>
        <v>237499.99999999997</v>
      </c>
      <c r="F56" s="21">
        <f t="shared" si="27"/>
        <v>237500</v>
      </c>
      <c r="G56" s="21">
        <f t="shared" si="27"/>
        <v>237500</v>
      </c>
      <c r="H56" s="21">
        <f t="shared" si="27"/>
        <v>237500</v>
      </c>
      <c r="I56" s="21">
        <f t="shared" si="27"/>
        <v>237499.99999999997</v>
      </c>
      <c r="J56" s="21">
        <f t="shared" si="27"/>
        <v>237500</v>
      </c>
      <c r="K56" s="21">
        <f t="shared" si="27"/>
        <v>237499.99999999997</v>
      </c>
      <c r="L56" s="21">
        <f t="shared" si="27"/>
        <v>237499.99999999997</v>
      </c>
      <c r="M56" s="21">
        <f t="shared" si="27"/>
        <v>237500</v>
      </c>
      <c r="N56" s="21">
        <f t="shared" si="27"/>
        <v>237500</v>
      </c>
    </row>
    <row r="57" spans="1:15" ht="14.25" x14ac:dyDescent="0.45">
      <c r="B57" s="185"/>
      <c r="C57" s="193"/>
      <c r="D57" s="19" t="s">
        <v>46</v>
      </c>
      <c r="E57" s="21">
        <f>E56</f>
        <v>237499.99999999997</v>
      </c>
      <c r="F57" s="21">
        <f>E57+F56</f>
        <v>475000</v>
      </c>
      <c r="G57" s="21">
        <f>F57+G56</f>
        <v>712500</v>
      </c>
      <c r="H57" s="21">
        <f t="shared" ref="H57:N57" si="28">G57+H56</f>
        <v>950000</v>
      </c>
      <c r="I57" s="21">
        <f t="shared" si="28"/>
        <v>1187500</v>
      </c>
      <c r="J57" s="21">
        <f>I57+J56</f>
        <v>1425000</v>
      </c>
      <c r="K57" s="21">
        <f t="shared" si="28"/>
        <v>1662500</v>
      </c>
      <c r="L57" s="21">
        <f t="shared" si="28"/>
        <v>1900000</v>
      </c>
      <c r="M57" s="21">
        <f t="shared" si="28"/>
        <v>2137500</v>
      </c>
      <c r="N57" s="21">
        <f t="shared" si="28"/>
        <v>2375000</v>
      </c>
    </row>
    <row r="58" spans="1:15" ht="14.25" x14ac:dyDescent="0.45">
      <c r="B58" s="185"/>
      <c r="C58" s="191" t="s">
        <v>35</v>
      </c>
      <c r="D58" s="15" t="s">
        <v>43</v>
      </c>
      <c r="E58" s="16">
        <f>E52*E$15/$E$4</f>
        <v>0.23749999999999999</v>
      </c>
      <c r="F58" s="16">
        <f>F52*F$15/$E$4-E58</f>
        <v>0.28499999999999998</v>
      </c>
      <c r="G58" s="16">
        <f>G52*G$15/$E$4-F58-E58</f>
        <v>0.34200000000000014</v>
      </c>
      <c r="H58" s="16">
        <f>H52*H$15/$E$4-G58-F58-E58</f>
        <v>0.41039999999999949</v>
      </c>
      <c r="I58" s="16">
        <f>I52*I$15/$E$4-H58-G58-F58-E58</f>
        <v>0.49248000000000097</v>
      </c>
      <c r="J58" s="16">
        <f>J52*J$15/$E$4-I58-H58-G58-F58-E58</f>
        <v>0.5909759999999975</v>
      </c>
      <c r="K58" s="16">
        <f>K52*K$15/$E$4-J58-I58-H58-G58-F58-E58</f>
        <v>0.70917120000000344</v>
      </c>
      <c r="L58" s="16">
        <f>L52*L$15/$E$4-K58-J58-I58-H58-G58-F58-E58</f>
        <v>0.85100544000000045</v>
      </c>
      <c r="M58" s="16">
        <f>M52*M$15/$E$4-L58-K58-J58-I58-H58-G58-F58-E58</f>
        <v>1.0212065280000064</v>
      </c>
      <c r="N58" s="16">
        <f>N52*N$15/$E$4-M58-L58-K58-J58-I58-H58-G58-F58-E58</f>
        <v>1.2254478335999814</v>
      </c>
    </row>
    <row r="59" spans="1:15" ht="14.25" x14ac:dyDescent="0.45">
      <c r="B59" s="185"/>
      <c r="C59" s="192"/>
      <c r="D59" s="15" t="s">
        <v>44</v>
      </c>
      <c r="E59" s="17"/>
      <c r="F59" s="17"/>
      <c r="G59" s="17"/>
      <c r="H59" s="17"/>
      <c r="I59" s="17">
        <f>AVERAGE(E58:I58)</f>
        <v>0.35347600000000007</v>
      </c>
      <c r="J59" s="17"/>
      <c r="K59" s="17"/>
      <c r="L59" s="17"/>
      <c r="M59" s="17"/>
      <c r="N59" s="17">
        <f>AVERAGE(E58:N58)</f>
        <v>0.6165187001599991</v>
      </c>
    </row>
    <row r="60" spans="1:15" ht="14.25" x14ac:dyDescent="0.45">
      <c r="B60" s="185"/>
      <c r="C60" s="193"/>
      <c r="D60" s="19" t="s">
        <v>45</v>
      </c>
      <c r="E60" s="22">
        <f>E62</f>
        <v>237499.99999999997</v>
      </c>
      <c r="F60" s="22">
        <f>F62-E62</f>
        <v>285000</v>
      </c>
      <c r="G60" s="22">
        <f>G62-F62</f>
        <v>342000.00000000023</v>
      </c>
      <c r="H60" s="22">
        <f t="shared" ref="H60:N60" si="29">H62-G62</f>
        <v>410399.9999999993</v>
      </c>
      <c r="I60" s="22">
        <f t="shared" si="29"/>
        <v>492480.0000000007</v>
      </c>
      <c r="J60" s="22">
        <f>J62-I62</f>
        <v>590975.9999999979</v>
      </c>
      <c r="K60" s="22">
        <f t="shared" si="29"/>
        <v>709171.20000000298</v>
      </c>
      <c r="L60" s="22">
        <f t="shared" si="29"/>
        <v>851005.44000000088</v>
      </c>
      <c r="M60" s="22">
        <f t="shared" si="29"/>
        <v>1021206.528000006</v>
      </c>
      <c r="N60" s="22">
        <f t="shared" si="29"/>
        <v>1225447.8335999828</v>
      </c>
    </row>
    <row r="61" spans="1:15" ht="15" customHeight="1" x14ac:dyDescent="0.45">
      <c r="B61" s="185"/>
      <c r="C61" s="193"/>
      <c r="D61" s="19" t="s">
        <v>47</v>
      </c>
      <c r="E61" s="22"/>
      <c r="F61" s="22"/>
      <c r="G61" s="22"/>
      <c r="H61" s="22"/>
      <c r="I61" s="22">
        <f>AVERAGE(E60:I60)</f>
        <v>353476.00000000006</v>
      </c>
      <c r="J61" s="22"/>
      <c r="K61" s="22"/>
      <c r="L61" s="22"/>
      <c r="M61" s="22"/>
      <c r="N61" s="22">
        <f>AVERAGE(E60:N60)</f>
        <v>616518.70015999908</v>
      </c>
    </row>
    <row r="62" spans="1:15" ht="14.25" x14ac:dyDescent="0.45">
      <c r="B62" s="186"/>
      <c r="C62" s="193"/>
      <c r="D62" s="19" t="s">
        <v>46</v>
      </c>
      <c r="E62" s="21">
        <f t="shared" ref="E62:N62" si="30">E54*E$15</f>
        <v>237499.99999999997</v>
      </c>
      <c r="F62" s="21">
        <f t="shared" si="30"/>
        <v>522500</v>
      </c>
      <c r="G62" s="21">
        <f t="shared" si="30"/>
        <v>864500.00000000023</v>
      </c>
      <c r="H62" s="21">
        <f t="shared" si="30"/>
        <v>1274899.9999999995</v>
      </c>
      <c r="I62" s="21">
        <f t="shared" si="30"/>
        <v>1767380.0000000002</v>
      </c>
      <c r="J62" s="21">
        <f t="shared" si="30"/>
        <v>2358355.9999999981</v>
      </c>
      <c r="K62" s="21">
        <f t="shared" si="30"/>
        <v>3067527.2000000011</v>
      </c>
      <c r="L62" s="21">
        <f t="shared" si="30"/>
        <v>3918532.640000002</v>
      </c>
      <c r="M62" s="21">
        <f t="shared" si="30"/>
        <v>4939739.168000008</v>
      </c>
      <c r="N62" s="21">
        <f t="shared" si="30"/>
        <v>6165187.0015999908</v>
      </c>
    </row>
    <row r="63" spans="1:15" ht="14.25" x14ac:dyDescent="0.45">
      <c r="A63" s="8"/>
      <c r="B63" s="3"/>
      <c r="C63" s="1"/>
      <c r="D63" s="43"/>
      <c r="E63" s="31"/>
      <c r="F63" s="31"/>
      <c r="G63" s="31"/>
      <c r="H63" s="31"/>
      <c r="I63" s="31"/>
      <c r="J63" s="31"/>
      <c r="K63" s="31"/>
      <c r="L63" s="31"/>
      <c r="M63" s="31"/>
      <c r="N63" s="31"/>
      <c r="O63" s="8"/>
    </row>
    <row r="64" spans="1:15" ht="14.25" x14ac:dyDescent="0.45">
      <c r="B64" s="189" t="s">
        <v>115</v>
      </c>
      <c r="C64" s="187" t="s">
        <v>21</v>
      </c>
      <c r="D64" s="180" t="str">
        <f>"10 BTC / "&amp;TEXT($E$4*10, "$###0.00,,")&amp;"M USD"</f>
        <v>10 BTC / $1.00M USD</v>
      </c>
      <c r="E64" s="174" t="s">
        <v>3</v>
      </c>
      <c r="F64" s="174" t="s">
        <v>4</v>
      </c>
      <c r="G64" s="174" t="s">
        <v>5</v>
      </c>
      <c r="H64" s="174" t="s">
        <v>6</v>
      </c>
      <c r="I64" s="174" t="s">
        <v>7</v>
      </c>
      <c r="J64" s="174" t="s">
        <v>8</v>
      </c>
      <c r="K64" s="174" t="s">
        <v>9</v>
      </c>
      <c r="L64" s="174" t="s">
        <v>10</v>
      </c>
      <c r="M64" s="174" t="s">
        <v>11</v>
      </c>
      <c r="N64" s="174" t="s">
        <v>12</v>
      </c>
    </row>
    <row r="65" spans="2:14" ht="14.25" x14ac:dyDescent="0.45">
      <c r="B65" s="190"/>
      <c r="C65" s="188"/>
      <c r="D65" s="181"/>
      <c r="E65" s="175"/>
      <c r="F65" s="175"/>
      <c r="G65" s="175"/>
      <c r="H65" s="175"/>
      <c r="I65" s="175"/>
      <c r="J65" s="175"/>
      <c r="K65" s="175"/>
      <c r="L65" s="175"/>
      <c r="M65" s="175"/>
      <c r="N65" s="175"/>
    </row>
    <row r="66" spans="2:14" ht="14.25" x14ac:dyDescent="0.45">
      <c r="B66" s="193" t="s">
        <v>16</v>
      </c>
      <c r="C66" s="192" t="s">
        <v>32</v>
      </c>
      <c r="D66" s="15" t="s">
        <v>58</v>
      </c>
      <c r="E66" s="16">
        <f>E$23</f>
        <v>0.58333333333333326</v>
      </c>
      <c r="F66" s="16">
        <f t="shared" ref="F66:N66" si="31">F$23</f>
        <v>0.48611111111111127</v>
      </c>
      <c r="G66" s="16">
        <f t="shared" si="31"/>
        <v>0.40509259259259245</v>
      </c>
      <c r="H66" s="16">
        <f t="shared" si="31"/>
        <v>0.3375771604938273</v>
      </c>
      <c r="I66" s="16">
        <f t="shared" si="31"/>
        <v>0.28131430041152256</v>
      </c>
      <c r="J66" s="16">
        <f t="shared" si="31"/>
        <v>0.23442858367626912</v>
      </c>
      <c r="K66" s="16">
        <f t="shared" si="31"/>
        <v>0.19535715306355728</v>
      </c>
      <c r="L66" s="16">
        <f t="shared" si="31"/>
        <v>0.1627976275529644</v>
      </c>
      <c r="M66" s="16">
        <f t="shared" si="31"/>
        <v>0.13566468962747014</v>
      </c>
      <c r="N66" s="16">
        <f t="shared" si="31"/>
        <v>0.11305390802289217</v>
      </c>
    </row>
    <row r="67" spans="2:14" ht="14.25" x14ac:dyDescent="0.45">
      <c r="B67" s="193"/>
      <c r="C67" s="192"/>
      <c r="D67" s="15" t="s">
        <v>59</v>
      </c>
      <c r="E67" s="16"/>
      <c r="F67" s="16"/>
      <c r="G67" s="16"/>
      <c r="H67" s="16"/>
      <c r="I67" s="80">
        <f>AVERAGE(E66:I66)</f>
        <v>0.41868569958847746</v>
      </c>
      <c r="J67" s="16"/>
      <c r="K67" s="16"/>
      <c r="L67" s="16"/>
      <c r="M67" s="16"/>
      <c r="N67" s="17">
        <f>AVERAGE(E66:N66)</f>
        <v>0.29347304598855406</v>
      </c>
    </row>
    <row r="68" spans="2:14" ht="14.25" x14ac:dyDescent="0.45">
      <c r="B68" s="193"/>
      <c r="C68" s="192"/>
      <c r="D68" s="15" t="s">
        <v>42</v>
      </c>
      <c r="E68" s="16">
        <f>E$17*(E66/E$19)</f>
        <v>0.58333333333333326</v>
      </c>
      <c r="F68" s="16">
        <f t="shared" ref="F68:N68" si="32">F$17*(F66/F$19)</f>
        <v>1.0694444444444446</v>
      </c>
      <c r="G68" s="16">
        <f>G$17*(G66/G$19)</f>
        <v>1.474537037037037</v>
      </c>
      <c r="H68" s="16">
        <f>H$17*(H66/H$19)</f>
        <v>1.8121141975308643</v>
      </c>
      <c r="I68" s="16">
        <f>I$17*(I66/I$19)</f>
        <v>2.0934284979423867</v>
      </c>
      <c r="J68" s="16">
        <f t="shared" si="32"/>
        <v>2.3278570816186561</v>
      </c>
      <c r="K68" s="16">
        <f t="shared" si="32"/>
        <v>2.5232142346822131</v>
      </c>
      <c r="L68" s="16">
        <f t="shared" si="32"/>
        <v>2.6860118622351776</v>
      </c>
      <c r="M68" s="16">
        <f t="shared" si="32"/>
        <v>2.8216765518626477</v>
      </c>
      <c r="N68" s="16">
        <f t="shared" si="32"/>
        <v>2.9347304598855399</v>
      </c>
    </row>
    <row r="69" spans="2:14" ht="14.25" customHeight="1" x14ac:dyDescent="0.45">
      <c r="B69" s="193"/>
      <c r="C69" s="193"/>
      <c r="D69" s="19" t="s">
        <v>45</v>
      </c>
      <c r="E69" s="20">
        <f>10*E66</f>
        <v>5.8333333333333321</v>
      </c>
      <c r="F69" s="20">
        <f t="shared" ref="F69:N69" si="33">10*F66</f>
        <v>4.8611111111111125</v>
      </c>
      <c r="G69" s="20">
        <f t="shared" si="33"/>
        <v>4.0509259259259247</v>
      </c>
      <c r="H69" s="20">
        <f t="shared" si="33"/>
        <v>3.3757716049382731</v>
      </c>
      <c r="I69" s="20">
        <f t="shared" si="33"/>
        <v>2.8131430041152257</v>
      </c>
      <c r="J69" s="20">
        <f t="shared" si="33"/>
        <v>2.3442858367626913</v>
      </c>
      <c r="K69" s="20">
        <f t="shared" si="33"/>
        <v>1.9535715306355728</v>
      </c>
      <c r="L69" s="20">
        <f t="shared" si="33"/>
        <v>1.6279762755296439</v>
      </c>
      <c r="M69" s="20">
        <f t="shared" si="33"/>
        <v>1.3566468962747014</v>
      </c>
      <c r="N69" s="20">
        <f t="shared" si="33"/>
        <v>1.1305390802289217</v>
      </c>
    </row>
    <row r="70" spans="2:14" ht="14.25" x14ac:dyDescent="0.45">
      <c r="B70" s="193"/>
      <c r="C70" s="193"/>
      <c r="D70" s="19" t="s">
        <v>46</v>
      </c>
      <c r="E70" s="20">
        <f>10*E68</f>
        <v>5.8333333333333321</v>
      </c>
      <c r="F70" s="20">
        <f>10*F68</f>
        <v>10.694444444444446</v>
      </c>
      <c r="G70" s="20">
        <f>10*G68</f>
        <v>14.74537037037037</v>
      </c>
      <c r="H70" s="20">
        <f t="shared" ref="H70:N70" si="34">10*H68</f>
        <v>18.121141975308642</v>
      </c>
      <c r="I70" s="20">
        <f t="shared" si="34"/>
        <v>20.934284979423868</v>
      </c>
      <c r="J70" s="20">
        <f t="shared" si="34"/>
        <v>23.278570816186562</v>
      </c>
      <c r="K70" s="20">
        <f t="shared" si="34"/>
        <v>25.23214234682213</v>
      </c>
      <c r="L70" s="20">
        <f t="shared" si="34"/>
        <v>26.860118622351777</v>
      </c>
      <c r="M70" s="20">
        <f t="shared" si="34"/>
        <v>28.216765518626477</v>
      </c>
      <c r="N70" s="20">
        <f t="shared" si="34"/>
        <v>29.347304598855398</v>
      </c>
    </row>
    <row r="71" spans="2:14" ht="14.25" x14ac:dyDescent="0.45">
      <c r="B71" s="193"/>
      <c r="C71" s="191" t="s">
        <v>36</v>
      </c>
      <c r="D71" s="15" t="s">
        <v>43</v>
      </c>
      <c r="E71" s="16">
        <f t="shared" ref="E71:N71" si="35">E66*E$15/$E$4</f>
        <v>0.69999999999999984</v>
      </c>
      <c r="F71" s="16">
        <f t="shared" si="35"/>
        <v>0.70000000000000029</v>
      </c>
      <c r="G71" s="16">
        <f t="shared" si="35"/>
        <v>0.69999999999999973</v>
      </c>
      <c r="H71" s="16">
        <f t="shared" si="35"/>
        <v>0.70000000000000029</v>
      </c>
      <c r="I71" s="16">
        <f t="shared" si="35"/>
        <v>0.69999999999999984</v>
      </c>
      <c r="J71" s="16">
        <f t="shared" si="35"/>
        <v>0.70000000000000084</v>
      </c>
      <c r="K71" s="16">
        <f t="shared" si="35"/>
        <v>0.69999999999999973</v>
      </c>
      <c r="L71" s="16">
        <f t="shared" si="35"/>
        <v>0.69999999999999951</v>
      </c>
      <c r="M71" s="16">
        <f t="shared" si="35"/>
        <v>0.69999999999999851</v>
      </c>
      <c r="N71" s="16">
        <f t="shared" si="35"/>
        <v>0.70000000000000107</v>
      </c>
    </row>
    <row r="72" spans="2:14" ht="14.25" customHeight="1" x14ac:dyDescent="0.45">
      <c r="B72" s="193"/>
      <c r="C72" s="193"/>
      <c r="D72" s="19" t="s">
        <v>45</v>
      </c>
      <c r="E72" s="21">
        <f t="shared" ref="E72:N72" si="36">E69*E$15</f>
        <v>699999.99999999988</v>
      </c>
      <c r="F72" s="21">
        <f t="shared" si="36"/>
        <v>700000.00000000023</v>
      </c>
      <c r="G72" s="21">
        <f>G69*G$15</f>
        <v>699999.99999999977</v>
      </c>
      <c r="H72" s="21">
        <f>H69*H$15</f>
        <v>700000.00000000035</v>
      </c>
      <c r="I72" s="21">
        <f>I69*I$15</f>
        <v>699999.99999999988</v>
      </c>
      <c r="J72" s="21">
        <f t="shared" si="36"/>
        <v>700000.00000000081</v>
      </c>
      <c r="K72" s="21">
        <f t="shared" si="36"/>
        <v>699999.99999999965</v>
      </c>
      <c r="L72" s="21">
        <f t="shared" si="36"/>
        <v>699999.99999999953</v>
      </c>
      <c r="M72" s="21">
        <f t="shared" si="36"/>
        <v>699999.9999999986</v>
      </c>
      <c r="N72" s="21">
        <f t="shared" si="36"/>
        <v>700000.00000000093</v>
      </c>
    </row>
    <row r="73" spans="2:14" ht="14.25" x14ac:dyDescent="0.45">
      <c r="B73" s="193"/>
      <c r="C73" s="193"/>
      <c r="D73" s="19" t="s">
        <v>46</v>
      </c>
      <c r="E73" s="21">
        <f>E72</f>
        <v>699999.99999999988</v>
      </c>
      <c r="F73" s="21">
        <f>E73+F72</f>
        <v>1400000</v>
      </c>
      <c r="G73" s="21">
        <f>F73+G72</f>
        <v>2100000</v>
      </c>
      <c r="H73" s="21">
        <f t="shared" ref="H73:N73" si="37">G73+H72</f>
        <v>2800000.0000000005</v>
      </c>
      <c r="I73" s="21">
        <f t="shared" si="37"/>
        <v>3500000.0000000005</v>
      </c>
      <c r="J73" s="21">
        <f>I73+J72</f>
        <v>4200000.0000000009</v>
      </c>
      <c r="K73" s="21">
        <f t="shared" si="37"/>
        <v>4900000.0000000009</v>
      </c>
      <c r="L73" s="21">
        <f t="shared" si="37"/>
        <v>5600000</v>
      </c>
      <c r="M73" s="21">
        <f t="shared" si="37"/>
        <v>6299999.9999999981</v>
      </c>
      <c r="N73" s="21">
        <f t="shared" si="37"/>
        <v>6999999.9999999991</v>
      </c>
    </row>
    <row r="74" spans="2:14" ht="14.25" x14ac:dyDescent="0.45">
      <c r="B74" s="193"/>
      <c r="C74" s="191" t="s">
        <v>35</v>
      </c>
      <c r="D74" s="15" t="s">
        <v>43</v>
      </c>
      <c r="E74" s="16">
        <f>E68*E$15/$E$4</f>
        <v>0.69999999999999984</v>
      </c>
      <c r="F74" s="16">
        <f>F68*F$15/$E$4-E74</f>
        <v>0.84000000000000041</v>
      </c>
      <c r="G74" s="16">
        <f>G68*G$15/$E$4-F74-E74</f>
        <v>1.008</v>
      </c>
      <c r="H74" s="16">
        <f>H68*H$15/$E$4-G74-F74-E74</f>
        <v>1.2096</v>
      </c>
      <c r="I74" s="16">
        <f>I68*I$15/$E$4-H74-G74-F74-E74</f>
        <v>1.4515200000000004</v>
      </c>
      <c r="J74" s="16">
        <f>J68*J$15/$E$4-I74-H74-G74-F74-E74</f>
        <v>1.7418240000000011</v>
      </c>
      <c r="K74" s="16">
        <f>K68*K$15/$E$4-J74-I74-H74-G74-F74-E74</f>
        <v>2.0901887999999982</v>
      </c>
      <c r="L74" s="16">
        <f>L68*L$15/$E$4-K74-J74-I74-H74-G74-F74-E74</f>
        <v>2.5082265600000007</v>
      </c>
      <c r="M74" s="16">
        <f>M68*M$15/$E$4-L74-K74-J74-I74-H74-G74-F74-E74</f>
        <v>3.0098718719999979</v>
      </c>
      <c r="N74" s="16">
        <f>N68*N$15/$E$4-M74-L74-K74-J74-I74-H74-G74-F74-E74</f>
        <v>3.6118462463999985</v>
      </c>
    </row>
    <row r="75" spans="2:14" ht="14.25" x14ac:dyDescent="0.45">
      <c r="B75" s="193"/>
      <c r="C75" s="192"/>
      <c r="D75" s="15" t="s">
        <v>44</v>
      </c>
      <c r="E75" s="17"/>
      <c r="F75" s="17"/>
      <c r="G75" s="17"/>
      <c r="H75" s="17"/>
      <c r="I75" s="17">
        <f>AVERAGE(E74:I74)</f>
        <v>1.0418240000000001</v>
      </c>
      <c r="J75" s="17"/>
      <c r="K75" s="17"/>
      <c r="L75" s="17"/>
      <c r="M75" s="17"/>
      <c r="N75" s="17">
        <f>AVERAGE(E74:N74)</f>
        <v>1.8171077478399997</v>
      </c>
    </row>
    <row r="76" spans="2:14" ht="14.25" x14ac:dyDescent="0.45">
      <c r="B76" s="193"/>
      <c r="C76" s="193"/>
      <c r="D76" s="19" t="s">
        <v>45</v>
      </c>
      <c r="E76" s="22">
        <f>E78</f>
        <v>699999.99999999988</v>
      </c>
      <c r="F76" s="22">
        <f>F78-E78</f>
        <v>840000.00000000035</v>
      </c>
      <c r="G76" s="22">
        <f>G78-F78</f>
        <v>1007999.9999999998</v>
      </c>
      <c r="H76" s="22">
        <f t="shared" ref="H76:N76" si="38">H78-G78</f>
        <v>1209600</v>
      </c>
      <c r="I76" s="22">
        <f t="shared" si="38"/>
        <v>1451520</v>
      </c>
      <c r="J76" s="22">
        <f>J78-I78</f>
        <v>1741824.0000000019</v>
      </c>
      <c r="K76" s="22">
        <f t="shared" si="38"/>
        <v>2090188.7999999989</v>
      </c>
      <c r="L76" s="22">
        <f t="shared" si="38"/>
        <v>2508226.5600000005</v>
      </c>
      <c r="M76" s="22">
        <f t="shared" si="38"/>
        <v>3009871.8719999976</v>
      </c>
      <c r="N76" s="22">
        <f t="shared" si="38"/>
        <v>3611846.2464000005</v>
      </c>
    </row>
    <row r="77" spans="2:14" ht="14.25" x14ac:dyDescent="0.45">
      <c r="B77" s="193"/>
      <c r="C77" s="193"/>
      <c r="D77" s="19" t="s">
        <v>47</v>
      </c>
      <c r="E77" s="22"/>
      <c r="F77" s="22"/>
      <c r="G77" s="22"/>
      <c r="H77" s="22"/>
      <c r="I77" s="22">
        <f>AVERAGE(E76:I76)</f>
        <v>1041824</v>
      </c>
      <c r="J77" s="22"/>
      <c r="K77" s="22"/>
      <c r="L77" s="22"/>
      <c r="M77" s="22"/>
      <c r="N77" s="22">
        <f>AVERAGE(E76:N76)</f>
        <v>1817107.7478399999</v>
      </c>
    </row>
    <row r="78" spans="2:14" ht="14.25" x14ac:dyDescent="0.45">
      <c r="B78" s="193"/>
      <c r="C78" s="193"/>
      <c r="D78" s="19" t="s">
        <v>46</v>
      </c>
      <c r="E78" s="21">
        <f t="shared" ref="E78:N78" si="39">E70*E$15</f>
        <v>699999.99999999988</v>
      </c>
      <c r="F78" s="21">
        <f t="shared" si="39"/>
        <v>1540000.0000000002</v>
      </c>
      <c r="G78" s="21">
        <f>G70*G$15</f>
        <v>2548000</v>
      </c>
      <c r="H78" s="21">
        <f>H70*H$15</f>
        <v>3757600</v>
      </c>
      <c r="I78" s="21">
        <f>I70*I$15</f>
        <v>5209120</v>
      </c>
      <c r="J78" s="21">
        <f t="shared" si="39"/>
        <v>6950944.0000000019</v>
      </c>
      <c r="K78" s="21">
        <f t="shared" si="39"/>
        <v>9041132.8000000007</v>
      </c>
      <c r="L78" s="21">
        <f t="shared" si="39"/>
        <v>11549359.360000001</v>
      </c>
      <c r="M78" s="21">
        <f t="shared" si="39"/>
        <v>14559231.231999999</v>
      </c>
      <c r="N78" s="21">
        <f t="shared" si="39"/>
        <v>18171077.478399999</v>
      </c>
    </row>
    <row r="79" spans="2:14" ht="14.25" x14ac:dyDescent="0.45">
      <c r="B79" s="193" t="s">
        <v>137</v>
      </c>
      <c r="C79" s="192" t="s">
        <v>32</v>
      </c>
      <c r="D79" s="15" t="s">
        <v>43</v>
      </c>
      <c r="E79" s="16">
        <f>E$25</f>
        <v>8.666666666666667E-2</v>
      </c>
      <c r="F79" s="16">
        <f t="shared" ref="F79:N79" si="40">F$25</f>
        <v>8.3888888888888902E-2</v>
      </c>
      <c r="G79" s="16">
        <f t="shared" si="40"/>
        <v>8.1574074074074077E-2</v>
      </c>
      <c r="H79" s="16">
        <f t="shared" si="40"/>
        <v>7.964506172839507E-2</v>
      </c>
      <c r="I79" s="16">
        <f t="shared" si="40"/>
        <v>7.8037551440329228E-2</v>
      </c>
      <c r="J79" s="16">
        <f t="shared" si="40"/>
        <v>7.6697959533607682E-2</v>
      </c>
      <c r="K79" s="16">
        <f t="shared" si="40"/>
        <v>7.5581632944673072E-2</v>
      </c>
      <c r="L79" s="16">
        <f t="shared" si="40"/>
        <v>7.4651360787227561E-2</v>
      </c>
      <c r="M79" s="16">
        <f t="shared" si="40"/>
        <v>7.3876133989356302E-2</v>
      </c>
      <c r="N79" s="16">
        <f t="shared" si="40"/>
        <v>7.3230111657796915E-2</v>
      </c>
    </row>
    <row r="80" spans="2:14" ht="14.25" x14ac:dyDescent="0.45">
      <c r="B80" s="193"/>
      <c r="C80" s="192"/>
      <c r="D80" s="15" t="s">
        <v>44</v>
      </c>
      <c r="E80" s="16"/>
      <c r="F80" s="16"/>
      <c r="G80" s="16"/>
      <c r="H80" s="16"/>
      <c r="I80" s="80">
        <f>AVERAGE(E79:I79)</f>
        <v>8.1962448559670789E-2</v>
      </c>
      <c r="J80" s="17"/>
      <c r="K80" s="17"/>
      <c r="L80" s="17"/>
      <c r="M80" s="17"/>
      <c r="N80" s="17">
        <f>AVERAGE(E79:N79)</f>
        <v>7.8384944171101548E-2</v>
      </c>
    </row>
    <row r="81" spans="2:14" ht="14.25" x14ac:dyDescent="0.45">
      <c r="B81" s="193"/>
      <c r="C81" s="192"/>
      <c r="D81" s="15" t="s">
        <v>42</v>
      </c>
      <c r="E81" s="16">
        <f>E$27</f>
        <v>8.666666666666667E-2</v>
      </c>
      <c r="F81" s="16">
        <f t="shared" ref="F81:N81" si="41">F$27</f>
        <v>0.17055555555555557</v>
      </c>
      <c r="G81" s="16">
        <f t="shared" si="41"/>
        <v>0.25212962962962965</v>
      </c>
      <c r="H81" s="16">
        <f t="shared" si="41"/>
        <v>0.33177469135802473</v>
      </c>
      <c r="I81" s="16">
        <f t="shared" si="41"/>
        <v>0.40981224279835393</v>
      </c>
      <c r="J81" s="16">
        <f t="shared" si="41"/>
        <v>0.48651020233196163</v>
      </c>
      <c r="K81" s="16">
        <f t="shared" si="41"/>
        <v>0.56209183527663464</v>
      </c>
      <c r="L81" s="16">
        <f t="shared" si="41"/>
        <v>0.6367431960638622</v>
      </c>
      <c r="M81" s="16">
        <f t="shared" si="41"/>
        <v>0.71061933005321853</v>
      </c>
      <c r="N81" s="16">
        <f t="shared" si="41"/>
        <v>0.78384944171101545</v>
      </c>
    </row>
    <row r="82" spans="2:14" ht="14.25" customHeight="1" x14ac:dyDescent="0.45">
      <c r="B82" s="193"/>
      <c r="C82" s="193"/>
      <c r="D82" s="19" t="s">
        <v>45</v>
      </c>
      <c r="E82" s="20">
        <f t="shared" ref="E82:N82" si="42">10*E79</f>
        <v>0.8666666666666667</v>
      </c>
      <c r="F82" s="20">
        <f t="shared" si="42"/>
        <v>0.83888888888888902</v>
      </c>
      <c r="G82" s="20">
        <f t="shared" si="42"/>
        <v>0.81574074074074077</v>
      </c>
      <c r="H82" s="20">
        <f t="shared" si="42"/>
        <v>0.79645061728395072</v>
      </c>
      <c r="I82" s="20">
        <f t="shared" si="42"/>
        <v>0.78037551440329223</v>
      </c>
      <c r="J82" s="20">
        <f t="shared" si="42"/>
        <v>0.76697959533607685</v>
      </c>
      <c r="K82" s="20">
        <f t="shared" si="42"/>
        <v>0.75581632944673072</v>
      </c>
      <c r="L82" s="20">
        <f t="shared" si="42"/>
        <v>0.74651360787227561</v>
      </c>
      <c r="M82" s="20">
        <f t="shared" si="42"/>
        <v>0.73876133989356307</v>
      </c>
      <c r="N82" s="20">
        <f t="shared" si="42"/>
        <v>0.73230111657796915</v>
      </c>
    </row>
    <row r="83" spans="2:14" ht="14.25" x14ac:dyDescent="0.45">
      <c r="B83" s="193"/>
      <c r="C83" s="193"/>
      <c r="D83" s="19" t="s">
        <v>46</v>
      </c>
      <c r="E83" s="20">
        <f>10*E81</f>
        <v>0.8666666666666667</v>
      </c>
      <c r="F83" s="20">
        <f t="shared" ref="F83:N83" si="43">10*F81</f>
        <v>1.7055555555555557</v>
      </c>
      <c r="G83" s="20">
        <f t="shared" si="43"/>
        <v>2.5212962962962964</v>
      </c>
      <c r="H83" s="20">
        <f t="shared" si="43"/>
        <v>3.3177469135802475</v>
      </c>
      <c r="I83" s="20">
        <f t="shared" si="43"/>
        <v>4.0981224279835393</v>
      </c>
      <c r="J83" s="20">
        <f t="shared" si="43"/>
        <v>4.8651020233196167</v>
      </c>
      <c r="K83" s="20">
        <f t="shared" si="43"/>
        <v>5.6209183527663464</v>
      </c>
      <c r="L83" s="20">
        <f t="shared" si="43"/>
        <v>6.3674319606386218</v>
      </c>
      <c r="M83" s="20">
        <f t="shared" si="43"/>
        <v>7.1061933005321851</v>
      </c>
      <c r="N83" s="20">
        <f t="shared" si="43"/>
        <v>7.8384944171101543</v>
      </c>
    </row>
    <row r="84" spans="2:14" ht="14.25" x14ac:dyDescent="0.45">
      <c r="B84" s="193"/>
      <c r="C84" s="191" t="s">
        <v>36</v>
      </c>
      <c r="D84" s="15" t="s">
        <v>43</v>
      </c>
      <c r="E84" s="16">
        <f>E79*E$15/$E$4</f>
        <v>0.104</v>
      </c>
      <c r="F84" s="16">
        <f t="shared" ref="F84:N84" si="44">F79*F$15/$E$4</f>
        <v>0.12080000000000002</v>
      </c>
      <c r="G84" s="16">
        <f t="shared" si="44"/>
        <v>0.14096</v>
      </c>
      <c r="H84" s="16">
        <f t="shared" si="44"/>
        <v>0.16515200000000002</v>
      </c>
      <c r="I84" s="16">
        <f t="shared" si="44"/>
        <v>0.19418240000000001</v>
      </c>
      <c r="J84" s="16">
        <f t="shared" si="44"/>
        <v>0.22901888000000004</v>
      </c>
      <c r="K84" s="16">
        <f t="shared" si="44"/>
        <v>0.27082265600000005</v>
      </c>
      <c r="L84" s="16">
        <f t="shared" si="44"/>
        <v>0.32098718720000002</v>
      </c>
      <c r="M84" s="16">
        <f t="shared" si="44"/>
        <v>0.38118462464000002</v>
      </c>
      <c r="N84" s="16">
        <f t="shared" si="44"/>
        <v>0.45342154956799996</v>
      </c>
    </row>
    <row r="85" spans="2:14" ht="14.25" x14ac:dyDescent="0.45">
      <c r="B85" s="193"/>
      <c r="C85" s="192"/>
      <c r="D85" s="15" t="s">
        <v>44</v>
      </c>
      <c r="E85" s="16"/>
      <c r="F85" s="16"/>
      <c r="G85" s="16"/>
      <c r="H85" s="16"/>
      <c r="I85" s="17">
        <f>AVERAGE(E84:I84)</f>
        <v>0.14501888000000002</v>
      </c>
      <c r="J85" s="17"/>
      <c r="K85" s="17"/>
      <c r="L85" s="17"/>
      <c r="M85" s="17"/>
      <c r="N85" s="17">
        <f>AVERAGE(E84:N84)</f>
        <v>0.2380529297408</v>
      </c>
    </row>
    <row r="86" spans="2:14" ht="14.25" x14ac:dyDescent="0.45">
      <c r="B86" s="193"/>
      <c r="C86" s="193"/>
      <c r="D86" s="19" t="s">
        <v>45</v>
      </c>
      <c r="E86" s="23">
        <f t="shared" ref="E86:F86" si="45">E82*E$15</f>
        <v>104000</v>
      </c>
      <c r="F86" s="23">
        <f t="shared" si="45"/>
        <v>120800.00000000001</v>
      </c>
      <c r="G86" s="23">
        <f>G82*G$15</f>
        <v>140960</v>
      </c>
      <c r="H86" s="23">
        <f>H82*H$15</f>
        <v>165152.00000000003</v>
      </c>
      <c r="I86" s="23">
        <f>I82*I$15</f>
        <v>194182.40000000002</v>
      </c>
      <c r="J86" s="23">
        <f t="shared" ref="J86:N86" si="46">J82*J$15</f>
        <v>229018.88000000003</v>
      </c>
      <c r="K86" s="23">
        <f t="shared" si="46"/>
        <v>270822.65600000002</v>
      </c>
      <c r="L86" s="23">
        <f t="shared" si="46"/>
        <v>320987.18719999999</v>
      </c>
      <c r="M86" s="23">
        <f t="shared" si="46"/>
        <v>381184.62464000005</v>
      </c>
      <c r="N86" s="23">
        <f t="shared" si="46"/>
        <v>453421.54956799996</v>
      </c>
    </row>
    <row r="87" spans="2:14" ht="14.25" customHeight="1" x14ac:dyDescent="0.45">
      <c r="B87" s="193"/>
      <c r="C87" s="193"/>
      <c r="D87" s="19" t="s">
        <v>47</v>
      </c>
      <c r="E87" s="24"/>
      <c r="F87" s="24"/>
      <c r="G87" s="24"/>
      <c r="H87" s="24"/>
      <c r="I87" s="23">
        <f>AVERAGE(E86:I86)</f>
        <v>145018.88</v>
      </c>
      <c r="J87" s="23"/>
      <c r="K87" s="23"/>
      <c r="L87" s="23"/>
      <c r="M87" s="23"/>
      <c r="N87" s="23">
        <f>AVERAGE(E86:N86)</f>
        <v>238052.9297408</v>
      </c>
    </row>
    <row r="88" spans="2:14" ht="14.25" x14ac:dyDescent="0.45">
      <c r="B88" s="193"/>
      <c r="C88" s="193"/>
      <c r="D88" s="19" t="s">
        <v>46</v>
      </c>
      <c r="E88" s="24">
        <f>E86</f>
        <v>104000</v>
      </c>
      <c r="F88" s="24">
        <f t="shared" ref="F88" si="47">E88+F86</f>
        <v>224800</v>
      </c>
      <c r="G88" s="24">
        <f>F88+G86</f>
        <v>365760</v>
      </c>
      <c r="H88" s="24">
        <f t="shared" ref="H88:I88" si="48">G88+H86</f>
        <v>530912</v>
      </c>
      <c r="I88" s="24">
        <f t="shared" si="48"/>
        <v>725094.40000000002</v>
      </c>
      <c r="J88" s="24">
        <f>I88+J86</f>
        <v>954113.28</v>
      </c>
      <c r="K88" s="24">
        <f t="shared" ref="K88:N88" si="49">J88+K86</f>
        <v>1224935.936</v>
      </c>
      <c r="L88" s="24">
        <f t="shared" si="49"/>
        <v>1545923.1232</v>
      </c>
      <c r="M88" s="24">
        <f t="shared" si="49"/>
        <v>1927107.7478400001</v>
      </c>
      <c r="N88" s="24">
        <f t="shared" si="49"/>
        <v>2380529.2974080001</v>
      </c>
    </row>
    <row r="89" spans="2:14" ht="14.25" x14ac:dyDescent="0.45">
      <c r="B89" s="193"/>
      <c r="C89" s="191" t="s">
        <v>35</v>
      </c>
      <c r="D89" s="15" t="s">
        <v>43</v>
      </c>
      <c r="E89" s="16">
        <f>E81*E$15/$E$4</f>
        <v>0.104</v>
      </c>
      <c r="F89" s="16">
        <f>F81*F$15/$E$4-E89</f>
        <v>0.14160000000000006</v>
      </c>
      <c r="G89" s="16">
        <f>G81*G$15/$E$4-F89-E89</f>
        <v>0.19007999999999997</v>
      </c>
      <c r="H89" s="16">
        <f>H81*H$15/$E$4-G89-F89-E89</f>
        <v>0.25228800000000001</v>
      </c>
      <c r="I89" s="16">
        <f>I81*I$15/$E$4-H89-G89-F89-E89</f>
        <v>0.33177599999999985</v>
      </c>
      <c r="J89" s="16">
        <f>J81*J$15/$E$4-I89-H89-G89-F89-E89</f>
        <v>0.43296768000000041</v>
      </c>
      <c r="K89" s="16">
        <f>K81*K$15/$E$4-J89-I89-H89-G89-F89-E89</f>
        <v>0.56136499199999945</v>
      </c>
      <c r="L89" s="16">
        <f>L81*L$15/$E$4-K89-J89-I89-H89-G89-F89-E89</f>
        <v>0.72380252160000036</v>
      </c>
      <c r="M89" s="16">
        <f>M81*M$15/$E$4-L89-K89-J89-I89-H89-G89-F89-E89</f>
        <v>0.9287604633599994</v>
      </c>
      <c r="N89" s="16">
        <f>N81*N$15/$E$4-M89-L89-K89-J89-I89-H89-G89-F89-E89</f>
        <v>1.1867494809600001</v>
      </c>
    </row>
    <row r="90" spans="2:14" ht="14.25" x14ac:dyDescent="0.45">
      <c r="B90" s="193"/>
      <c r="C90" s="192"/>
      <c r="D90" s="15" t="s">
        <v>44</v>
      </c>
      <c r="E90" s="17"/>
      <c r="F90" s="17"/>
      <c r="G90" s="17"/>
      <c r="H90" s="17"/>
      <c r="I90" s="17">
        <f>AVERAGE(E89:I89)</f>
        <v>0.20394879999999996</v>
      </c>
      <c r="J90" s="17"/>
      <c r="K90" s="17"/>
      <c r="L90" s="17"/>
      <c r="M90" s="17"/>
      <c r="N90" s="17">
        <f>AVERAGE(E89:N89)</f>
        <v>0.485338913792</v>
      </c>
    </row>
    <row r="91" spans="2:14" ht="14.25" x14ac:dyDescent="0.45">
      <c r="B91" s="193"/>
      <c r="C91" s="193"/>
      <c r="D91" s="19" t="s">
        <v>45</v>
      </c>
      <c r="E91" s="23">
        <f>E93</f>
        <v>104000</v>
      </c>
      <c r="F91" s="23">
        <f>F93-E93</f>
        <v>141600.00000000003</v>
      </c>
      <c r="G91" s="23">
        <f>G93-F93</f>
        <v>190079.99999999997</v>
      </c>
      <c r="H91" s="23">
        <f>H93-G93</f>
        <v>252288.00000000012</v>
      </c>
      <c r="I91" s="23">
        <f>I93-H93</f>
        <v>331775.99999999988</v>
      </c>
      <c r="J91" s="23">
        <f>J93-I93</f>
        <v>432967.6800000004</v>
      </c>
      <c r="K91" s="23">
        <f t="shared" ref="K91:N91" si="50">K93-J93</f>
        <v>561364.99199999962</v>
      </c>
      <c r="L91" s="23">
        <f t="shared" si="50"/>
        <v>723802.52159999986</v>
      </c>
      <c r="M91" s="23">
        <f t="shared" si="50"/>
        <v>928760.46335999994</v>
      </c>
      <c r="N91" s="23">
        <f t="shared" si="50"/>
        <v>1186749.4809599998</v>
      </c>
    </row>
    <row r="92" spans="2:14" ht="14.25" x14ac:dyDescent="0.45">
      <c r="B92" s="193"/>
      <c r="C92" s="193"/>
      <c r="D92" s="19" t="s">
        <v>47</v>
      </c>
      <c r="E92" s="23"/>
      <c r="F92" s="23"/>
      <c r="G92" s="23"/>
      <c r="H92" s="23"/>
      <c r="I92" s="23">
        <f>AVERAGE(E91:I91)</f>
        <v>203948.79999999999</v>
      </c>
      <c r="J92" s="23"/>
      <c r="K92" s="23"/>
      <c r="L92" s="23"/>
      <c r="M92" s="23"/>
      <c r="N92" s="23">
        <f>AVERAGE(E91:N91)</f>
        <v>485338.91379199998</v>
      </c>
    </row>
    <row r="93" spans="2:14" ht="14.25" x14ac:dyDescent="0.45">
      <c r="B93" s="193"/>
      <c r="C93" s="193"/>
      <c r="D93" s="19" t="s">
        <v>46</v>
      </c>
      <c r="E93" s="24">
        <f t="shared" ref="E93:F93" si="51">E83*E$15</f>
        <v>104000</v>
      </c>
      <c r="F93" s="24">
        <f t="shared" si="51"/>
        <v>245600.00000000003</v>
      </c>
      <c r="G93" s="24">
        <f>G83*G$15</f>
        <v>435680</v>
      </c>
      <c r="H93" s="24">
        <f>H83*H$15</f>
        <v>687968.00000000012</v>
      </c>
      <c r="I93" s="24">
        <f>I83*I$15</f>
        <v>1019744</v>
      </c>
      <c r="J93" s="24">
        <f t="shared" ref="J93:N93" si="52">J83*J$15</f>
        <v>1452711.6800000004</v>
      </c>
      <c r="K93" s="24">
        <f t="shared" si="52"/>
        <v>2014076.672</v>
      </c>
      <c r="L93" s="24">
        <f t="shared" si="52"/>
        <v>2737879.1935999999</v>
      </c>
      <c r="M93" s="24">
        <f t="shared" si="52"/>
        <v>3666639.6569599998</v>
      </c>
      <c r="N93" s="24">
        <f t="shared" si="52"/>
        <v>4853389.1379199997</v>
      </c>
    </row>
    <row r="94" spans="2:14" ht="14.25" x14ac:dyDescent="0.45">
      <c r="B94" s="193" t="s">
        <v>17</v>
      </c>
      <c r="C94" s="192" t="s">
        <v>32</v>
      </c>
      <c r="D94" s="15" t="s">
        <v>43</v>
      </c>
      <c r="E94" s="16">
        <f>E$28</f>
        <v>4.3333333333333335E-2</v>
      </c>
      <c r="F94" s="16">
        <f t="shared" ref="F94:N94" si="53">F$28</f>
        <v>4.1944444444444451E-2</v>
      </c>
      <c r="G94" s="16">
        <f t="shared" si="53"/>
        <v>4.0787037037037038E-2</v>
      </c>
      <c r="H94" s="16">
        <f t="shared" si="53"/>
        <v>3.9822530864197535E-2</v>
      </c>
      <c r="I94" s="16">
        <f t="shared" si="53"/>
        <v>3.9018775720164614E-2</v>
      </c>
      <c r="J94" s="16">
        <f t="shared" si="53"/>
        <v>3.8348979766803841E-2</v>
      </c>
      <c r="K94" s="16">
        <f t="shared" si="53"/>
        <v>3.7790816472336536E-2</v>
      </c>
      <c r="L94" s="16">
        <f t="shared" si="53"/>
        <v>3.732568039361378E-2</v>
      </c>
      <c r="M94" s="16">
        <f t="shared" si="53"/>
        <v>3.6938066994678151E-2</v>
      </c>
      <c r="N94" s="16">
        <f t="shared" si="53"/>
        <v>3.6615055828898457E-2</v>
      </c>
    </row>
    <row r="95" spans="2:14" ht="14.25" x14ac:dyDescent="0.45">
      <c r="B95" s="193"/>
      <c r="C95" s="192"/>
      <c r="D95" s="15" t="s">
        <v>44</v>
      </c>
      <c r="E95" s="16"/>
      <c r="F95" s="16"/>
      <c r="G95" s="16"/>
      <c r="H95" s="16"/>
      <c r="I95" s="80">
        <f>AVERAGE(E94:I94)</f>
        <v>4.0981224279835395E-2</v>
      </c>
      <c r="J95" s="17"/>
      <c r="K95" s="17"/>
      <c r="L95" s="17"/>
      <c r="M95" s="17"/>
      <c r="N95" s="17">
        <f>AVERAGE(E94:N94)</f>
        <v>3.9192472085550774E-2</v>
      </c>
    </row>
    <row r="96" spans="2:14" ht="14.25" x14ac:dyDescent="0.45">
      <c r="B96" s="193"/>
      <c r="C96" s="192"/>
      <c r="D96" s="15" t="s">
        <v>42</v>
      </c>
      <c r="E96" s="16">
        <f t="shared" ref="E96:N96" si="54">E$30</f>
        <v>4.3333333333333335E-2</v>
      </c>
      <c r="F96" s="16">
        <f t="shared" si="54"/>
        <v>8.5277777777777786E-2</v>
      </c>
      <c r="G96" s="16">
        <f t="shared" si="54"/>
        <v>0.12606481481481482</v>
      </c>
      <c r="H96" s="16">
        <f t="shared" si="54"/>
        <v>0.16588734567901237</v>
      </c>
      <c r="I96" s="16">
        <f t="shared" si="54"/>
        <v>0.20490612139917697</v>
      </c>
      <c r="J96" s="16">
        <f t="shared" si="54"/>
        <v>0.24325510116598081</v>
      </c>
      <c r="K96" s="16">
        <f t="shared" si="54"/>
        <v>0.28104591763831732</v>
      </c>
      <c r="L96" s="16">
        <f t="shared" si="54"/>
        <v>0.3183715980319311</v>
      </c>
      <c r="M96" s="16">
        <f t="shared" si="54"/>
        <v>0.35530966502660927</v>
      </c>
      <c r="N96" s="16">
        <f t="shared" si="54"/>
        <v>0.39192472085550772</v>
      </c>
    </row>
    <row r="97" spans="2:14" ht="14.25" customHeight="1" x14ac:dyDescent="0.45">
      <c r="B97" s="193"/>
      <c r="C97" s="193"/>
      <c r="D97" s="19" t="s">
        <v>45</v>
      </c>
      <c r="E97" s="20">
        <f t="shared" ref="E97:N97" si="55">10*E94</f>
        <v>0.43333333333333335</v>
      </c>
      <c r="F97" s="20">
        <f t="shared" si="55"/>
        <v>0.41944444444444451</v>
      </c>
      <c r="G97" s="20">
        <f t="shared" si="55"/>
        <v>0.40787037037037038</v>
      </c>
      <c r="H97" s="20">
        <f t="shared" si="55"/>
        <v>0.39822530864197536</v>
      </c>
      <c r="I97" s="20">
        <f t="shared" si="55"/>
        <v>0.39018775720164611</v>
      </c>
      <c r="J97" s="20">
        <f t="shared" si="55"/>
        <v>0.38348979766803842</v>
      </c>
      <c r="K97" s="20">
        <f t="shared" si="55"/>
        <v>0.37790816472336536</v>
      </c>
      <c r="L97" s="20">
        <f t="shared" si="55"/>
        <v>0.3732568039361378</v>
      </c>
      <c r="M97" s="20">
        <f t="shared" si="55"/>
        <v>0.36938066994678154</v>
      </c>
      <c r="N97" s="20">
        <f t="shared" si="55"/>
        <v>0.36615055828898457</v>
      </c>
    </row>
    <row r="98" spans="2:14" ht="14.25" x14ac:dyDescent="0.45">
      <c r="B98" s="193"/>
      <c r="C98" s="193"/>
      <c r="D98" s="19" t="s">
        <v>46</v>
      </c>
      <c r="E98" s="20">
        <f>10*E96</f>
        <v>0.43333333333333335</v>
      </c>
      <c r="F98" s="20">
        <f t="shared" ref="F98:N98" si="56">10*F96</f>
        <v>0.85277777777777786</v>
      </c>
      <c r="G98" s="20">
        <f t="shared" si="56"/>
        <v>1.2606481481481482</v>
      </c>
      <c r="H98" s="20">
        <f t="shared" si="56"/>
        <v>1.6588734567901238</v>
      </c>
      <c r="I98" s="20">
        <f t="shared" si="56"/>
        <v>2.0490612139917697</v>
      </c>
      <c r="J98" s="20">
        <f t="shared" si="56"/>
        <v>2.4325510116598084</v>
      </c>
      <c r="K98" s="20">
        <f t="shared" si="56"/>
        <v>2.8104591763831732</v>
      </c>
      <c r="L98" s="20">
        <f t="shared" si="56"/>
        <v>3.1837159803193109</v>
      </c>
      <c r="M98" s="20">
        <f t="shared" si="56"/>
        <v>3.5530966502660926</v>
      </c>
      <c r="N98" s="20">
        <f t="shared" si="56"/>
        <v>3.9192472085550771</v>
      </c>
    </row>
    <row r="99" spans="2:14" ht="14.25" x14ac:dyDescent="0.45">
      <c r="B99" s="193"/>
      <c r="C99" s="191" t="s">
        <v>36</v>
      </c>
      <c r="D99" s="15" t="s">
        <v>43</v>
      </c>
      <c r="E99" s="16">
        <f t="shared" ref="E99:N99" si="57">E94*E$15/$E$4</f>
        <v>5.1999999999999998E-2</v>
      </c>
      <c r="F99" s="16">
        <f t="shared" si="57"/>
        <v>6.0400000000000009E-2</v>
      </c>
      <c r="G99" s="16">
        <f t="shared" si="57"/>
        <v>7.0480000000000001E-2</v>
      </c>
      <c r="H99" s="16">
        <f t="shared" si="57"/>
        <v>8.2576000000000011E-2</v>
      </c>
      <c r="I99" s="16">
        <f t="shared" si="57"/>
        <v>9.7091200000000003E-2</v>
      </c>
      <c r="J99" s="16">
        <f t="shared" si="57"/>
        <v>0.11450944000000002</v>
      </c>
      <c r="K99" s="16">
        <f t="shared" si="57"/>
        <v>0.13541132800000003</v>
      </c>
      <c r="L99" s="16">
        <f t="shared" si="57"/>
        <v>0.16049359360000001</v>
      </c>
      <c r="M99" s="16">
        <f t="shared" si="57"/>
        <v>0.19059231232000001</v>
      </c>
      <c r="N99" s="16">
        <f t="shared" si="57"/>
        <v>0.22671077478399998</v>
      </c>
    </row>
    <row r="100" spans="2:14" ht="14.25" x14ac:dyDescent="0.45">
      <c r="B100" s="193"/>
      <c r="C100" s="192"/>
      <c r="D100" s="15" t="s">
        <v>44</v>
      </c>
      <c r="E100" s="16"/>
      <c r="F100" s="16"/>
      <c r="G100" s="16"/>
      <c r="H100" s="16"/>
      <c r="I100" s="17">
        <f>AVERAGE(E99:I99)</f>
        <v>7.2509440000000008E-2</v>
      </c>
      <c r="J100" s="17"/>
      <c r="K100" s="17"/>
      <c r="L100" s="17"/>
      <c r="M100" s="17"/>
      <c r="N100" s="17">
        <f>AVERAGE(E99:N99)</f>
        <v>0.1190264648704</v>
      </c>
    </row>
    <row r="101" spans="2:14" ht="14.25" x14ac:dyDescent="0.45">
      <c r="B101" s="193"/>
      <c r="C101" s="193"/>
      <c r="D101" s="19" t="s">
        <v>45</v>
      </c>
      <c r="E101" s="23">
        <f t="shared" ref="E101:N101" si="58">E97*E$15</f>
        <v>52000</v>
      </c>
      <c r="F101" s="23">
        <f t="shared" si="58"/>
        <v>60400.000000000007</v>
      </c>
      <c r="G101" s="23">
        <f>G97*G$15</f>
        <v>70480</v>
      </c>
      <c r="H101" s="23">
        <f>H97*H$15</f>
        <v>82576.000000000015</v>
      </c>
      <c r="I101" s="23">
        <f>I97*I$15</f>
        <v>97091.200000000012</v>
      </c>
      <c r="J101" s="23">
        <f t="shared" si="58"/>
        <v>114509.44000000002</v>
      </c>
      <c r="K101" s="23">
        <f t="shared" si="58"/>
        <v>135411.32800000001</v>
      </c>
      <c r="L101" s="23">
        <f t="shared" si="58"/>
        <v>160493.59359999999</v>
      </c>
      <c r="M101" s="23">
        <f t="shared" si="58"/>
        <v>190592.31232000003</v>
      </c>
      <c r="N101" s="23">
        <f t="shared" si="58"/>
        <v>226710.77478399998</v>
      </c>
    </row>
    <row r="102" spans="2:14" ht="14.25" customHeight="1" x14ac:dyDescent="0.45">
      <c r="B102" s="193"/>
      <c r="C102" s="193"/>
      <c r="D102" s="19" t="s">
        <v>47</v>
      </c>
      <c r="E102" s="24"/>
      <c r="F102" s="24"/>
      <c r="G102" s="24"/>
      <c r="H102" s="24"/>
      <c r="I102" s="23">
        <f>AVERAGE(E101:I101)</f>
        <v>72509.440000000002</v>
      </c>
      <c r="J102" s="23"/>
      <c r="K102" s="23"/>
      <c r="L102" s="23"/>
      <c r="M102" s="23"/>
      <c r="N102" s="23">
        <f>AVERAGE(E101:N101)</f>
        <v>119026.4648704</v>
      </c>
    </row>
    <row r="103" spans="2:14" ht="14.25" x14ac:dyDescent="0.45">
      <c r="B103" s="193"/>
      <c r="C103" s="193"/>
      <c r="D103" s="19" t="s">
        <v>46</v>
      </c>
      <c r="E103" s="24">
        <f>E101</f>
        <v>52000</v>
      </c>
      <c r="F103" s="24">
        <f t="shared" ref="F103:N103" si="59">E103+F101</f>
        <v>112400</v>
      </c>
      <c r="G103" s="24">
        <f>F103+G101</f>
        <v>182880</v>
      </c>
      <c r="H103" s="24">
        <f t="shared" si="59"/>
        <v>265456</v>
      </c>
      <c r="I103" s="24">
        <f t="shared" si="59"/>
        <v>362547.20000000001</v>
      </c>
      <c r="J103" s="24">
        <f>I103+J101</f>
        <v>477056.64</v>
      </c>
      <c r="K103" s="24">
        <f t="shared" si="59"/>
        <v>612467.96799999999</v>
      </c>
      <c r="L103" s="24">
        <f t="shared" si="59"/>
        <v>772961.56160000002</v>
      </c>
      <c r="M103" s="24">
        <f t="shared" si="59"/>
        <v>963553.87392000004</v>
      </c>
      <c r="N103" s="24">
        <f t="shared" si="59"/>
        <v>1190264.6487040001</v>
      </c>
    </row>
    <row r="104" spans="2:14" ht="14.25" x14ac:dyDescent="0.45">
      <c r="B104" s="193"/>
      <c r="C104" s="191" t="s">
        <v>35</v>
      </c>
      <c r="D104" s="15" t="s">
        <v>43</v>
      </c>
      <c r="E104" s="16">
        <f>E96*E$15/$E$4</f>
        <v>5.1999999999999998E-2</v>
      </c>
      <c r="F104" s="16">
        <f>F96*F$15/$E$4-E104</f>
        <v>7.080000000000003E-2</v>
      </c>
      <c r="G104" s="16">
        <f>G96*G$15/$E$4-F104-E104</f>
        <v>9.5039999999999986E-2</v>
      </c>
      <c r="H104" s="16">
        <f>H96*H$15/$E$4-G104-F104-E104</f>
        <v>0.12614400000000001</v>
      </c>
      <c r="I104" s="16">
        <f>I96*I$15/$E$4-H104-G104-F104-E104</f>
        <v>0.16588799999999992</v>
      </c>
      <c r="J104" s="16">
        <f>J96*J$15/$E$4-I104-H104-G104-F104-E104</f>
        <v>0.2164838400000002</v>
      </c>
      <c r="K104" s="16">
        <f>K96*K$15/$E$4-J104-I104-H104-G104-F104-E104</f>
        <v>0.28068249599999973</v>
      </c>
      <c r="L104" s="16">
        <f>L96*L$15/$E$4-K104-J104-I104-H104-G104-F104-E104</f>
        <v>0.36190126080000018</v>
      </c>
      <c r="M104" s="16">
        <f>M96*M$15/$E$4-L104-K104-J104-I104-H104-G104-F104-E104</f>
        <v>0.4643802316799997</v>
      </c>
      <c r="N104" s="16">
        <f>N96*N$15/$E$4-M104-L104-K104-J104-I104-H104-G104-F104-E104</f>
        <v>0.59337474048000005</v>
      </c>
    </row>
    <row r="105" spans="2:14" ht="14.25" x14ac:dyDescent="0.45">
      <c r="B105" s="193"/>
      <c r="C105" s="192"/>
      <c r="D105" s="15" t="s">
        <v>44</v>
      </c>
      <c r="E105" s="17"/>
      <c r="F105" s="17"/>
      <c r="G105" s="17"/>
      <c r="H105" s="17"/>
      <c r="I105" s="17">
        <f>AVERAGE(E104:I104)</f>
        <v>0.10197439999999998</v>
      </c>
      <c r="J105" s="17"/>
      <c r="K105" s="17"/>
      <c r="L105" s="17"/>
      <c r="M105" s="17"/>
      <c r="N105" s="17">
        <f>AVERAGE(E104:N104)</f>
        <v>0.242669456896</v>
      </c>
    </row>
    <row r="106" spans="2:14" ht="14.25" x14ac:dyDescent="0.45">
      <c r="B106" s="193"/>
      <c r="C106" s="193"/>
      <c r="D106" s="19" t="s">
        <v>45</v>
      </c>
      <c r="E106" s="23">
        <f>E108</f>
        <v>52000</v>
      </c>
      <c r="F106" s="23">
        <f>F108-E108</f>
        <v>70800.000000000015</v>
      </c>
      <c r="G106" s="23">
        <f>G108-F108</f>
        <v>95039.999999999985</v>
      </c>
      <c r="H106" s="23">
        <f>H108-G108</f>
        <v>126144.00000000006</v>
      </c>
      <c r="I106" s="23">
        <f>I108-H108</f>
        <v>165887.99999999994</v>
      </c>
      <c r="J106" s="23">
        <f>J108-I108</f>
        <v>216483.8400000002</v>
      </c>
      <c r="K106" s="23">
        <f t="shared" ref="K106:N106" si="60">K108-J108</f>
        <v>280682.49599999981</v>
      </c>
      <c r="L106" s="23">
        <f t="shared" si="60"/>
        <v>361901.26079999993</v>
      </c>
      <c r="M106" s="23">
        <f t="shared" si="60"/>
        <v>464380.23167999997</v>
      </c>
      <c r="N106" s="23">
        <f t="shared" si="60"/>
        <v>593374.74047999992</v>
      </c>
    </row>
    <row r="107" spans="2:14" ht="15" customHeight="1" x14ac:dyDescent="0.45">
      <c r="B107" s="193"/>
      <c r="C107" s="193"/>
      <c r="D107" s="19" t="s">
        <v>47</v>
      </c>
      <c r="E107" s="23"/>
      <c r="F107" s="23"/>
      <c r="G107" s="23"/>
      <c r="H107" s="23"/>
      <c r="I107" s="23">
        <f>AVERAGE(E106:I106)</f>
        <v>101974.39999999999</v>
      </c>
      <c r="J107" s="23"/>
      <c r="K107" s="23"/>
      <c r="L107" s="23"/>
      <c r="M107" s="23"/>
      <c r="N107" s="23">
        <f>AVERAGE(E106:N106)</f>
        <v>242669.45689599999</v>
      </c>
    </row>
    <row r="108" spans="2:14" ht="14.25" x14ac:dyDescent="0.45">
      <c r="B108" s="193"/>
      <c r="C108" s="193"/>
      <c r="D108" s="19" t="s">
        <v>46</v>
      </c>
      <c r="E108" s="24">
        <f t="shared" ref="E108:N108" si="61">E98*E$15</f>
        <v>52000</v>
      </c>
      <c r="F108" s="24">
        <f t="shared" si="61"/>
        <v>122800.00000000001</v>
      </c>
      <c r="G108" s="24">
        <f>G98*G$15</f>
        <v>217840</v>
      </c>
      <c r="H108" s="24">
        <f>H98*H$15</f>
        <v>343984.00000000006</v>
      </c>
      <c r="I108" s="24">
        <f>I98*I$15</f>
        <v>509872</v>
      </c>
      <c r="J108" s="24">
        <f t="shared" si="61"/>
        <v>726355.8400000002</v>
      </c>
      <c r="K108" s="24">
        <f t="shared" si="61"/>
        <v>1007038.336</v>
      </c>
      <c r="L108" s="24">
        <f t="shared" si="61"/>
        <v>1368939.5967999999</v>
      </c>
      <c r="M108" s="24">
        <f t="shared" si="61"/>
        <v>1833319.8284799999</v>
      </c>
      <c r="N108" s="24">
        <f t="shared" si="61"/>
        <v>2426694.5689599998</v>
      </c>
    </row>
    <row r="109" spans="2:14" ht="14.25" x14ac:dyDescent="0.45">
      <c r="B109" s="193" t="s">
        <v>18</v>
      </c>
      <c r="C109" s="192" t="s">
        <v>32</v>
      </c>
      <c r="D109" s="15" t="s">
        <v>43</v>
      </c>
      <c r="E109" s="16">
        <f>E66+E79+E94-E34-E50</f>
        <v>0.41958333333333331</v>
      </c>
      <c r="F109" s="16">
        <f t="shared" ref="F109:N109" si="62">F66+F79+F94-F34-F50</f>
        <v>0.36715277777777788</v>
      </c>
      <c r="G109" s="16">
        <f t="shared" si="62"/>
        <v>0.32346064814814801</v>
      </c>
      <c r="H109" s="16">
        <f t="shared" si="62"/>
        <v>0.28705054012345693</v>
      </c>
      <c r="I109" s="16">
        <f t="shared" si="62"/>
        <v>0.25670878343621395</v>
      </c>
      <c r="J109" s="16">
        <f t="shared" si="62"/>
        <v>0.23142398619684529</v>
      </c>
      <c r="K109" s="16">
        <f t="shared" si="62"/>
        <v>0.2103533218307041</v>
      </c>
      <c r="L109" s="16">
        <f t="shared" si="62"/>
        <v>0.19279443485892006</v>
      </c>
      <c r="M109" s="16">
        <f t="shared" si="62"/>
        <v>0.17816202904909983</v>
      </c>
      <c r="N109" s="16">
        <f t="shared" si="62"/>
        <v>0.16596835754091693</v>
      </c>
    </row>
    <row r="110" spans="2:14" ht="14.25" x14ac:dyDescent="0.45">
      <c r="B110" s="193"/>
      <c r="C110" s="192"/>
      <c r="D110" s="15" t="s">
        <v>44</v>
      </c>
      <c r="E110" s="16"/>
      <c r="F110" s="16"/>
      <c r="G110" s="16"/>
      <c r="H110" s="16"/>
      <c r="I110" s="38">
        <f>AVERAGE(E109:I109)</f>
        <v>0.33079121656378596</v>
      </c>
      <c r="J110" s="16"/>
      <c r="K110" s="16"/>
      <c r="L110" s="16"/>
      <c r="M110" s="16"/>
      <c r="N110" s="17">
        <f>AVERAGE(E109:N109)</f>
        <v>0.26326582122954162</v>
      </c>
    </row>
    <row r="111" spans="2:14" ht="14.25" x14ac:dyDescent="0.45">
      <c r="B111" s="193"/>
      <c r="C111" s="192"/>
      <c r="D111" s="15" t="s">
        <v>42</v>
      </c>
      <c r="E111" s="16">
        <f>E68+E81+E96-E36-E52</f>
        <v>0.41958333333333331</v>
      </c>
      <c r="F111" s="16">
        <f t="shared" ref="F111:N111" si="63">F68+F81+F96-F36-F52</f>
        <v>0.78673611111111141</v>
      </c>
      <c r="G111" s="16">
        <f t="shared" si="63"/>
        <v>1.1101967592592592</v>
      </c>
      <c r="H111" s="16">
        <f t="shared" si="63"/>
        <v>1.3972472993827165</v>
      </c>
      <c r="I111" s="16">
        <f t="shared" si="63"/>
        <v>1.6539560828189299</v>
      </c>
      <c r="J111" s="16">
        <f t="shared" si="63"/>
        <v>1.8853800690157765</v>
      </c>
      <c r="K111" s="16">
        <f t="shared" si="63"/>
        <v>2.0957333908464784</v>
      </c>
      <c r="L111" s="16">
        <f t="shared" si="63"/>
        <v>2.2885278257053985</v>
      </c>
      <c r="M111" s="16">
        <f t="shared" si="63"/>
        <v>2.4666898547544966</v>
      </c>
      <c r="N111" s="16">
        <f t="shared" si="63"/>
        <v>2.6326582122954183</v>
      </c>
    </row>
    <row r="112" spans="2:14" ht="14.25" x14ac:dyDescent="0.45">
      <c r="B112" s="193"/>
      <c r="C112" s="193"/>
      <c r="D112" s="19" t="s">
        <v>45</v>
      </c>
      <c r="E112" s="20">
        <f>10*E109</f>
        <v>4.1958333333333329</v>
      </c>
      <c r="F112" s="20">
        <f t="shared" ref="F112:N112" si="64">10*F109</f>
        <v>3.6715277777777788</v>
      </c>
      <c r="G112" s="20">
        <f t="shared" si="64"/>
        <v>3.2346064814814799</v>
      </c>
      <c r="H112" s="20">
        <f t="shared" si="64"/>
        <v>2.8705054012345692</v>
      </c>
      <c r="I112" s="20">
        <f t="shared" si="64"/>
        <v>2.5670878343621393</v>
      </c>
      <c r="J112" s="20">
        <f t="shared" si="64"/>
        <v>2.3142398619684528</v>
      </c>
      <c r="K112" s="20">
        <f t="shared" si="64"/>
        <v>2.103533218307041</v>
      </c>
      <c r="L112" s="20">
        <f t="shared" si="64"/>
        <v>1.9279443485892007</v>
      </c>
      <c r="M112" s="20">
        <f t="shared" si="64"/>
        <v>1.7816202904909983</v>
      </c>
      <c r="N112" s="20">
        <f t="shared" si="64"/>
        <v>1.6596835754091694</v>
      </c>
    </row>
    <row r="113" spans="1:15" ht="14.25" x14ac:dyDescent="0.45">
      <c r="B113" s="193"/>
      <c r="C113" s="193"/>
      <c r="D113" s="19" t="s">
        <v>46</v>
      </c>
      <c r="E113" s="20">
        <f>10*E111</f>
        <v>4.1958333333333329</v>
      </c>
      <c r="F113" s="20">
        <f>10*F111</f>
        <v>7.8673611111111139</v>
      </c>
      <c r="G113" s="20">
        <f>10*G111</f>
        <v>11.101967592592592</v>
      </c>
      <c r="H113" s="20">
        <f t="shared" ref="H113:N113" si="65">10*H111</f>
        <v>13.972472993827164</v>
      </c>
      <c r="I113" s="20">
        <f t="shared" si="65"/>
        <v>16.539560828189298</v>
      </c>
      <c r="J113" s="20">
        <f t="shared" si="65"/>
        <v>18.853800690157765</v>
      </c>
      <c r="K113" s="20">
        <f t="shared" si="65"/>
        <v>20.957333908464783</v>
      </c>
      <c r="L113" s="20">
        <f t="shared" si="65"/>
        <v>22.885278257053983</v>
      </c>
      <c r="M113" s="20">
        <f t="shared" si="65"/>
        <v>24.666898547544967</v>
      </c>
      <c r="N113" s="20">
        <f t="shared" si="65"/>
        <v>26.326582122954182</v>
      </c>
    </row>
    <row r="114" spans="1:15" ht="14.25" x14ac:dyDescent="0.45">
      <c r="B114" s="193"/>
      <c r="C114" s="191" t="s">
        <v>36</v>
      </c>
      <c r="D114" s="15" t="s">
        <v>43</v>
      </c>
      <c r="E114" s="16">
        <f>E71+E84+E99-E39-E55</f>
        <v>0.50349999999999984</v>
      </c>
      <c r="F114" s="16">
        <f t="shared" ref="F114:N114" si="66">F71+F84+F99-F39-F55</f>
        <v>0.52870000000000039</v>
      </c>
      <c r="G114" s="16">
        <f t="shared" si="66"/>
        <v>0.55893999999999977</v>
      </c>
      <c r="H114" s="16">
        <f t="shared" si="66"/>
        <v>0.59522800000000031</v>
      </c>
      <c r="I114" s="16">
        <f t="shared" si="66"/>
        <v>0.63877359999999994</v>
      </c>
      <c r="J114" s="16">
        <f t="shared" si="66"/>
        <v>0.69102832000000092</v>
      </c>
      <c r="K114" s="16">
        <f t="shared" si="66"/>
        <v>0.75373398399999969</v>
      </c>
      <c r="L114" s="16">
        <f t="shared" si="66"/>
        <v>0.82898078079999959</v>
      </c>
      <c r="M114" s="16">
        <f t="shared" si="66"/>
        <v>0.91927693695999846</v>
      </c>
      <c r="N114" s="16">
        <f t="shared" si="66"/>
        <v>1.0276323243520011</v>
      </c>
    </row>
    <row r="115" spans="1:15" ht="14.25" x14ac:dyDescent="0.45">
      <c r="B115" s="193"/>
      <c r="C115" s="192"/>
      <c r="D115" s="15" t="s">
        <v>44</v>
      </c>
      <c r="E115" s="16"/>
      <c r="F115" s="16"/>
      <c r="G115" s="16"/>
      <c r="H115" s="16"/>
      <c r="I115" s="17">
        <f>AVERAGE(E114:I114)</f>
        <v>0.56502832000000003</v>
      </c>
      <c r="J115" s="17"/>
      <c r="K115" s="17"/>
      <c r="L115" s="17"/>
      <c r="M115" s="17"/>
      <c r="N115" s="17">
        <f>AVERAGE(E114:N114)</f>
        <v>0.70457939461120001</v>
      </c>
    </row>
    <row r="116" spans="1:15" ht="14.25" x14ac:dyDescent="0.45">
      <c r="B116" s="193"/>
      <c r="C116" s="193"/>
      <c r="D116" s="19" t="s">
        <v>45</v>
      </c>
      <c r="E116" s="22">
        <f t="shared" ref="E116:N116" si="67">E112*E$15</f>
        <v>503499.99999999994</v>
      </c>
      <c r="F116" s="22">
        <f t="shared" si="67"/>
        <v>528700.00000000012</v>
      </c>
      <c r="G116" s="22">
        <f>G112*G$15</f>
        <v>558939.99999999977</v>
      </c>
      <c r="H116" s="22">
        <f>H112*H$15</f>
        <v>595228.00000000023</v>
      </c>
      <c r="I116" s="22">
        <f>I112*I$15</f>
        <v>638773.59999999986</v>
      </c>
      <c r="J116" s="22">
        <f t="shared" si="67"/>
        <v>691028.32000000088</v>
      </c>
      <c r="K116" s="22">
        <f t="shared" si="67"/>
        <v>753733.98399999982</v>
      </c>
      <c r="L116" s="22">
        <f t="shared" si="67"/>
        <v>828980.78079999972</v>
      </c>
      <c r="M116" s="22">
        <f t="shared" si="67"/>
        <v>919276.93695999857</v>
      </c>
      <c r="N116" s="22">
        <f t="shared" si="67"/>
        <v>1027632.3243520011</v>
      </c>
    </row>
    <row r="117" spans="1:15" ht="14.25" x14ac:dyDescent="0.45">
      <c r="B117" s="193"/>
      <c r="C117" s="193"/>
      <c r="D117" s="19" t="s">
        <v>47</v>
      </c>
      <c r="E117" s="21"/>
      <c r="F117" s="21"/>
      <c r="G117" s="21"/>
      <c r="H117" s="21"/>
      <c r="I117" s="22">
        <f>AVERAGE(E116:I116)</f>
        <v>565028.31999999995</v>
      </c>
      <c r="J117" s="22"/>
      <c r="K117" s="22"/>
      <c r="L117" s="22"/>
      <c r="M117" s="22"/>
      <c r="N117" s="22">
        <f>AVERAGE(E116:N116)</f>
        <v>704579.39461119997</v>
      </c>
    </row>
    <row r="118" spans="1:15" ht="14.25" x14ac:dyDescent="0.45">
      <c r="B118" s="193"/>
      <c r="C118" s="193"/>
      <c r="D118" s="19" t="s">
        <v>46</v>
      </c>
      <c r="E118" s="21">
        <f>E116</f>
        <v>503499.99999999994</v>
      </c>
      <c r="F118" s="21">
        <f t="shared" ref="F118:N118" si="68">E118+F116</f>
        <v>1032200</v>
      </c>
      <c r="G118" s="21">
        <f>F118+G116</f>
        <v>1591139.9999999998</v>
      </c>
      <c r="H118" s="21">
        <f t="shared" si="68"/>
        <v>2186368</v>
      </c>
      <c r="I118" s="21">
        <f t="shared" si="68"/>
        <v>2825141.5999999996</v>
      </c>
      <c r="J118" s="21">
        <f>I118+J116</f>
        <v>3516169.9200000004</v>
      </c>
      <c r="K118" s="21">
        <f t="shared" si="68"/>
        <v>4269903.9040000001</v>
      </c>
      <c r="L118" s="21">
        <f t="shared" si="68"/>
        <v>5098884.6847999999</v>
      </c>
      <c r="M118" s="21">
        <f t="shared" si="68"/>
        <v>6018161.6217599986</v>
      </c>
      <c r="N118" s="21">
        <f t="shared" si="68"/>
        <v>7045793.9461119995</v>
      </c>
    </row>
    <row r="119" spans="1:15" ht="15" customHeight="1" x14ac:dyDescent="0.45">
      <c r="B119" s="193"/>
      <c r="C119" s="191" t="s">
        <v>35</v>
      </c>
      <c r="D119" s="15" t="s">
        <v>43</v>
      </c>
      <c r="E119" s="16">
        <f>E74+E89+E104-E42-E58</f>
        <v>0.50349999999999984</v>
      </c>
      <c r="F119" s="16">
        <f t="shared" ref="F119:N119" si="69">F74+F89+F104-F42-F58</f>
        <v>0.62940000000000063</v>
      </c>
      <c r="G119" s="16">
        <f t="shared" si="69"/>
        <v>0.78551999999999977</v>
      </c>
      <c r="H119" s="16">
        <f t="shared" si="69"/>
        <v>0.97891200000000089</v>
      </c>
      <c r="I119" s="16">
        <f t="shared" si="69"/>
        <v>1.2182399999999989</v>
      </c>
      <c r="J119" s="16">
        <f t="shared" si="69"/>
        <v>1.5141427200000057</v>
      </c>
      <c r="K119" s="16">
        <f t="shared" si="69"/>
        <v>1.8796769279999921</v>
      </c>
      <c r="L119" s="16">
        <f t="shared" si="69"/>
        <v>2.3308591104000014</v>
      </c>
      <c r="M119" s="16">
        <f t="shared" si="69"/>
        <v>2.887327088639986</v>
      </c>
      <c r="N119" s="16">
        <f t="shared" si="69"/>
        <v>3.5731478937600261</v>
      </c>
    </row>
    <row r="120" spans="1:15" ht="15" customHeight="1" x14ac:dyDescent="0.45">
      <c r="B120" s="193"/>
      <c r="C120" s="192"/>
      <c r="D120" s="15" t="s">
        <v>44</v>
      </c>
      <c r="E120" s="17"/>
      <c r="F120" s="17"/>
      <c r="G120" s="17"/>
      <c r="H120" s="17"/>
      <c r="I120" s="17">
        <f>AVERAGE(E119:I119)</f>
        <v>0.82311440000000002</v>
      </c>
      <c r="J120" s="17"/>
      <c r="K120" s="17"/>
      <c r="L120" s="17"/>
      <c r="M120" s="17"/>
      <c r="N120" s="17">
        <f>AVERAGE(E119:N119)</f>
        <v>1.6300725740800011</v>
      </c>
    </row>
    <row r="121" spans="1:15" ht="15" customHeight="1" x14ac:dyDescent="0.45">
      <c r="B121" s="193"/>
      <c r="C121" s="193"/>
      <c r="D121" s="19" t="s">
        <v>45</v>
      </c>
      <c r="E121" s="22">
        <f>E123</f>
        <v>503499.99999999994</v>
      </c>
      <c r="F121" s="22">
        <f>F123-E123</f>
        <v>629400.00000000047</v>
      </c>
      <c r="G121" s="22">
        <f>G123-F123</f>
        <v>785519.99999999953</v>
      </c>
      <c r="H121" s="22">
        <f t="shared" ref="H121:N121" si="70">H123-G123</f>
        <v>978912.00000000093</v>
      </c>
      <c r="I121" s="22">
        <f t="shared" si="70"/>
        <v>1218239.9999999986</v>
      </c>
      <c r="J121" s="22">
        <f>J123-I123</f>
        <v>1514142.7200000058</v>
      </c>
      <c r="K121" s="22">
        <f t="shared" si="70"/>
        <v>1879676.9279999919</v>
      </c>
      <c r="L121" s="22">
        <f t="shared" si="70"/>
        <v>2330859.1103999978</v>
      </c>
      <c r="M121" s="22">
        <f t="shared" si="70"/>
        <v>2887327.0886399914</v>
      </c>
      <c r="N121" s="22">
        <f t="shared" si="70"/>
        <v>3573147.8937600255</v>
      </c>
    </row>
    <row r="122" spans="1:15" ht="15" customHeight="1" x14ac:dyDescent="0.45">
      <c r="A122" s="8"/>
      <c r="B122" s="193"/>
      <c r="C122" s="193"/>
      <c r="D122" s="19" t="s">
        <v>47</v>
      </c>
      <c r="E122" s="22"/>
      <c r="F122" s="22"/>
      <c r="G122" s="22"/>
      <c r="H122" s="22"/>
      <c r="I122" s="22">
        <f>AVERAGE(E121:I121)</f>
        <v>823114.39999999991</v>
      </c>
      <c r="J122" s="22"/>
      <c r="K122" s="22"/>
      <c r="L122" s="22"/>
      <c r="M122" s="22"/>
      <c r="N122" s="22">
        <f>AVERAGE(E121:N121)</f>
        <v>1630072.5740800011</v>
      </c>
      <c r="O122" s="8"/>
    </row>
    <row r="123" spans="1:15" ht="15" customHeight="1" x14ac:dyDescent="0.45">
      <c r="B123" s="193"/>
      <c r="C123" s="193"/>
      <c r="D123" s="19" t="s">
        <v>46</v>
      </c>
      <c r="E123" s="21">
        <f t="shared" ref="E123:N123" si="71">E113*E$15</f>
        <v>503499.99999999994</v>
      </c>
      <c r="F123" s="21">
        <f t="shared" si="71"/>
        <v>1132900.0000000005</v>
      </c>
      <c r="G123" s="21">
        <f>G113*G$15</f>
        <v>1918420</v>
      </c>
      <c r="H123" s="21">
        <f>H113*H$15</f>
        <v>2897332.0000000009</v>
      </c>
      <c r="I123" s="21">
        <f>I113*I$15</f>
        <v>4115571.9999999995</v>
      </c>
      <c r="J123" s="21">
        <f t="shared" si="71"/>
        <v>5629714.7200000053</v>
      </c>
      <c r="K123" s="21">
        <f t="shared" si="71"/>
        <v>7509391.6479999973</v>
      </c>
      <c r="L123" s="21">
        <f t="shared" si="71"/>
        <v>9840250.758399995</v>
      </c>
      <c r="M123" s="21">
        <f t="shared" si="71"/>
        <v>12727577.847039986</v>
      </c>
      <c r="N123" s="21">
        <f t="shared" si="71"/>
        <v>16300725.740800012</v>
      </c>
    </row>
    <row r="124" spans="1:15" ht="15" customHeight="1" x14ac:dyDescent="0.45">
      <c r="B124" s="1"/>
      <c r="C124" s="1"/>
      <c r="D124" s="40"/>
      <c r="E124" s="10"/>
      <c r="F124" s="10"/>
      <c r="G124" s="10"/>
      <c r="H124" s="10"/>
      <c r="I124" s="10"/>
      <c r="J124" s="10"/>
      <c r="K124" s="10"/>
      <c r="L124" s="10"/>
      <c r="M124" s="10"/>
      <c r="N124" s="10"/>
    </row>
    <row r="125" spans="1:15" ht="15" customHeight="1" x14ac:dyDescent="0.45">
      <c r="B125" s="176" t="s">
        <v>116</v>
      </c>
      <c r="C125" s="178" t="s">
        <v>55</v>
      </c>
      <c r="D125" s="178" t="s">
        <v>54</v>
      </c>
      <c r="E125" s="174" t="s">
        <v>3</v>
      </c>
      <c r="F125" s="174" t="s">
        <v>4</v>
      </c>
      <c r="G125" s="174" t="s">
        <v>5</v>
      </c>
      <c r="H125" s="174" t="s">
        <v>6</v>
      </c>
      <c r="I125" s="174" t="s">
        <v>7</v>
      </c>
      <c r="J125" s="174" t="s">
        <v>8</v>
      </c>
      <c r="K125" s="174" t="s">
        <v>9</v>
      </c>
      <c r="L125" s="174" t="s">
        <v>10</v>
      </c>
      <c r="M125" s="174" t="s">
        <v>11</v>
      </c>
      <c r="N125" s="174" t="s">
        <v>12</v>
      </c>
    </row>
    <row r="126" spans="1:15" ht="15" customHeight="1" x14ac:dyDescent="0.45">
      <c r="B126" s="177"/>
      <c r="C126" s="179"/>
      <c r="D126" s="179"/>
      <c r="E126" s="175"/>
      <c r="F126" s="175"/>
      <c r="G126" s="175"/>
      <c r="H126" s="175"/>
      <c r="I126" s="175"/>
      <c r="J126" s="175"/>
      <c r="K126" s="175"/>
      <c r="L126" s="175"/>
      <c r="M126" s="175"/>
      <c r="N126" s="175"/>
    </row>
    <row r="127" spans="1:15" ht="15" customHeight="1" x14ac:dyDescent="0.45">
      <c r="B127" s="184" t="s">
        <v>137</v>
      </c>
      <c r="C127" s="182">
        <v>20000</v>
      </c>
      <c r="D127" s="44" t="s">
        <v>19</v>
      </c>
      <c r="E127" s="27">
        <f t="shared" ref="E127:N127" si="72">E$53/10*$C127/(2+$E$11)</f>
        <v>879.62962962962956</v>
      </c>
      <c r="F127" s="27">
        <f t="shared" si="72"/>
        <v>733.0246913580246</v>
      </c>
      <c r="G127" s="27">
        <f t="shared" si="72"/>
        <v>610.85390946502059</v>
      </c>
      <c r="H127" s="27">
        <f t="shared" si="72"/>
        <v>509.04492455418381</v>
      </c>
      <c r="I127" s="27">
        <f t="shared" si="72"/>
        <v>424.20410379515317</v>
      </c>
      <c r="J127" s="27">
        <f t="shared" si="72"/>
        <v>353.50341982929433</v>
      </c>
      <c r="K127" s="27">
        <f t="shared" si="72"/>
        <v>294.58618319107859</v>
      </c>
      <c r="L127" s="27">
        <f t="shared" si="72"/>
        <v>245.48848599256547</v>
      </c>
      <c r="M127" s="27">
        <f t="shared" si="72"/>
        <v>204.5737383271379</v>
      </c>
      <c r="N127" s="27">
        <f t="shared" si="72"/>
        <v>170.47811527261493</v>
      </c>
    </row>
    <row r="128" spans="1:15" ht="15" customHeight="1" x14ac:dyDescent="0.45">
      <c r="B128" s="185"/>
      <c r="C128" s="182"/>
      <c r="D128" s="19" t="s">
        <v>22</v>
      </c>
      <c r="E128" s="27"/>
      <c r="F128" s="27"/>
      <c r="G128" s="27"/>
      <c r="H128" s="27"/>
      <c r="I128" s="28">
        <f>AVERAGE(E127:I127)</f>
        <v>631.35145176040226</v>
      </c>
      <c r="J128" s="27"/>
      <c r="K128" s="27"/>
      <c r="L128" s="27"/>
      <c r="M128" s="27"/>
      <c r="N128" s="27">
        <f>AVERAGE(E127:N127)</f>
        <v>442.53872014147021</v>
      </c>
    </row>
    <row r="129" spans="2:14" ht="15" customHeight="1" x14ac:dyDescent="0.45">
      <c r="B129" s="185"/>
      <c r="C129" s="182"/>
      <c r="D129" s="19" t="s">
        <v>41</v>
      </c>
      <c r="E129" s="27">
        <f t="shared" ref="E129:N129" si="73">E$54/10*$C127/(2+$E$11)</f>
        <v>879.62962962962956</v>
      </c>
      <c r="F129" s="27">
        <f t="shared" si="73"/>
        <v>1612.6543209876543</v>
      </c>
      <c r="G129" s="27">
        <f t="shared" si="73"/>
        <v>2223.5082304526754</v>
      </c>
      <c r="H129" s="27">
        <f t="shared" si="73"/>
        <v>2732.5531550068577</v>
      </c>
      <c r="I129" s="28">
        <f t="shared" si="73"/>
        <v>3156.7572588020125</v>
      </c>
      <c r="J129" s="27">
        <f t="shared" si="73"/>
        <v>3510.2606786313027</v>
      </c>
      <c r="K129" s="27">
        <f t="shared" si="73"/>
        <v>3804.846861822386</v>
      </c>
      <c r="L129" s="27">
        <f t="shared" si="73"/>
        <v>4050.335347814952</v>
      </c>
      <c r="M129" s="27">
        <f t="shared" si="73"/>
        <v>4254.9090861420955</v>
      </c>
      <c r="N129" s="27">
        <f t="shared" si="73"/>
        <v>4425.3872014146964</v>
      </c>
    </row>
    <row r="130" spans="2:14" ht="15" customHeight="1" x14ac:dyDescent="0.45">
      <c r="B130" s="185"/>
      <c r="C130" s="182">
        <v>400000</v>
      </c>
      <c r="D130" s="44" t="s">
        <v>19</v>
      </c>
      <c r="E130" s="27">
        <f t="shared" ref="E130:N130" si="74">E$53/10*$C130/(2+$E$11)</f>
        <v>17592.592592592591</v>
      </c>
      <c r="F130" s="27">
        <f t="shared" si="74"/>
        <v>14660.493827160493</v>
      </c>
      <c r="G130" s="27">
        <f t="shared" si="74"/>
        <v>12217.07818930041</v>
      </c>
      <c r="H130" s="27">
        <f t="shared" si="74"/>
        <v>10180.898491083677</v>
      </c>
      <c r="I130" s="27">
        <f t="shared" si="74"/>
        <v>8484.082075903063</v>
      </c>
      <c r="J130" s="27">
        <f t="shared" si="74"/>
        <v>7070.0683965858861</v>
      </c>
      <c r="K130" s="27">
        <f t="shared" si="74"/>
        <v>5891.7236638215718</v>
      </c>
      <c r="L130" s="27">
        <f t="shared" si="74"/>
        <v>4909.7697198513097</v>
      </c>
      <c r="M130" s="27">
        <f t="shared" si="74"/>
        <v>4091.4747665427585</v>
      </c>
      <c r="N130" s="27">
        <f t="shared" si="74"/>
        <v>3409.5623054522985</v>
      </c>
    </row>
    <row r="131" spans="2:14" ht="15" customHeight="1" x14ac:dyDescent="0.45">
      <c r="B131" s="185"/>
      <c r="C131" s="182"/>
      <c r="D131" s="19" t="s">
        <v>22</v>
      </c>
      <c r="E131" s="27"/>
      <c r="F131" s="27"/>
      <c r="G131" s="27"/>
      <c r="H131" s="27"/>
      <c r="I131" s="28">
        <f>AVERAGE(E130:I130)</f>
        <v>12627.029035208045</v>
      </c>
      <c r="J131" s="27"/>
      <c r="K131" s="27"/>
      <c r="L131" s="27"/>
      <c r="M131" s="27"/>
      <c r="N131" s="27">
        <f>AVERAGE(E130:N130)</f>
        <v>8850.7744028294055</v>
      </c>
    </row>
    <row r="132" spans="2:14" ht="15" customHeight="1" x14ac:dyDescent="0.45">
      <c r="B132" s="185"/>
      <c r="C132" s="182"/>
      <c r="D132" s="19" t="s">
        <v>41</v>
      </c>
      <c r="E132" s="27">
        <f t="shared" ref="E132:N132" si="75">E$54/10*$C130/(2+$E$11)</f>
        <v>17592.592592592591</v>
      </c>
      <c r="F132" s="27">
        <f t="shared" si="75"/>
        <v>32253.086419753083</v>
      </c>
      <c r="G132" s="27">
        <f t="shared" si="75"/>
        <v>44470.164609053507</v>
      </c>
      <c r="H132" s="27">
        <f t="shared" si="75"/>
        <v>54651.063100137151</v>
      </c>
      <c r="I132" s="28">
        <f t="shared" si="75"/>
        <v>63135.145176040241</v>
      </c>
      <c r="J132" s="27">
        <f t="shared" si="75"/>
        <v>70205.21357262606</v>
      </c>
      <c r="K132" s="27">
        <f t="shared" si="75"/>
        <v>76096.937236447717</v>
      </c>
      <c r="L132" s="27">
        <f t="shared" si="75"/>
        <v>81006.706956299051</v>
      </c>
      <c r="M132" s="27">
        <f t="shared" si="75"/>
        <v>85098.18172284191</v>
      </c>
      <c r="N132" s="27">
        <f t="shared" si="75"/>
        <v>88507.744028293935</v>
      </c>
    </row>
    <row r="133" spans="2:14" ht="15" customHeight="1" x14ac:dyDescent="0.45">
      <c r="B133" s="185"/>
      <c r="C133" s="183">
        <v>1000000</v>
      </c>
      <c r="D133" s="15" t="s">
        <v>19</v>
      </c>
      <c r="E133" s="29">
        <f t="shared" ref="E133:N133" si="76">E$53/10*$C133/(2+$E$11)</f>
        <v>43981.481481481482</v>
      </c>
      <c r="F133" s="29">
        <f t="shared" si="76"/>
        <v>36651.234567901236</v>
      </c>
      <c r="G133" s="29">
        <f t="shared" si="76"/>
        <v>30542.695473251031</v>
      </c>
      <c r="H133" s="29">
        <f t="shared" si="76"/>
        <v>25452.246227709191</v>
      </c>
      <c r="I133" s="29">
        <f t="shared" si="76"/>
        <v>21210.205189757657</v>
      </c>
      <c r="J133" s="29">
        <f t="shared" si="76"/>
        <v>17675.170991464714</v>
      </c>
      <c r="K133" s="29">
        <f t="shared" si="76"/>
        <v>14729.309159553926</v>
      </c>
      <c r="L133" s="29">
        <f t="shared" si="76"/>
        <v>12274.424299628276</v>
      </c>
      <c r="M133" s="29">
        <f t="shared" si="76"/>
        <v>10228.686916356895</v>
      </c>
      <c r="N133" s="29">
        <f t="shared" si="76"/>
        <v>8523.905763630748</v>
      </c>
    </row>
    <row r="134" spans="2:14" ht="15" customHeight="1" x14ac:dyDescent="0.45">
      <c r="B134" s="185"/>
      <c r="C134" s="183"/>
      <c r="D134" s="15" t="s">
        <v>22</v>
      </c>
      <c r="E134" s="29"/>
      <c r="F134" s="29"/>
      <c r="G134" s="29"/>
      <c r="H134" s="29"/>
      <c r="I134" s="30">
        <f>AVERAGE(E133:I133)</f>
        <v>31567.572588020121</v>
      </c>
      <c r="J134" s="29"/>
      <c r="K134" s="29"/>
      <c r="L134" s="29"/>
      <c r="M134" s="29"/>
      <c r="N134" s="29">
        <f>AVERAGE(E133:N133)</f>
        <v>22126.93600707352</v>
      </c>
    </row>
    <row r="135" spans="2:14" ht="15" customHeight="1" x14ac:dyDescent="0.45">
      <c r="B135" s="186"/>
      <c r="C135" s="183"/>
      <c r="D135" s="15" t="s">
        <v>41</v>
      </c>
      <c r="E135" s="29">
        <f t="shared" ref="E135:N135" si="77">E$54/10*$C133/(2+$E$11)</f>
        <v>43981.481481481482</v>
      </c>
      <c r="F135" s="29">
        <f t="shared" si="77"/>
        <v>80632.71604938271</v>
      </c>
      <c r="G135" s="29">
        <f t="shared" si="77"/>
        <v>111175.41152263377</v>
      </c>
      <c r="H135" s="29">
        <f t="shared" si="77"/>
        <v>136627.65775034289</v>
      </c>
      <c r="I135" s="30">
        <f t="shared" si="77"/>
        <v>157837.8629401006</v>
      </c>
      <c r="J135" s="29">
        <f t="shared" si="77"/>
        <v>175513.03393156512</v>
      </c>
      <c r="K135" s="29">
        <f t="shared" si="77"/>
        <v>190242.34309111928</v>
      </c>
      <c r="L135" s="29">
        <f t="shared" si="77"/>
        <v>202516.76739074761</v>
      </c>
      <c r="M135" s="29">
        <f t="shared" si="77"/>
        <v>212745.45430710478</v>
      </c>
      <c r="N135" s="29">
        <f t="shared" si="77"/>
        <v>221269.36007073487</v>
      </c>
    </row>
    <row r="136" spans="2:14" ht="15" customHeight="1" x14ac:dyDescent="0.45">
      <c r="B136" s="3"/>
      <c r="C136" s="1"/>
      <c r="D136" s="40"/>
      <c r="E136" s="10"/>
      <c r="F136" s="10"/>
      <c r="G136" s="10"/>
      <c r="H136" s="10"/>
      <c r="I136" s="10"/>
      <c r="J136" s="10"/>
      <c r="K136" s="10"/>
      <c r="L136" s="10"/>
      <c r="M136" s="10"/>
      <c r="N136" s="10"/>
    </row>
  </sheetData>
  <mergeCells count="105">
    <mergeCell ref="B13:B14"/>
    <mergeCell ref="C13:C14"/>
    <mergeCell ref="D13:D14"/>
    <mergeCell ref="E13:E14"/>
    <mergeCell ref="F13:F14"/>
    <mergeCell ref="G13:G14"/>
    <mergeCell ref="H13:H14"/>
    <mergeCell ref="I13:I14"/>
    <mergeCell ref="J13:J14"/>
    <mergeCell ref="K13:K14"/>
    <mergeCell ref="L13:L14"/>
    <mergeCell ref="M13:M14"/>
    <mergeCell ref="N13:N14"/>
    <mergeCell ref="B64:B65"/>
    <mergeCell ref="C64:C65"/>
    <mergeCell ref="D64:D65"/>
    <mergeCell ref="E64:E65"/>
    <mergeCell ref="F64:F65"/>
    <mergeCell ref="G32:G33"/>
    <mergeCell ref="H32:H33"/>
    <mergeCell ref="I32:I33"/>
    <mergeCell ref="J32:J33"/>
    <mergeCell ref="K32:K33"/>
    <mergeCell ref="L32:L33"/>
    <mergeCell ref="M32:M33"/>
    <mergeCell ref="N32:N33"/>
    <mergeCell ref="B34:B46"/>
    <mergeCell ref="C34:C38"/>
    <mergeCell ref="C39:C41"/>
    <mergeCell ref="C42:C46"/>
    <mergeCell ref="B48:B49"/>
    <mergeCell ref="C48:C49"/>
    <mergeCell ref="D48:D49"/>
    <mergeCell ref="D2:E3"/>
    <mergeCell ref="G2:I3"/>
    <mergeCell ref="K2:N2"/>
    <mergeCell ref="B2:C11"/>
    <mergeCell ref="B94:B108"/>
    <mergeCell ref="C94:C98"/>
    <mergeCell ref="C99:C103"/>
    <mergeCell ref="C104:C108"/>
    <mergeCell ref="B109:B123"/>
    <mergeCell ref="C109:C113"/>
    <mergeCell ref="C114:C118"/>
    <mergeCell ref="B15:B16"/>
    <mergeCell ref="C15:C16"/>
    <mergeCell ref="B25:B27"/>
    <mergeCell ref="C25:C27"/>
    <mergeCell ref="B17:B24"/>
    <mergeCell ref="C17:C24"/>
    <mergeCell ref="B28:B30"/>
    <mergeCell ref="C28:C30"/>
    <mergeCell ref="B32:B33"/>
    <mergeCell ref="C32:C33"/>
    <mergeCell ref="D32:D33"/>
    <mergeCell ref="E32:E33"/>
    <mergeCell ref="F32:F33"/>
    <mergeCell ref="N48:N49"/>
    <mergeCell ref="B50:B62"/>
    <mergeCell ref="C50:C54"/>
    <mergeCell ref="C55:C57"/>
    <mergeCell ref="C58:C62"/>
    <mergeCell ref="G64:G65"/>
    <mergeCell ref="H64:H65"/>
    <mergeCell ref="I64:I65"/>
    <mergeCell ref="J64:J65"/>
    <mergeCell ref="K64:K65"/>
    <mergeCell ref="L64:L65"/>
    <mergeCell ref="M64:M65"/>
    <mergeCell ref="N64:N65"/>
    <mergeCell ref="E48:E49"/>
    <mergeCell ref="F48:F49"/>
    <mergeCell ref="G48:G49"/>
    <mergeCell ref="H48:H49"/>
    <mergeCell ref="I48:I49"/>
    <mergeCell ref="J48:J49"/>
    <mergeCell ref="K48:K49"/>
    <mergeCell ref="L48:L49"/>
    <mergeCell ref="M48:M49"/>
    <mergeCell ref="B66:B78"/>
    <mergeCell ref="C66:C70"/>
    <mergeCell ref="C71:C73"/>
    <mergeCell ref="C74:C78"/>
    <mergeCell ref="B79:B93"/>
    <mergeCell ref="C79:C83"/>
    <mergeCell ref="C84:C88"/>
    <mergeCell ref="C89:C93"/>
    <mergeCell ref="C119:C123"/>
    <mergeCell ref="K125:K126"/>
    <mergeCell ref="L125:L126"/>
    <mergeCell ref="M125:M126"/>
    <mergeCell ref="N125:N126"/>
    <mergeCell ref="B127:B135"/>
    <mergeCell ref="C127:C129"/>
    <mergeCell ref="C130:C132"/>
    <mergeCell ref="C133:C135"/>
    <mergeCell ref="B125:B126"/>
    <mergeCell ref="C125:C126"/>
    <mergeCell ref="D125:D126"/>
    <mergeCell ref="E125:E126"/>
    <mergeCell ref="F125:F126"/>
    <mergeCell ref="G125:G126"/>
    <mergeCell ref="H125:H126"/>
    <mergeCell ref="I125:I126"/>
    <mergeCell ref="J125:J126"/>
  </mergeCells>
  <pageMargins left="0.7" right="0.7" top="0.75" bottom="0.75" header="0.3" footer="0.3"/>
  <pageSetup orientation="portrait" r:id="rId1"/>
  <headerFooter>
    <oddHeader>&amp;R&amp;"Aptos"&amp;12&amp;K000000 Unclassified / Non classifié&amp;1#_x000D_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45B2B-E67F-4538-AC77-BD4C4A24D2AE}">
  <dimension ref="A1:P136"/>
  <sheetViews>
    <sheetView topLeftCell="A3" zoomScaleNormal="100" workbookViewId="0">
      <selection activeCell="E50" sqref="E5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10.398437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6" width="1.73046875" style="4" customWidth="1"/>
    <col min="17" max="16384" width="9" style="2"/>
  </cols>
  <sheetData>
    <row r="1" spans="1:16" ht="15" customHeight="1" x14ac:dyDescent="0.45">
      <c r="A1" s="8"/>
      <c r="B1" s="8"/>
      <c r="C1" s="8"/>
      <c r="D1" s="8"/>
      <c r="E1" s="8"/>
      <c r="F1" s="8"/>
      <c r="G1" s="8"/>
      <c r="H1" s="8"/>
      <c r="I1" s="8"/>
      <c r="J1" s="8"/>
      <c r="K1" s="61"/>
      <c r="L1" s="61"/>
      <c r="M1" s="61"/>
      <c r="N1" s="61"/>
      <c r="O1" s="8"/>
    </row>
    <row r="2" spans="1:16" ht="58.5" customHeight="1" x14ac:dyDescent="0.45">
      <c r="A2" s="8"/>
      <c r="B2" s="205" t="s">
        <v>110</v>
      </c>
      <c r="C2" s="206"/>
      <c r="D2" s="211" t="s">
        <v>135</v>
      </c>
      <c r="E2" s="212"/>
      <c r="F2" s="8"/>
      <c r="G2" s="214" t="s">
        <v>121</v>
      </c>
      <c r="H2" s="211"/>
      <c r="I2" s="211"/>
      <c r="J2" s="4"/>
      <c r="K2" s="217" t="s">
        <v>113</v>
      </c>
      <c r="L2" s="217"/>
      <c r="M2" s="217"/>
      <c r="N2" s="217"/>
      <c r="O2" s="8"/>
    </row>
    <row r="3" spans="1:16" ht="14.25" x14ac:dyDescent="0.45">
      <c r="A3" s="8"/>
      <c r="B3" s="207"/>
      <c r="C3" s="208"/>
      <c r="D3" s="210"/>
      <c r="E3" s="213"/>
      <c r="F3" s="8"/>
      <c r="G3" s="215"/>
      <c r="H3" s="216"/>
      <c r="I3" s="216"/>
      <c r="J3" s="4"/>
      <c r="K3" s="62" t="s">
        <v>53</v>
      </c>
      <c r="L3" s="62" t="s">
        <v>51</v>
      </c>
      <c r="M3" s="62" t="s">
        <v>32</v>
      </c>
      <c r="N3" s="62" t="s">
        <v>33</v>
      </c>
      <c r="O3" s="8"/>
      <c r="P3" s="9"/>
    </row>
    <row r="4" spans="1:16" ht="14.25" customHeight="1" x14ac:dyDescent="0.45">
      <c r="A4" s="9"/>
      <c r="B4" s="207"/>
      <c r="C4" s="208"/>
      <c r="D4" s="32" t="s">
        <v>2</v>
      </c>
      <c r="E4" s="33">
        <v>100000</v>
      </c>
      <c r="F4" s="9"/>
      <c r="G4" s="74" t="s">
        <v>34</v>
      </c>
      <c r="H4" s="73" t="s">
        <v>39</v>
      </c>
      <c r="I4" s="41">
        <f>I43</f>
        <v>0.17115680000000005</v>
      </c>
      <c r="J4" s="9"/>
      <c r="K4" s="66">
        <f>C127</f>
        <v>20000</v>
      </c>
      <c r="L4" s="67" t="s">
        <v>40</v>
      </c>
      <c r="M4" s="42">
        <f>I128</f>
        <v>657.93467078189292</v>
      </c>
      <c r="N4" s="63">
        <f t="shared" ref="N4:N9" si="0">M4*$I$15</f>
        <v>163715199.99999997</v>
      </c>
      <c r="O4" s="9"/>
      <c r="P4" s="9"/>
    </row>
    <row r="5" spans="1:16" ht="14.25" customHeight="1" x14ac:dyDescent="0.45">
      <c r="A5" s="37"/>
      <c r="B5" s="207"/>
      <c r="C5" s="208"/>
      <c r="D5" s="18" t="s">
        <v>123</v>
      </c>
      <c r="E5" s="35">
        <f>SUMMARY!H5</f>
        <v>0.2</v>
      </c>
      <c r="F5" s="37"/>
      <c r="G5" s="45" t="s">
        <v>37</v>
      </c>
      <c r="H5" s="64" t="s">
        <v>39</v>
      </c>
      <c r="I5" s="79">
        <f>I67</f>
        <v>0.4784979423868313</v>
      </c>
      <c r="J5" s="37"/>
      <c r="K5" s="66">
        <f>C127</f>
        <v>20000</v>
      </c>
      <c r="L5" s="65" t="s">
        <v>41</v>
      </c>
      <c r="M5" s="42">
        <f>I129</f>
        <v>3289.6733539094653</v>
      </c>
      <c r="N5" s="63">
        <f t="shared" si="0"/>
        <v>818576000.00000012</v>
      </c>
      <c r="O5" s="37"/>
      <c r="P5" s="37"/>
    </row>
    <row r="6" spans="1:16" ht="14.25" customHeight="1" x14ac:dyDescent="0.45">
      <c r="A6" s="37"/>
      <c r="B6" s="207"/>
      <c r="C6" s="208"/>
      <c r="D6" s="18" t="s">
        <v>136</v>
      </c>
      <c r="E6" s="34">
        <f>SUMMARY!L5</f>
        <v>0.02</v>
      </c>
      <c r="F6" s="37"/>
      <c r="G6" s="45" t="s">
        <v>120</v>
      </c>
      <c r="H6" s="64" t="s">
        <v>39</v>
      </c>
      <c r="I6" s="79">
        <f>I80</f>
        <v>9.196244855967077E-2</v>
      </c>
      <c r="J6" s="37"/>
      <c r="K6" s="66">
        <f>C130</f>
        <v>400000</v>
      </c>
      <c r="L6" s="67" t="s">
        <v>40</v>
      </c>
      <c r="M6" s="42">
        <f>I131</f>
        <v>13158.693415637859</v>
      </c>
      <c r="N6" s="63">
        <f t="shared" si="0"/>
        <v>3274304000</v>
      </c>
      <c r="O6" s="37"/>
      <c r="P6" s="37"/>
    </row>
    <row r="7" spans="1:16" ht="14.25" customHeight="1" x14ac:dyDescent="0.45">
      <c r="A7" s="37"/>
      <c r="B7" s="207"/>
      <c r="C7" s="208"/>
      <c r="D7" s="18" t="s">
        <v>122</v>
      </c>
      <c r="E7" s="34">
        <f>SUMMARY!P5</f>
        <v>0.01</v>
      </c>
      <c r="F7" s="37"/>
      <c r="G7" s="45" t="s">
        <v>57</v>
      </c>
      <c r="H7" s="64" t="s">
        <v>39</v>
      </c>
      <c r="I7" s="79">
        <f>I95</f>
        <v>4.5981224279835385E-2</v>
      </c>
      <c r="J7" s="37"/>
      <c r="K7" s="66">
        <f>C130</f>
        <v>400000</v>
      </c>
      <c r="L7" s="65" t="s">
        <v>41</v>
      </c>
      <c r="M7" s="42">
        <f>I132</f>
        <v>65793.467078189307</v>
      </c>
      <c r="N7" s="63">
        <f t="shared" si="0"/>
        <v>16371520000.000002</v>
      </c>
      <c r="O7" s="37"/>
      <c r="P7" s="37"/>
    </row>
    <row r="8" spans="1:16" ht="14.25" customHeight="1" x14ac:dyDescent="0.45">
      <c r="A8" s="9"/>
      <c r="B8" s="207"/>
      <c r="C8" s="208"/>
      <c r="D8" s="32" t="s">
        <v>130</v>
      </c>
      <c r="E8" s="36">
        <f>SUMMARY!H8</f>
        <v>0.115</v>
      </c>
      <c r="F8" s="9"/>
      <c r="G8" s="45" t="s">
        <v>118</v>
      </c>
      <c r="H8" s="64" t="s">
        <v>39</v>
      </c>
      <c r="I8" s="79">
        <f>-I35</f>
        <v>-6.8784079218107003E-2</v>
      </c>
      <c r="J8" s="9"/>
      <c r="K8" s="75">
        <f>C133</f>
        <v>1000000</v>
      </c>
      <c r="L8" s="76" t="s">
        <v>40</v>
      </c>
      <c r="M8" s="42">
        <f>I134</f>
        <v>32896.733539094639</v>
      </c>
      <c r="N8" s="63">
        <f t="shared" si="0"/>
        <v>8185759999.9999971</v>
      </c>
      <c r="O8" s="9"/>
      <c r="P8" s="9"/>
    </row>
    <row r="9" spans="1:16" ht="14.25" customHeight="1" x14ac:dyDescent="0.45">
      <c r="A9" s="9"/>
      <c r="B9" s="207"/>
      <c r="C9" s="208"/>
      <c r="D9" s="32" t="s">
        <v>131</v>
      </c>
      <c r="E9" s="36">
        <f>SUMMARY!P8</f>
        <v>0.05</v>
      </c>
      <c r="F9" s="9"/>
      <c r="G9" s="45" t="s">
        <v>117</v>
      </c>
      <c r="H9" s="64" t="s">
        <v>39</v>
      </c>
      <c r="I9" s="79">
        <f>-I51</f>
        <v>-0.16448366769547323</v>
      </c>
      <c r="J9" s="9"/>
      <c r="K9" s="75">
        <f>C133</f>
        <v>1000000</v>
      </c>
      <c r="L9" s="77" t="s">
        <v>41</v>
      </c>
      <c r="M9" s="42">
        <f>I135</f>
        <v>164483.66769547327</v>
      </c>
      <c r="N9" s="63">
        <f t="shared" si="0"/>
        <v>40928800000.000008</v>
      </c>
      <c r="O9" s="9"/>
      <c r="P9" s="9"/>
    </row>
    <row r="10" spans="1:16" ht="14.25" customHeight="1" x14ac:dyDescent="0.45">
      <c r="A10" s="9"/>
      <c r="B10" s="207"/>
      <c r="C10" s="208"/>
      <c r="D10" s="32" t="s">
        <v>132</v>
      </c>
      <c r="E10" s="36">
        <f>SUMMARY!L8</f>
        <v>7.4999999999999997E-2</v>
      </c>
      <c r="F10" s="9"/>
      <c r="G10" s="72" t="s">
        <v>38</v>
      </c>
      <c r="H10" s="73" t="s">
        <v>39</v>
      </c>
      <c r="I10" s="41">
        <f>I110</f>
        <v>0.38317386831275718</v>
      </c>
      <c r="J10" s="8"/>
      <c r="K10" s="10"/>
      <c r="L10" s="10"/>
      <c r="M10" s="3"/>
      <c r="N10" s="8"/>
      <c r="O10" s="9"/>
      <c r="P10" s="9"/>
    </row>
    <row r="11" spans="1:16" ht="15" customHeight="1" x14ac:dyDescent="0.45">
      <c r="A11" s="9"/>
      <c r="B11" s="207"/>
      <c r="C11" s="208"/>
      <c r="D11" s="32" t="s">
        <v>133</v>
      </c>
      <c r="E11" s="36">
        <f>SUMMARY!R12</f>
        <v>3</v>
      </c>
      <c r="F11" s="3"/>
      <c r="G11" s="10"/>
      <c r="H11" s="10"/>
      <c r="I11" s="3"/>
      <c r="J11" s="8"/>
      <c r="K11" s="8"/>
      <c r="L11" s="8"/>
      <c r="M11" s="8"/>
      <c r="N11" s="8"/>
      <c r="O11" s="9"/>
      <c r="P11" s="9"/>
    </row>
    <row r="12" spans="1:16" ht="14.25" x14ac:dyDescent="0.45">
      <c r="A12" s="8"/>
      <c r="B12" s="10"/>
      <c r="C12" s="8"/>
      <c r="D12" s="10"/>
      <c r="E12" s="3"/>
      <c r="F12" s="3"/>
      <c r="G12" s="10"/>
      <c r="H12" s="10"/>
      <c r="I12" s="3"/>
      <c r="J12" s="8"/>
      <c r="K12" s="8"/>
      <c r="L12" s="8"/>
      <c r="M12" s="8"/>
      <c r="N12" s="8"/>
      <c r="O12" s="8"/>
      <c r="P12" s="8"/>
    </row>
    <row r="13" spans="1:16" ht="14.25" x14ac:dyDescent="0.45">
      <c r="B13" s="209" t="s">
        <v>52</v>
      </c>
      <c r="C13" s="209" t="s">
        <v>50</v>
      </c>
      <c r="D13" s="209" t="s">
        <v>51</v>
      </c>
      <c r="E13" s="174" t="s">
        <v>3</v>
      </c>
      <c r="F13" s="174" t="s">
        <v>4</v>
      </c>
      <c r="G13" s="174" t="s">
        <v>5</v>
      </c>
      <c r="H13" s="174" t="s">
        <v>6</v>
      </c>
      <c r="I13" s="174" t="s">
        <v>7</v>
      </c>
      <c r="J13" s="174" t="s">
        <v>8</v>
      </c>
      <c r="K13" s="174" t="s">
        <v>9</v>
      </c>
      <c r="L13" s="174" t="s">
        <v>10</v>
      </c>
      <c r="M13" s="174" t="s">
        <v>11</v>
      </c>
      <c r="N13" s="174" t="s">
        <v>12</v>
      </c>
    </row>
    <row r="14" spans="1:16" ht="14.25" x14ac:dyDescent="0.45">
      <c r="B14" s="210"/>
      <c r="C14" s="210"/>
      <c r="D14" s="210"/>
      <c r="E14" s="175"/>
      <c r="F14" s="175"/>
      <c r="G14" s="175"/>
      <c r="H14" s="175"/>
      <c r="I14" s="175"/>
      <c r="J14" s="175"/>
      <c r="K14" s="175"/>
      <c r="L14" s="175"/>
      <c r="M14" s="175"/>
      <c r="N14" s="175"/>
    </row>
    <row r="15" spans="1:16" ht="14.25" x14ac:dyDescent="0.45">
      <c r="B15" s="184" t="s">
        <v>20</v>
      </c>
      <c r="C15" s="184" t="s">
        <v>33</v>
      </c>
      <c r="D15" s="19" t="s">
        <v>48</v>
      </c>
      <c r="E15" s="21">
        <f>($E$4 * $E$5) + $E$4</f>
        <v>120000</v>
      </c>
      <c r="F15" s="21">
        <f t="shared" ref="F15:N15" si="1">(E15 * $E$5) + E15</f>
        <v>144000</v>
      </c>
      <c r="G15" s="21">
        <f t="shared" si="1"/>
        <v>172800</v>
      </c>
      <c r="H15" s="21">
        <f t="shared" si="1"/>
        <v>207360</v>
      </c>
      <c r="I15" s="21">
        <f t="shared" si="1"/>
        <v>248832</v>
      </c>
      <c r="J15" s="21">
        <f t="shared" si="1"/>
        <v>298598.40000000002</v>
      </c>
      <c r="K15" s="21">
        <f t="shared" si="1"/>
        <v>358318.08000000002</v>
      </c>
      <c r="L15" s="21">
        <f t="shared" si="1"/>
        <v>429981.696</v>
      </c>
      <c r="M15" s="21">
        <f t="shared" si="1"/>
        <v>515978.03519999998</v>
      </c>
      <c r="N15" s="21">
        <f t="shared" si="1"/>
        <v>619173.64223999996</v>
      </c>
    </row>
    <row r="16" spans="1:16" ht="14.25" x14ac:dyDescent="0.45">
      <c r="B16" s="186"/>
      <c r="C16" s="186"/>
      <c r="D16" s="19" t="s">
        <v>49</v>
      </c>
      <c r="E16" s="25">
        <f>E15*21000000</f>
        <v>2520000000000</v>
      </c>
      <c r="F16" s="25">
        <f t="shared" ref="F16:N16" si="2">F15*21000000</f>
        <v>3024000000000</v>
      </c>
      <c r="G16" s="25">
        <f t="shared" si="2"/>
        <v>3628800000000</v>
      </c>
      <c r="H16" s="25">
        <f t="shared" si="2"/>
        <v>4354560000000</v>
      </c>
      <c r="I16" s="25">
        <f t="shared" si="2"/>
        <v>5225472000000</v>
      </c>
      <c r="J16" s="25">
        <f t="shared" si="2"/>
        <v>6270566400000.001</v>
      </c>
      <c r="K16" s="25">
        <f t="shared" si="2"/>
        <v>7524679680000</v>
      </c>
      <c r="L16" s="25">
        <f t="shared" si="2"/>
        <v>9029615616000</v>
      </c>
      <c r="M16" s="25">
        <f t="shared" si="2"/>
        <v>10835538739200</v>
      </c>
      <c r="N16" s="25">
        <f t="shared" si="2"/>
        <v>13002646487040</v>
      </c>
    </row>
    <row r="17" spans="1:16" ht="14.25" x14ac:dyDescent="0.45">
      <c r="B17" s="184" t="s">
        <v>16</v>
      </c>
      <c r="C17" s="202" t="s">
        <v>32</v>
      </c>
      <c r="D17" s="19" t="s">
        <v>124</v>
      </c>
      <c r="E17" s="26">
        <f>(E15-$E4)/E15</f>
        <v>0.16666666666666666</v>
      </c>
      <c r="F17" s="26">
        <f t="shared" ref="F17:N17" si="3">(F15-$E4)/F15</f>
        <v>0.30555555555555558</v>
      </c>
      <c r="G17" s="26">
        <f t="shared" si="3"/>
        <v>0.42129629629629628</v>
      </c>
      <c r="H17" s="26">
        <f t="shared" si="3"/>
        <v>0.51774691358024694</v>
      </c>
      <c r="I17" s="26">
        <f t="shared" si="3"/>
        <v>0.5981224279835391</v>
      </c>
      <c r="J17" s="26">
        <f t="shared" si="3"/>
        <v>0.66510202331961599</v>
      </c>
      <c r="K17" s="26">
        <f t="shared" si="3"/>
        <v>0.72091835276634664</v>
      </c>
      <c r="L17" s="26">
        <f t="shared" si="3"/>
        <v>0.76743196063862218</v>
      </c>
      <c r="M17" s="26">
        <f t="shared" si="3"/>
        <v>0.80619330053218508</v>
      </c>
      <c r="N17" s="26">
        <f t="shared" si="3"/>
        <v>0.83849441711015427</v>
      </c>
    </row>
    <row r="18" spans="1:16" ht="14.25" x14ac:dyDescent="0.45">
      <c r="B18" s="185"/>
      <c r="C18" s="203"/>
      <c r="D18" s="19" t="s">
        <v>125</v>
      </c>
      <c r="E18" s="26">
        <f>1-E17</f>
        <v>0.83333333333333337</v>
      </c>
      <c r="F18" s="26">
        <f t="shared" ref="F18:N18" si="4">1-F17</f>
        <v>0.69444444444444442</v>
      </c>
      <c r="G18" s="26">
        <f t="shared" si="4"/>
        <v>0.57870370370370372</v>
      </c>
      <c r="H18" s="26">
        <f t="shared" si="4"/>
        <v>0.48225308641975306</v>
      </c>
      <c r="I18" s="26">
        <f t="shared" si="4"/>
        <v>0.4018775720164609</v>
      </c>
      <c r="J18" s="26">
        <f t="shared" si="4"/>
        <v>0.33489797668038401</v>
      </c>
      <c r="K18" s="26">
        <f t="shared" si="4"/>
        <v>0.27908164723365336</v>
      </c>
      <c r="L18" s="26">
        <f t="shared" si="4"/>
        <v>0.23256803936137782</v>
      </c>
      <c r="M18" s="26">
        <f t="shared" si="4"/>
        <v>0.19380669946781492</v>
      </c>
      <c r="N18" s="26">
        <f t="shared" si="4"/>
        <v>0.16150558288984573</v>
      </c>
    </row>
    <row r="19" spans="1:16" ht="14.25" x14ac:dyDescent="0.45">
      <c r="B19" s="185"/>
      <c r="C19" s="203"/>
      <c r="D19" s="19" t="s">
        <v>126</v>
      </c>
      <c r="E19" s="78">
        <f>E17</f>
        <v>0.16666666666666666</v>
      </c>
      <c r="F19" s="78">
        <f t="shared" ref="F19:N19" si="5">F17-E17</f>
        <v>0.13888888888888892</v>
      </c>
      <c r="G19" s="78">
        <f>G17-F17</f>
        <v>0.1157407407407407</v>
      </c>
      <c r="H19" s="78">
        <f t="shared" si="5"/>
        <v>9.6450617283950657E-2</v>
      </c>
      <c r="I19" s="78">
        <f t="shared" si="5"/>
        <v>8.0375514403292159E-2</v>
      </c>
      <c r="J19" s="78">
        <f>J17-I17</f>
        <v>6.6979595336076891E-2</v>
      </c>
      <c r="K19" s="78">
        <f t="shared" si="5"/>
        <v>5.581632944673065E-2</v>
      </c>
      <c r="L19" s="78">
        <f t="shared" si="5"/>
        <v>4.6513607872275542E-2</v>
      </c>
      <c r="M19" s="78">
        <f t="shared" si="5"/>
        <v>3.8761339893562896E-2</v>
      </c>
      <c r="N19" s="78">
        <f t="shared" si="5"/>
        <v>3.2301116577969191E-2</v>
      </c>
    </row>
    <row r="20" spans="1:16" ht="14.25" x14ac:dyDescent="0.45">
      <c r="B20" s="185"/>
      <c r="C20" s="203"/>
      <c r="D20" s="19" t="s">
        <v>127</v>
      </c>
      <c r="E20" s="78"/>
      <c r="F20" s="78"/>
      <c r="G20" s="78"/>
      <c r="H20" s="78"/>
      <c r="I20" s="78">
        <f>AVERAGE(E19:I19)</f>
        <v>0.11962448559670782</v>
      </c>
      <c r="J20" s="26"/>
      <c r="K20" s="26"/>
      <c r="L20" s="26"/>
      <c r="M20" s="26"/>
      <c r="N20" s="78">
        <f>AVERAGE(E19:N19)</f>
        <v>8.3849441711015424E-2</v>
      </c>
    </row>
    <row r="21" spans="1:16" ht="14.25" x14ac:dyDescent="0.45">
      <c r="B21" s="185"/>
      <c r="C21" s="203"/>
      <c r="D21" s="19" t="s">
        <v>128</v>
      </c>
      <c r="E21" s="78">
        <f>$E$11*E19</f>
        <v>0.5</v>
      </c>
      <c r="F21" s="78">
        <f t="shared" ref="F21:N21" si="6">$E$11*F19</f>
        <v>0.41666666666666674</v>
      </c>
      <c r="G21" s="78">
        <f t="shared" si="6"/>
        <v>0.3472222222222221</v>
      </c>
      <c r="H21" s="78">
        <f t="shared" si="6"/>
        <v>0.28935185185185197</v>
      </c>
      <c r="I21" s="78">
        <f t="shared" si="6"/>
        <v>0.24112654320987648</v>
      </c>
      <c r="J21" s="78">
        <f t="shared" si="6"/>
        <v>0.20093878600823067</v>
      </c>
      <c r="K21" s="78">
        <f t="shared" si="6"/>
        <v>0.16744898834019195</v>
      </c>
      <c r="L21" s="78">
        <f t="shared" si="6"/>
        <v>0.13954082361682663</v>
      </c>
      <c r="M21" s="78">
        <f t="shared" si="6"/>
        <v>0.11628401968068869</v>
      </c>
      <c r="N21" s="78">
        <f t="shared" si="6"/>
        <v>9.6903349733907573E-2</v>
      </c>
    </row>
    <row r="22" spans="1:16" ht="14.25" x14ac:dyDescent="0.45">
      <c r="B22" s="185"/>
      <c r="C22" s="203"/>
      <c r="D22" s="19" t="s">
        <v>129</v>
      </c>
      <c r="E22" s="78"/>
      <c r="F22" s="78"/>
      <c r="G22" s="78"/>
      <c r="H22" s="78"/>
      <c r="I22" s="78">
        <f>AVERAGE(E21:I21)</f>
        <v>0.3588734567901235</v>
      </c>
      <c r="J22" s="26"/>
      <c r="K22" s="26"/>
      <c r="L22" s="26"/>
      <c r="M22" s="26"/>
      <c r="N22" s="78">
        <f>AVERAGE(E21:N21)</f>
        <v>0.25154832513304626</v>
      </c>
    </row>
    <row r="23" spans="1:16" ht="14.25" x14ac:dyDescent="0.45">
      <c r="B23" s="185"/>
      <c r="C23" s="203"/>
      <c r="D23" s="15" t="s">
        <v>58</v>
      </c>
      <c r="E23" s="17">
        <f>E19+E21</f>
        <v>0.66666666666666663</v>
      </c>
      <c r="F23" s="17">
        <f t="shared" ref="F23:N23" si="7">F19+F21</f>
        <v>0.55555555555555569</v>
      </c>
      <c r="G23" s="17">
        <f t="shared" si="7"/>
        <v>0.4629629629629628</v>
      </c>
      <c r="H23" s="17">
        <f t="shared" si="7"/>
        <v>0.38580246913580263</v>
      </c>
      <c r="I23" s="17">
        <f t="shared" si="7"/>
        <v>0.32150205761316863</v>
      </c>
      <c r="J23" s="17">
        <f t="shared" si="7"/>
        <v>0.26791838134430757</v>
      </c>
      <c r="K23" s="17">
        <f t="shared" si="7"/>
        <v>0.2232653177869226</v>
      </c>
      <c r="L23" s="17">
        <f t="shared" si="7"/>
        <v>0.18605443148910217</v>
      </c>
      <c r="M23" s="17">
        <f t="shared" si="7"/>
        <v>0.15504535957425158</v>
      </c>
      <c r="N23" s="17">
        <f t="shared" si="7"/>
        <v>0.12920446631187676</v>
      </c>
    </row>
    <row r="24" spans="1:16" ht="14.25" x14ac:dyDescent="0.45">
      <c r="B24" s="186"/>
      <c r="C24" s="204"/>
      <c r="D24" s="15" t="s">
        <v>59</v>
      </c>
      <c r="E24" s="17"/>
      <c r="F24" s="17"/>
      <c r="G24" s="17"/>
      <c r="H24" s="17"/>
      <c r="I24" s="17">
        <f>AVERAGE(E23:I23)</f>
        <v>0.4784979423868313</v>
      </c>
      <c r="J24" s="16"/>
      <c r="K24" s="16"/>
      <c r="L24" s="16"/>
      <c r="M24" s="16"/>
      <c r="N24" s="17">
        <f>AVERAGE(E23:N23)</f>
        <v>0.3353977668440617</v>
      </c>
    </row>
    <row r="25" spans="1:16" ht="14.25" x14ac:dyDescent="0.45">
      <c r="B25" s="184" t="s">
        <v>137</v>
      </c>
      <c r="C25" s="202" t="s">
        <v>32</v>
      </c>
      <c r="D25" s="15" t="s">
        <v>43</v>
      </c>
      <c r="E25" s="17">
        <f>((1+$E$11)*$E$6)+($E$6*E18)</f>
        <v>9.6666666666666665E-2</v>
      </c>
      <c r="F25" s="17">
        <f t="shared" ref="F25:N25" si="8">((1+$E$11)*$E$6)+($E$6*F18)</f>
        <v>9.3888888888888883E-2</v>
      </c>
      <c r="G25" s="17">
        <f t="shared" si="8"/>
        <v>9.1574074074074072E-2</v>
      </c>
      <c r="H25" s="17">
        <f t="shared" si="8"/>
        <v>8.9645061728395065E-2</v>
      </c>
      <c r="I25" s="17">
        <f>((1+$E$11)*$E$6)+($E$6*I18)</f>
        <v>8.8037551440329223E-2</v>
      </c>
      <c r="J25" s="17">
        <f t="shared" si="8"/>
        <v>8.6697959533607677E-2</v>
      </c>
      <c r="K25" s="17">
        <f t="shared" si="8"/>
        <v>8.5581632944673067E-2</v>
      </c>
      <c r="L25" s="17">
        <f t="shared" si="8"/>
        <v>8.4651360787227556E-2</v>
      </c>
      <c r="M25" s="17">
        <f t="shared" si="8"/>
        <v>8.3876133989356297E-2</v>
      </c>
      <c r="N25" s="17">
        <f t="shared" si="8"/>
        <v>8.3230111657796924E-2</v>
      </c>
    </row>
    <row r="26" spans="1:16" ht="14.25" x14ac:dyDescent="0.45">
      <c r="B26" s="185"/>
      <c r="C26" s="203"/>
      <c r="D26" s="15" t="s">
        <v>44</v>
      </c>
      <c r="E26" s="17"/>
      <c r="F26" s="17"/>
      <c r="G26" s="17"/>
      <c r="H26" s="17"/>
      <c r="I26" s="17">
        <f>AVERAGE(E25:I25)</f>
        <v>9.196244855967077E-2</v>
      </c>
      <c r="J26" s="16"/>
      <c r="K26" s="16"/>
      <c r="L26" s="16"/>
      <c r="M26" s="16"/>
      <c r="N26" s="17">
        <f>AVERAGE(E25:N25)</f>
        <v>8.8384944171101543E-2</v>
      </c>
    </row>
    <row r="27" spans="1:16" ht="14.25" x14ac:dyDescent="0.45">
      <c r="B27" s="185"/>
      <c r="C27" s="203"/>
      <c r="D27" s="19" t="s">
        <v>42</v>
      </c>
      <c r="E27" s="78">
        <f>E25</f>
        <v>9.6666666666666665E-2</v>
      </c>
      <c r="F27" s="78">
        <f>E27+F25</f>
        <v>0.19055555555555553</v>
      </c>
      <c r="G27" s="78">
        <f>F27+G25</f>
        <v>0.28212962962962962</v>
      </c>
      <c r="H27" s="78">
        <f t="shared" ref="H27:I27" si="9">G27+H25</f>
        <v>0.37177469135802466</v>
      </c>
      <c r="I27" s="78">
        <f t="shared" si="9"/>
        <v>0.45981224279835387</v>
      </c>
      <c r="J27" s="78">
        <f>I27+J25</f>
        <v>0.54651020233196157</v>
      </c>
      <c r="K27" s="78">
        <f t="shared" ref="K27:N27" si="10">J27+K25</f>
        <v>0.63209183527663459</v>
      </c>
      <c r="L27" s="78">
        <f t="shared" si="10"/>
        <v>0.71674319606386216</v>
      </c>
      <c r="M27" s="78">
        <f t="shared" si="10"/>
        <v>0.8006193300532185</v>
      </c>
      <c r="N27" s="78">
        <f t="shared" si="10"/>
        <v>0.88384944171101543</v>
      </c>
    </row>
    <row r="28" spans="1:16" ht="14.25" x14ac:dyDescent="0.45">
      <c r="B28" s="184" t="s">
        <v>17</v>
      </c>
      <c r="C28" s="202" t="s">
        <v>32</v>
      </c>
      <c r="D28" s="15" t="s">
        <v>43</v>
      </c>
      <c r="E28" s="17">
        <f t="shared" ref="E28:N28" si="11">((1+$E$11)*$E$7)+($E$7*E18)</f>
        <v>4.8333333333333332E-2</v>
      </c>
      <c r="F28" s="17">
        <f t="shared" si="11"/>
        <v>4.6944444444444441E-2</v>
      </c>
      <c r="G28" s="17">
        <f t="shared" si="11"/>
        <v>4.5787037037037036E-2</v>
      </c>
      <c r="H28" s="17">
        <f t="shared" si="11"/>
        <v>4.4822530864197532E-2</v>
      </c>
      <c r="I28" s="17">
        <f t="shared" si="11"/>
        <v>4.4018775720164612E-2</v>
      </c>
      <c r="J28" s="17">
        <f t="shared" si="11"/>
        <v>4.3348979766803838E-2</v>
      </c>
      <c r="K28" s="17">
        <f t="shared" si="11"/>
        <v>4.2790816472336533E-2</v>
      </c>
      <c r="L28" s="17">
        <f t="shared" si="11"/>
        <v>4.2325680393613778E-2</v>
      </c>
      <c r="M28" s="17">
        <f t="shared" si="11"/>
        <v>4.1938066994678148E-2</v>
      </c>
      <c r="N28" s="17">
        <f t="shared" si="11"/>
        <v>4.1615055828898462E-2</v>
      </c>
    </row>
    <row r="29" spans="1:16" ht="15" customHeight="1" x14ac:dyDescent="0.45">
      <c r="B29" s="185"/>
      <c r="C29" s="203"/>
      <c r="D29" s="15" t="s">
        <v>44</v>
      </c>
      <c r="E29" s="17"/>
      <c r="F29" s="17"/>
      <c r="G29" s="17"/>
      <c r="H29" s="17"/>
      <c r="I29" s="17">
        <f>AVERAGE(E28:I28)</f>
        <v>4.5981224279835385E-2</v>
      </c>
      <c r="J29" s="16"/>
      <c r="K29" s="16"/>
      <c r="L29" s="16"/>
      <c r="M29" s="16"/>
      <c r="N29" s="17">
        <f>AVERAGE(E28:N28)</f>
        <v>4.4192472085550771E-2</v>
      </c>
    </row>
    <row r="30" spans="1:16" ht="14.25" x14ac:dyDescent="0.45">
      <c r="B30" s="185"/>
      <c r="C30" s="203"/>
      <c r="D30" s="19" t="s">
        <v>42</v>
      </c>
      <c r="E30" s="78">
        <f>E28</f>
        <v>4.8333333333333332E-2</v>
      </c>
      <c r="F30" s="78">
        <f t="shared" ref="F30:N30" si="12">E30+F28</f>
        <v>9.5277777777777767E-2</v>
      </c>
      <c r="G30" s="78">
        <f>F30+G28</f>
        <v>0.14106481481481481</v>
      </c>
      <c r="H30" s="78">
        <f t="shared" si="12"/>
        <v>0.18588734567901233</v>
      </c>
      <c r="I30" s="78">
        <f t="shared" si="12"/>
        <v>0.22990612139917693</v>
      </c>
      <c r="J30" s="78">
        <f>I30+J28</f>
        <v>0.27325510116598078</v>
      </c>
      <c r="K30" s="78">
        <f t="shared" si="12"/>
        <v>0.3160459176383173</v>
      </c>
      <c r="L30" s="78">
        <f t="shared" si="12"/>
        <v>0.35837159803193108</v>
      </c>
      <c r="M30" s="78">
        <f t="shared" si="12"/>
        <v>0.40030966502660925</v>
      </c>
      <c r="N30" s="78">
        <f t="shared" si="12"/>
        <v>0.44192472085550771</v>
      </c>
    </row>
    <row r="31" spans="1:16" ht="14.25" x14ac:dyDescent="0.45">
      <c r="B31" s="3"/>
      <c r="C31" s="1"/>
      <c r="D31" s="43"/>
      <c r="E31" s="31"/>
      <c r="F31" s="31"/>
      <c r="G31" s="31"/>
      <c r="H31" s="31"/>
      <c r="I31" s="31"/>
      <c r="J31" s="31"/>
      <c r="K31" s="31"/>
      <c r="L31" s="31"/>
      <c r="M31" s="31"/>
      <c r="N31" s="31"/>
    </row>
    <row r="32" spans="1:16" ht="14.25" x14ac:dyDescent="0.45">
      <c r="A32" s="8"/>
      <c r="B32" s="194" t="s">
        <v>114</v>
      </c>
      <c r="C32" s="196" t="s">
        <v>21</v>
      </c>
      <c r="D32" s="198" t="str">
        <f>"10 BTC / "&amp;TEXT($E$4*10, "$###0.00,,")&amp;"M USD"</f>
        <v>10 BTC / $1.00M USD</v>
      </c>
      <c r="E32" s="174" t="s">
        <v>3</v>
      </c>
      <c r="F32" s="174" t="s">
        <v>4</v>
      </c>
      <c r="G32" s="174" t="s">
        <v>5</v>
      </c>
      <c r="H32" s="174" t="s">
        <v>6</v>
      </c>
      <c r="I32" s="174" t="s">
        <v>7</v>
      </c>
      <c r="J32" s="174" t="s">
        <v>8</v>
      </c>
      <c r="K32" s="174" t="s">
        <v>9</v>
      </c>
      <c r="L32" s="174" t="s">
        <v>10</v>
      </c>
      <c r="M32" s="174" t="s">
        <v>11</v>
      </c>
      <c r="N32" s="174" t="s">
        <v>12</v>
      </c>
      <c r="O32" s="8"/>
      <c r="P32" s="8"/>
    </row>
    <row r="33" spans="2:14" ht="14.25" x14ac:dyDescent="0.45">
      <c r="B33" s="195"/>
      <c r="C33" s="197"/>
      <c r="D33" s="199"/>
      <c r="E33" s="175"/>
      <c r="F33" s="175"/>
      <c r="G33" s="175"/>
      <c r="H33" s="175"/>
      <c r="I33" s="175"/>
      <c r="J33" s="175"/>
      <c r="K33" s="175"/>
      <c r="L33" s="175"/>
      <c r="M33" s="175"/>
      <c r="N33" s="175"/>
    </row>
    <row r="34" spans="2:14" ht="14.25" x14ac:dyDescent="0.45">
      <c r="B34" s="184" t="s">
        <v>137</v>
      </c>
      <c r="C34" s="192" t="s">
        <v>32</v>
      </c>
      <c r="D34" s="15" t="s">
        <v>58</v>
      </c>
      <c r="E34" s="16">
        <f>E39*$E$4/E$15</f>
        <v>9.583333333333334E-2</v>
      </c>
      <c r="F34" s="16">
        <f t="shared" ref="F34:N34" si="13">F39*$E$4/F$15</f>
        <v>7.9861111111111105E-2</v>
      </c>
      <c r="G34" s="16">
        <f t="shared" si="13"/>
        <v>6.655092592592593E-2</v>
      </c>
      <c r="H34" s="16">
        <f t="shared" si="13"/>
        <v>5.5459104938271608E-2</v>
      </c>
      <c r="I34" s="16">
        <f t="shared" si="13"/>
        <v>4.6215920781893002E-2</v>
      </c>
      <c r="J34" s="16">
        <f t="shared" si="13"/>
        <v>3.8513267318244164E-2</v>
      </c>
      <c r="K34" s="16">
        <f t="shared" si="13"/>
        <v>3.2094389431870138E-2</v>
      </c>
      <c r="L34" s="16">
        <f t="shared" si="13"/>
        <v>2.674532452655845E-2</v>
      </c>
      <c r="M34" s="16">
        <f t="shared" si="13"/>
        <v>2.2287770438798711E-2</v>
      </c>
      <c r="N34" s="16">
        <f t="shared" si="13"/>
        <v>1.8573142032332259E-2</v>
      </c>
    </row>
    <row r="35" spans="2:14" ht="14.25" x14ac:dyDescent="0.45">
      <c r="B35" s="185"/>
      <c r="C35" s="192"/>
      <c r="D35" s="15" t="s">
        <v>59</v>
      </c>
      <c r="E35" s="16"/>
      <c r="F35" s="16"/>
      <c r="G35" s="16"/>
      <c r="H35" s="16"/>
      <c r="I35" s="80">
        <f>AVERAGE(E34:I34)</f>
        <v>6.8784079218107003E-2</v>
      </c>
      <c r="J35" s="16"/>
      <c r="K35" s="16"/>
      <c r="L35" s="16"/>
      <c r="M35" s="16"/>
      <c r="N35" s="17">
        <f>AVERAGE(E34:N34)</f>
        <v>4.8213428983833864E-2</v>
      </c>
    </row>
    <row r="36" spans="2:14" ht="14.25" x14ac:dyDescent="0.45">
      <c r="B36" s="185"/>
      <c r="C36" s="192"/>
      <c r="D36" s="15" t="s">
        <v>42</v>
      </c>
      <c r="E36" s="16">
        <f t="shared" ref="E36:N36" si="14">E$17*(E34/E$19)</f>
        <v>9.583333333333334E-2</v>
      </c>
      <c r="F36" s="16">
        <f t="shared" si="14"/>
        <v>0.1756944444444444</v>
      </c>
      <c r="G36" s="16">
        <f>G$17*(G34/G$19)</f>
        <v>0.24224537037037047</v>
      </c>
      <c r="H36" s="16">
        <f>H$17*(H34/H$19)</f>
        <v>0.29770447530864191</v>
      </c>
      <c r="I36" s="16">
        <f>I$17*(I34/I$19)</f>
        <v>0.3439203960905351</v>
      </c>
      <c r="J36" s="16">
        <f t="shared" si="14"/>
        <v>0.38243366340877871</v>
      </c>
      <c r="K36" s="16">
        <f t="shared" si="14"/>
        <v>0.41452805284064953</v>
      </c>
      <c r="L36" s="16">
        <f t="shared" si="14"/>
        <v>0.44127337736720795</v>
      </c>
      <c r="M36" s="16">
        <f t="shared" si="14"/>
        <v>0.46356114780600738</v>
      </c>
      <c r="N36" s="16">
        <f t="shared" si="14"/>
        <v>0.482134289838338</v>
      </c>
    </row>
    <row r="37" spans="2:14" ht="14.25" customHeight="1" x14ac:dyDescent="0.45">
      <c r="B37" s="185"/>
      <c r="C37" s="193"/>
      <c r="D37" s="19" t="s">
        <v>45</v>
      </c>
      <c r="E37" s="20">
        <f t="shared" ref="E37:N37" si="15">10*E34</f>
        <v>0.95833333333333337</v>
      </c>
      <c r="F37" s="20">
        <f t="shared" si="15"/>
        <v>0.79861111111111105</v>
      </c>
      <c r="G37" s="20">
        <f t="shared" si="15"/>
        <v>0.6655092592592593</v>
      </c>
      <c r="H37" s="20">
        <f t="shared" si="15"/>
        <v>0.55459104938271608</v>
      </c>
      <c r="I37" s="20">
        <f t="shared" si="15"/>
        <v>0.46215920781893005</v>
      </c>
      <c r="J37" s="20">
        <f t="shared" si="15"/>
        <v>0.38513267318244165</v>
      </c>
      <c r="K37" s="20">
        <f t="shared" si="15"/>
        <v>0.32094389431870141</v>
      </c>
      <c r="L37" s="20">
        <f t="shared" si="15"/>
        <v>0.2674532452655845</v>
      </c>
      <c r="M37" s="20">
        <f t="shared" si="15"/>
        <v>0.2228777043879871</v>
      </c>
      <c r="N37" s="20">
        <f t="shared" si="15"/>
        <v>0.1857314203233226</v>
      </c>
    </row>
    <row r="38" spans="2:14" ht="14.25" x14ac:dyDescent="0.45">
      <c r="B38" s="185"/>
      <c r="C38" s="193"/>
      <c r="D38" s="19" t="s">
        <v>46</v>
      </c>
      <c r="E38" s="20">
        <f>10*E36</f>
        <v>0.95833333333333337</v>
      </c>
      <c r="F38" s="20">
        <f>10*F36</f>
        <v>1.756944444444444</v>
      </c>
      <c r="G38" s="20">
        <f>10*G36</f>
        <v>2.4224537037037046</v>
      </c>
      <c r="H38" s="20">
        <f t="shared" ref="H38:N38" si="16">10*H36</f>
        <v>2.9770447530864192</v>
      </c>
      <c r="I38" s="20">
        <f t="shared" si="16"/>
        <v>3.4392039609053509</v>
      </c>
      <c r="J38" s="20">
        <f t="shared" si="16"/>
        <v>3.8243366340877873</v>
      </c>
      <c r="K38" s="20">
        <f t="shared" si="16"/>
        <v>4.1452805284064951</v>
      </c>
      <c r="L38" s="20">
        <f t="shared" si="16"/>
        <v>4.4127337736720795</v>
      </c>
      <c r="M38" s="20">
        <f t="shared" si="16"/>
        <v>4.6356114780600741</v>
      </c>
      <c r="N38" s="20">
        <f t="shared" si="16"/>
        <v>4.8213428983833797</v>
      </c>
    </row>
    <row r="39" spans="2:14" ht="14.25" x14ac:dyDescent="0.45">
      <c r="B39" s="185"/>
      <c r="C39" s="191" t="s">
        <v>36</v>
      </c>
      <c r="D39" s="15" t="s">
        <v>43</v>
      </c>
      <c r="E39" s="16">
        <f>E8</f>
        <v>0.115</v>
      </c>
      <c r="F39" s="16">
        <f>E39</f>
        <v>0.115</v>
      </c>
      <c r="G39" s="16">
        <f t="shared" ref="G39:N39" si="17">F39</f>
        <v>0.115</v>
      </c>
      <c r="H39" s="16">
        <f t="shared" si="17"/>
        <v>0.115</v>
      </c>
      <c r="I39" s="16">
        <f t="shared" si="17"/>
        <v>0.115</v>
      </c>
      <c r="J39" s="16">
        <f t="shared" si="17"/>
        <v>0.115</v>
      </c>
      <c r="K39" s="16">
        <f t="shared" si="17"/>
        <v>0.115</v>
      </c>
      <c r="L39" s="16">
        <f t="shared" si="17"/>
        <v>0.115</v>
      </c>
      <c r="M39" s="16">
        <f t="shared" si="17"/>
        <v>0.115</v>
      </c>
      <c r="N39" s="16">
        <f t="shared" si="17"/>
        <v>0.115</v>
      </c>
    </row>
    <row r="40" spans="2:14" ht="14.25" customHeight="1" x14ac:dyDescent="0.45">
      <c r="B40" s="185"/>
      <c r="C40" s="193"/>
      <c r="D40" s="19" t="s">
        <v>45</v>
      </c>
      <c r="E40" s="21">
        <f>E37*E$15</f>
        <v>115000</v>
      </c>
      <c r="F40" s="21">
        <f t="shared" ref="F40:N40" si="18">F37*F$15</f>
        <v>114999.99999999999</v>
      </c>
      <c r="G40" s="21">
        <f>G37*G$15</f>
        <v>115000</v>
      </c>
      <c r="H40" s="21">
        <f>H37*H$15</f>
        <v>115000</v>
      </c>
      <c r="I40" s="21">
        <f>I37*I$15</f>
        <v>115000</v>
      </c>
      <c r="J40" s="21">
        <f t="shared" si="18"/>
        <v>115000</v>
      </c>
      <c r="K40" s="21">
        <f t="shared" si="18"/>
        <v>115000</v>
      </c>
      <c r="L40" s="21">
        <f t="shared" si="18"/>
        <v>115000</v>
      </c>
      <c r="M40" s="21">
        <f t="shared" si="18"/>
        <v>115000</v>
      </c>
      <c r="N40" s="21">
        <f t="shared" si="18"/>
        <v>115000</v>
      </c>
    </row>
    <row r="41" spans="2:14" ht="14.25" x14ac:dyDescent="0.45">
      <c r="B41" s="185"/>
      <c r="C41" s="193"/>
      <c r="D41" s="19" t="s">
        <v>46</v>
      </c>
      <c r="E41" s="21">
        <f>E40</f>
        <v>115000</v>
      </c>
      <c r="F41" s="21">
        <f>E41+F40</f>
        <v>230000</v>
      </c>
      <c r="G41" s="21">
        <f>F41+G40</f>
        <v>345000</v>
      </c>
      <c r="H41" s="21">
        <f t="shared" ref="H41:N41" si="19">G41+H40</f>
        <v>460000</v>
      </c>
      <c r="I41" s="21">
        <f t="shared" si="19"/>
        <v>575000</v>
      </c>
      <c r="J41" s="21">
        <f>I41+J40</f>
        <v>690000</v>
      </c>
      <c r="K41" s="21">
        <f t="shared" si="19"/>
        <v>805000</v>
      </c>
      <c r="L41" s="21">
        <f t="shared" si="19"/>
        <v>920000</v>
      </c>
      <c r="M41" s="21">
        <f t="shared" si="19"/>
        <v>1035000</v>
      </c>
      <c r="N41" s="21">
        <f t="shared" si="19"/>
        <v>1150000</v>
      </c>
    </row>
    <row r="42" spans="2:14" ht="14.25" x14ac:dyDescent="0.45">
      <c r="B42" s="185"/>
      <c r="C42" s="191" t="s">
        <v>35</v>
      </c>
      <c r="D42" s="15" t="s">
        <v>43</v>
      </c>
      <c r="E42" s="16">
        <f>E36*E$15/$E$4</f>
        <v>0.115</v>
      </c>
      <c r="F42" s="16">
        <f>F36*F$15/$E$4-E42</f>
        <v>0.13799999999999996</v>
      </c>
      <c r="G42" s="16">
        <f>G36*G$15/$E$4-F42-E42</f>
        <v>0.16560000000000019</v>
      </c>
      <c r="H42" s="16">
        <f>H36*H$15/$E$4-G42-F42-E42</f>
        <v>0.19871999999999973</v>
      </c>
      <c r="I42" s="16">
        <f>I36*I$15/$E$4-H42-G42-F42-E42</f>
        <v>0.2384640000000004</v>
      </c>
      <c r="J42" s="16">
        <f>J36*J$15/$E$4-I42-H42-G42-F42-E42</f>
        <v>0.28615679999999849</v>
      </c>
      <c r="K42" s="16">
        <f>K36*K$15/$E$4-J42-I42-H42-G42-F42-E42</f>
        <v>0.34338816000000211</v>
      </c>
      <c r="L42" s="16">
        <f>L36*L$15/$E$4-K42-J42-I42-H42-G42-F42-E42</f>
        <v>0.41206579199999993</v>
      </c>
      <c r="M42" s="16">
        <f>M36*M$15/$E$4-L42-K42-J42-I42-H42-G42-F42-E42</f>
        <v>0.49447895040000378</v>
      </c>
      <c r="N42" s="16">
        <f>N36*N$15/$E$4-M42-L42-K42-J42-I42-H42-G42-F42-E42</f>
        <v>0.59337474047999117</v>
      </c>
    </row>
    <row r="43" spans="2:14" ht="14.25" x14ac:dyDescent="0.45">
      <c r="B43" s="185"/>
      <c r="C43" s="192"/>
      <c r="D43" s="15" t="s">
        <v>44</v>
      </c>
      <c r="E43" s="17"/>
      <c r="F43" s="17"/>
      <c r="G43" s="17"/>
      <c r="H43" s="17"/>
      <c r="I43" s="38">
        <f>AVERAGE(E42:I42)</f>
        <v>0.17115680000000005</v>
      </c>
      <c r="J43" s="17"/>
      <c r="K43" s="17"/>
      <c r="L43" s="17"/>
      <c r="M43" s="17"/>
      <c r="N43" s="17">
        <f>AVERAGE(E42:N42)</f>
        <v>0.29852484428799964</v>
      </c>
    </row>
    <row r="44" spans="2:14" ht="14.25" x14ac:dyDescent="0.45">
      <c r="B44" s="185"/>
      <c r="C44" s="193"/>
      <c r="D44" s="19" t="s">
        <v>45</v>
      </c>
      <c r="E44" s="22">
        <f>E46</f>
        <v>115000</v>
      </c>
      <c r="F44" s="22">
        <f>F46-E46</f>
        <v>137999.99999999994</v>
      </c>
      <c r="G44" s="22">
        <f>G46-F46</f>
        <v>165600.00000000023</v>
      </c>
      <c r="H44" s="22">
        <f t="shared" ref="H44:N44" si="20">H46-G46</f>
        <v>198719.99999999971</v>
      </c>
      <c r="I44" s="22">
        <f t="shared" si="20"/>
        <v>238464.00000000035</v>
      </c>
      <c r="J44" s="22">
        <f>J46-I46</f>
        <v>286156.79999999865</v>
      </c>
      <c r="K44" s="22">
        <f t="shared" si="20"/>
        <v>343388.16000000201</v>
      </c>
      <c r="L44" s="22">
        <f t="shared" si="20"/>
        <v>412065.7919999999</v>
      </c>
      <c r="M44" s="22">
        <f t="shared" si="20"/>
        <v>494478.95040000416</v>
      </c>
      <c r="N44" s="22">
        <f t="shared" si="20"/>
        <v>593374.74047999037</v>
      </c>
    </row>
    <row r="45" spans="2:14" ht="15" customHeight="1" x14ac:dyDescent="0.45">
      <c r="B45" s="185"/>
      <c r="C45" s="193"/>
      <c r="D45" s="19" t="s">
        <v>47</v>
      </c>
      <c r="E45" s="22"/>
      <c r="F45" s="22"/>
      <c r="G45" s="22"/>
      <c r="H45" s="22"/>
      <c r="I45" s="22">
        <f>AVERAGE(E44:I44)</f>
        <v>171156.80000000005</v>
      </c>
      <c r="J45" s="22"/>
      <c r="K45" s="22"/>
      <c r="L45" s="22"/>
      <c r="M45" s="22"/>
      <c r="N45" s="22">
        <f>AVERAGE(E44:N44)</f>
        <v>298524.84428799956</v>
      </c>
    </row>
    <row r="46" spans="2:14" ht="14.25" x14ac:dyDescent="0.45">
      <c r="B46" s="186"/>
      <c r="C46" s="193"/>
      <c r="D46" s="19" t="s">
        <v>46</v>
      </c>
      <c r="E46" s="21">
        <f t="shared" ref="E46:N46" si="21">E38*E$15</f>
        <v>115000</v>
      </c>
      <c r="F46" s="21">
        <f t="shared" si="21"/>
        <v>252999.99999999994</v>
      </c>
      <c r="G46" s="21">
        <f>G38*G$15</f>
        <v>418600.00000000017</v>
      </c>
      <c r="H46" s="21">
        <f>H38*H$15</f>
        <v>617319.99999999988</v>
      </c>
      <c r="I46" s="21">
        <f>I38*I$15</f>
        <v>855784.00000000023</v>
      </c>
      <c r="J46" s="21">
        <f t="shared" si="21"/>
        <v>1141940.7999999989</v>
      </c>
      <c r="K46" s="21">
        <f t="shared" si="21"/>
        <v>1485328.9600000009</v>
      </c>
      <c r="L46" s="21">
        <f t="shared" si="21"/>
        <v>1897394.7520000008</v>
      </c>
      <c r="M46" s="21">
        <f t="shared" si="21"/>
        <v>2391873.702400005</v>
      </c>
      <c r="N46" s="21">
        <f t="shared" si="21"/>
        <v>2985248.4428799953</v>
      </c>
    </row>
    <row r="47" spans="2:14" ht="14.25" x14ac:dyDescent="0.45">
      <c r="B47" s="3"/>
      <c r="C47" s="1"/>
      <c r="D47" s="43"/>
      <c r="E47" s="31"/>
      <c r="F47" s="31"/>
      <c r="G47" s="31"/>
      <c r="H47" s="31"/>
      <c r="I47" s="31"/>
      <c r="J47" s="31"/>
      <c r="K47" s="31"/>
      <c r="L47" s="31"/>
      <c r="M47" s="31"/>
      <c r="N47" s="31"/>
    </row>
    <row r="48" spans="2:14" ht="14.25" x14ac:dyDescent="0.45">
      <c r="B48" s="176" t="s">
        <v>116</v>
      </c>
      <c r="C48" s="200" t="s">
        <v>21</v>
      </c>
      <c r="D48" s="178" t="str">
        <f>"10 BTC / "&amp;TEXT($E$4*10, "$###0.00,,")&amp;"M USD"</f>
        <v>10 BTC / $1.00M USD</v>
      </c>
      <c r="E48" s="174" t="s">
        <v>3</v>
      </c>
      <c r="F48" s="174" t="s">
        <v>4</v>
      </c>
      <c r="G48" s="174" t="s">
        <v>5</v>
      </c>
      <c r="H48" s="174" t="s">
        <v>6</v>
      </c>
      <c r="I48" s="174" t="s">
        <v>7</v>
      </c>
      <c r="J48" s="174" t="s">
        <v>8</v>
      </c>
      <c r="K48" s="174" t="s">
        <v>9</v>
      </c>
      <c r="L48" s="174" t="s">
        <v>10</v>
      </c>
      <c r="M48" s="174" t="s">
        <v>11</v>
      </c>
      <c r="N48" s="174" t="s">
        <v>12</v>
      </c>
    </row>
    <row r="49" spans="1:16" ht="14.25" x14ac:dyDescent="0.45">
      <c r="B49" s="177"/>
      <c r="C49" s="201"/>
      <c r="D49" s="179"/>
      <c r="E49" s="175"/>
      <c r="F49" s="175"/>
      <c r="G49" s="175"/>
      <c r="H49" s="175"/>
      <c r="I49" s="175"/>
      <c r="J49" s="175"/>
      <c r="K49" s="175"/>
      <c r="L49" s="175"/>
      <c r="M49" s="175"/>
      <c r="N49" s="175"/>
    </row>
    <row r="50" spans="1:16" ht="14.25" x14ac:dyDescent="0.45">
      <c r="B50" s="184" t="s">
        <v>137</v>
      </c>
      <c r="C50" s="192" t="s">
        <v>32</v>
      </c>
      <c r="D50" s="15" t="s">
        <v>43</v>
      </c>
      <c r="E50" s="16">
        <f>E55*$E$4/E$15</f>
        <v>0.22916666666666663</v>
      </c>
      <c r="F50" s="16">
        <f t="shared" ref="F50:N50" si="22">F55*$E$4/F$15</f>
        <v>0.19097222222222221</v>
      </c>
      <c r="G50" s="16">
        <f t="shared" si="22"/>
        <v>0.15914351851851849</v>
      </c>
      <c r="H50" s="16">
        <f t="shared" si="22"/>
        <v>0.13261959876543208</v>
      </c>
      <c r="I50" s="16">
        <f t="shared" si="22"/>
        <v>0.11051633230452673</v>
      </c>
      <c r="J50" s="16">
        <f t="shared" si="22"/>
        <v>9.2096943587105601E-2</v>
      </c>
      <c r="K50" s="16">
        <f t="shared" si="22"/>
        <v>7.6747452989254672E-2</v>
      </c>
      <c r="L50" s="16">
        <f t="shared" si="22"/>
        <v>6.3956210824378898E-2</v>
      </c>
      <c r="M50" s="16">
        <f t="shared" si="22"/>
        <v>5.3296842353649079E-2</v>
      </c>
      <c r="N50" s="16">
        <f t="shared" si="22"/>
        <v>4.4414035294707568E-2</v>
      </c>
    </row>
    <row r="51" spans="1:16" ht="14.25" x14ac:dyDescent="0.45">
      <c r="B51" s="185"/>
      <c r="C51" s="192"/>
      <c r="D51" s="15" t="s">
        <v>44</v>
      </c>
      <c r="E51" s="16"/>
      <c r="F51" s="16"/>
      <c r="G51" s="16"/>
      <c r="H51" s="16"/>
      <c r="I51" s="125">
        <f>AVERAGE(E50:I50)</f>
        <v>0.16448366769547323</v>
      </c>
      <c r="J51" s="16"/>
      <c r="K51" s="16"/>
      <c r="L51" s="16"/>
      <c r="M51" s="16"/>
      <c r="N51" s="17">
        <f>AVERAGE(E50:N50)</f>
        <v>0.11529298235264621</v>
      </c>
    </row>
    <row r="52" spans="1:16" ht="14.25" x14ac:dyDescent="0.45">
      <c r="B52" s="185"/>
      <c r="C52" s="192"/>
      <c r="D52" s="15" t="s">
        <v>42</v>
      </c>
      <c r="E52" s="16">
        <f t="shared" ref="E52:N52" si="23">E$17*(E50/E$19)</f>
        <v>0.22916666666666663</v>
      </c>
      <c r="F52" s="16">
        <f t="shared" si="23"/>
        <v>0.42013888888888878</v>
      </c>
      <c r="G52" s="16">
        <f t="shared" si="23"/>
        <v>0.57928240740740744</v>
      </c>
      <c r="H52" s="16">
        <f t="shared" si="23"/>
        <v>0.71190200617283916</v>
      </c>
      <c r="I52" s="16">
        <f t="shared" si="23"/>
        <v>0.82241833847736634</v>
      </c>
      <c r="J52" s="16">
        <f t="shared" si="23"/>
        <v>0.91451528206447075</v>
      </c>
      <c r="K52" s="16">
        <f t="shared" si="23"/>
        <v>0.99126273505372697</v>
      </c>
      <c r="L52" s="16">
        <f t="shared" si="23"/>
        <v>1.0552189458781061</v>
      </c>
      <c r="M52" s="16">
        <f t="shared" si="23"/>
        <v>1.1085157882317564</v>
      </c>
      <c r="N52" s="16">
        <f t="shared" si="23"/>
        <v>1.1529298235264602</v>
      </c>
    </row>
    <row r="53" spans="1:16" ht="14.25" customHeight="1" x14ac:dyDescent="0.45">
      <c r="B53" s="185"/>
      <c r="C53" s="193"/>
      <c r="D53" s="19" t="s">
        <v>45</v>
      </c>
      <c r="E53" s="20">
        <f>10*E50</f>
        <v>2.2916666666666661</v>
      </c>
      <c r="F53" s="20">
        <f t="shared" ref="F53:N53" si="24">10*F50</f>
        <v>1.9097222222222221</v>
      </c>
      <c r="G53" s="20">
        <f t="shared" si="24"/>
        <v>1.5914351851851849</v>
      </c>
      <c r="H53" s="20">
        <f t="shared" si="24"/>
        <v>1.3261959876543208</v>
      </c>
      <c r="I53" s="20">
        <f t="shared" si="24"/>
        <v>1.1051633230452673</v>
      </c>
      <c r="J53" s="20">
        <f t="shared" si="24"/>
        <v>0.92096943587105606</v>
      </c>
      <c r="K53" s="20">
        <f t="shared" si="24"/>
        <v>0.76747452989254672</v>
      </c>
      <c r="L53" s="20">
        <f t="shared" si="24"/>
        <v>0.63956210824378901</v>
      </c>
      <c r="M53" s="20">
        <f t="shared" si="24"/>
        <v>0.53296842353649077</v>
      </c>
      <c r="N53" s="20">
        <f t="shared" si="24"/>
        <v>0.44414035294707566</v>
      </c>
    </row>
    <row r="54" spans="1:16" ht="14.25" x14ac:dyDescent="0.45">
      <c r="B54" s="185"/>
      <c r="C54" s="193"/>
      <c r="D54" s="19" t="s">
        <v>46</v>
      </c>
      <c r="E54" s="20">
        <f>10*E52</f>
        <v>2.2916666666666661</v>
      </c>
      <c r="F54" s="20">
        <f>10*F52</f>
        <v>4.2013888888888875</v>
      </c>
      <c r="G54" s="20">
        <f>10*G52</f>
        <v>5.7928240740740744</v>
      </c>
      <c r="H54" s="20">
        <f t="shared" ref="H54:N54" si="25">10*H52</f>
        <v>7.1190200617283921</v>
      </c>
      <c r="I54" s="20">
        <f t="shared" si="25"/>
        <v>8.2241833847736636</v>
      </c>
      <c r="J54" s="20">
        <f t="shared" si="25"/>
        <v>9.1451528206447072</v>
      </c>
      <c r="K54" s="20">
        <f t="shared" si="25"/>
        <v>9.9126273505372691</v>
      </c>
      <c r="L54" s="20">
        <f t="shared" si="25"/>
        <v>10.552189458781061</v>
      </c>
      <c r="M54" s="20">
        <f t="shared" si="25"/>
        <v>11.085157882317564</v>
      </c>
      <c r="N54" s="20">
        <f t="shared" si="25"/>
        <v>11.529298235264601</v>
      </c>
    </row>
    <row r="55" spans="1:16" ht="14.25" x14ac:dyDescent="0.45">
      <c r="B55" s="185"/>
      <c r="C55" s="191" t="s">
        <v>36</v>
      </c>
      <c r="D55" s="15" t="s">
        <v>43</v>
      </c>
      <c r="E55" s="16">
        <f t="shared" ref="E55:N55" si="26">$E9+($E$10*$E$11)</f>
        <v>0.27499999999999997</v>
      </c>
      <c r="F55" s="16">
        <f t="shared" si="26"/>
        <v>0.27499999999999997</v>
      </c>
      <c r="G55" s="16">
        <f t="shared" si="26"/>
        <v>0.27499999999999997</v>
      </c>
      <c r="H55" s="16">
        <f t="shared" si="26"/>
        <v>0.27499999999999997</v>
      </c>
      <c r="I55" s="16">
        <f t="shared" si="26"/>
        <v>0.27499999999999997</v>
      </c>
      <c r="J55" s="16">
        <f t="shared" si="26"/>
        <v>0.27499999999999997</v>
      </c>
      <c r="K55" s="16">
        <f t="shared" si="26"/>
        <v>0.27499999999999997</v>
      </c>
      <c r="L55" s="16">
        <f t="shared" si="26"/>
        <v>0.27499999999999997</v>
      </c>
      <c r="M55" s="16">
        <f t="shared" si="26"/>
        <v>0.27499999999999997</v>
      </c>
      <c r="N55" s="16">
        <f t="shared" si="26"/>
        <v>0.27499999999999997</v>
      </c>
    </row>
    <row r="56" spans="1:16" ht="14.25" customHeight="1" x14ac:dyDescent="0.45">
      <c r="B56" s="185"/>
      <c r="C56" s="193"/>
      <c r="D56" s="19" t="s">
        <v>45</v>
      </c>
      <c r="E56" s="21">
        <f t="shared" ref="E56:N56" si="27">E53*E$15</f>
        <v>274999.99999999994</v>
      </c>
      <c r="F56" s="21">
        <f t="shared" si="27"/>
        <v>275000</v>
      </c>
      <c r="G56" s="21">
        <f t="shared" si="27"/>
        <v>274999.99999999994</v>
      </c>
      <c r="H56" s="21">
        <f t="shared" si="27"/>
        <v>274999.99999999994</v>
      </c>
      <c r="I56" s="21">
        <f t="shared" si="27"/>
        <v>274999.99999999994</v>
      </c>
      <c r="J56" s="21">
        <f t="shared" si="27"/>
        <v>274999.99999999994</v>
      </c>
      <c r="K56" s="21">
        <f t="shared" si="27"/>
        <v>274999.99999999994</v>
      </c>
      <c r="L56" s="21">
        <f t="shared" si="27"/>
        <v>275000</v>
      </c>
      <c r="M56" s="21">
        <f t="shared" si="27"/>
        <v>274999.99999999994</v>
      </c>
      <c r="N56" s="21">
        <f t="shared" si="27"/>
        <v>274999.99999999994</v>
      </c>
    </row>
    <row r="57" spans="1:16" ht="14.25" x14ac:dyDescent="0.45">
      <c r="B57" s="185"/>
      <c r="C57" s="193"/>
      <c r="D57" s="19" t="s">
        <v>46</v>
      </c>
      <c r="E57" s="21">
        <f>E56</f>
        <v>274999.99999999994</v>
      </c>
      <c r="F57" s="21">
        <f>E57+F56</f>
        <v>550000</v>
      </c>
      <c r="G57" s="21">
        <f>F57+G56</f>
        <v>825000</v>
      </c>
      <c r="H57" s="21">
        <f t="shared" ref="H57:N57" si="28">G57+H56</f>
        <v>1100000</v>
      </c>
      <c r="I57" s="21">
        <f t="shared" si="28"/>
        <v>1375000</v>
      </c>
      <c r="J57" s="21">
        <f>I57+J56</f>
        <v>1650000</v>
      </c>
      <c r="K57" s="21">
        <f t="shared" si="28"/>
        <v>1925000</v>
      </c>
      <c r="L57" s="21">
        <f t="shared" si="28"/>
        <v>2200000</v>
      </c>
      <c r="M57" s="21">
        <f t="shared" si="28"/>
        <v>2475000</v>
      </c>
      <c r="N57" s="21">
        <f t="shared" si="28"/>
        <v>2750000</v>
      </c>
    </row>
    <row r="58" spans="1:16" ht="14.25" x14ac:dyDescent="0.45">
      <c r="B58" s="185"/>
      <c r="C58" s="191" t="s">
        <v>35</v>
      </c>
      <c r="D58" s="15" t="s">
        <v>43</v>
      </c>
      <c r="E58" s="16">
        <f>E52*E$15/$E$4</f>
        <v>0.27499999999999997</v>
      </c>
      <c r="F58" s="16">
        <f>F52*F$15/$E$4-E58</f>
        <v>0.3299999999999999</v>
      </c>
      <c r="G58" s="16">
        <f>G52*G$15/$E$4-F58-E58</f>
        <v>0.39600000000000007</v>
      </c>
      <c r="H58" s="16">
        <f>H52*H$15/$E$4-G58-F58-E58</f>
        <v>0.47519999999999957</v>
      </c>
      <c r="I58" s="16">
        <f>I52*I$15/$E$4-H58-G58-F58-E58</f>
        <v>0.57024000000000097</v>
      </c>
      <c r="J58" s="16">
        <f>J52*J$15/$E$4-I58-H58-G58-F58-E58</f>
        <v>0.68428799999999645</v>
      </c>
      <c r="K58" s="16">
        <f>K52*K$15/$E$4-J58-I58-H58-G58-F58-E58</f>
        <v>0.8211456000000048</v>
      </c>
      <c r="L58" s="16">
        <f>L52*L$15/$E$4-K58-J58-I58-H58-G58-F58-E58</f>
        <v>0.9853747200000007</v>
      </c>
      <c r="M58" s="16">
        <f>M52*M$15/$E$4-L58-K58-J58-I58-H58-G58-F58-E58</f>
        <v>1.1824496640000057</v>
      </c>
      <c r="N58" s="16">
        <f>N52*N$15/$E$4-M58-L58-K58-J58-I58-H58-G58-F58-E58</f>
        <v>1.4189395967999789</v>
      </c>
    </row>
    <row r="59" spans="1:16" ht="14.25" x14ac:dyDescent="0.45">
      <c r="B59" s="185"/>
      <c r="C59" s="192"/>
      <c r="D59" s="15" t="s">
        <v>44</v>
      </c>
      <c r="E59" s="17"/>
      <c r="F59" s="17"/>
      <c r="G59" s="17"/>
      <c r="H59" s="17"/>
      <c r="I59" s="17">
        <f>AVERAGE(E58:I58)</f>
        <v>0.4092880000000001</v>
      </c>
      <c r="J59" s="17"/>
      <c r="K59" s="17"/>
      <c r="L59" s="17"/>
      <c r="M59" s="17"/>
      <c r="N59" s="17">
        <f>AVERAGE(E58:N58)</f>
        <v>0.7138637580799988</v>
      </c>
    </row>
    <row r="60" spans="1:16" ht="14.25" x14ac:dyDescent="0.45">
      <c r="B60" s="185"/>
      <c r="C60" s="193"/>
      <c r="D60" s="19" t="s">
        <v>45</v>
      </c>
      <c r="E60" s="22">
        <f>E62</f>
        <v>274999.99999999994</v>
      </c>
      <c r="F60" s="22">
        <f>F62-E62</f>
        <v>329999.99999999983</v>
      </c>
      <c r="G60" s="22">
        <f>G62-F62</f>
        <v>396000.00000000023</v>
      </c>
      <c r="H60" s="22">
        <f t="shared" ref="H60:N60" si="29">H62-G62</f>
        <v>475199.9999999993</v>
      </c>
      <c r="I60" s="22">
        <f t="shared" si="29"/>
        <v>570240.00000000093</v>
      </c>
      <c r="J60" s="22">
        <f>J62-I62</f>
        <v>684287.99999999651</v>
      </c>
      <c r="K60" s="22">
        <f t="shared" si="29"/>
        <v>821145.60000000475</v>
      </c>
      <c r="L60" s="22">
        <f t="shared" si="29"/>
        <v>985374.7200000016</v>
      </c>
      <c r="M60" s="22">
        <f t="shared" si="29"/>
        <v>1182449.6640000064</v>
      </c>
      <c r="N60" s="22">
        <f t="shared" si="29"/>
        <v>1418939.5967999781</v>
      </c>
    </row>
    <row r="61" spans="1:16" ht="15" customHeight="1" x14ac:dyDescent="0.45">
      <c r="B61" s="185"/>
      <c r="C61" s="193"/>
      <c r="D61" s="19" t="s">
        <v>47</v>
      </c>
      <c r="E61" s="22"/>
      <c r="F61" s="22"/>
      <c r="G61" s="22"/>
      <c r="H61" s="22"/>
      <c r="I61" s="22">
        <f>AVERAGE(E60:I60)</f>
        <v>409288.00000000006</v>
      </c>
      <c r="J61" s="22"/>
      <c r="K61" s="22"/>
      <c r="L61" s="22"/>
      <c r="M61" s="22"/>
      <c r="N61" s="22">
        <f>AVERAGE(E60:N60)</f>
        <v>713863.75807999878</v>
      </c>
    </row>
    <row r="62" spans="1:16" ht="14.25" x14ac:dyDescent="0.45">
      <c r="B62" s="186"/>
      <c r="C62" s="193"/>
      <c r="D62" s="19" t="s">
        <v>46</v>
      </c>
      <c r="E62" s="21">
        <f t="shared" ref="E62:N62" si="30">E54*E$15</f>
        <v>274999.99999999994</v>
      </c>
      <c r="F62" s="21">
        <f t="shared" si="30"/>
        <v>604999.99999999977</v>
      </c>
      <c r="G62" s="21">
        <f t="shared" si="30"/>
        <v>1001000</v>
      </c>
      <c r="H62" s="21">
        <f t="shared" si="30"/>
        <v>1476199.9999999993</v>
      </c>
      <c r="I62" s="21">
        <f t="shared" si="30"/>
        <v>2046440.0000000002</v>
      </c>
      <c r="J62" s="21">
        <f t="shared" si="30"/>
        <v>2730727.9999999967</v>
      </c>
      <c r="K62" s="21">
        <f t="shared" si="30"/>
        <v>3551873.6000000015</v>
      </c>
      <c r="L62" s="21">
        <f t="shared" si="30"/>
        <v>4537248.3200000031</v>
      </c>
      <c r="M62" s="21">
        <f t="shared" si="30"/>
        <v>5719697.9840000095</v>
      </c>
      <c r="N62" s="21">
        <f t="shared" si="30"/>
        <v>7138637.5807999875</v>
      </c>
    </row>
    <row r="63" spans="1:16" ht="14.25" x14ac:dyDescent="0.45">
      <c r="A63" s="8"/>
      <c r="B63" s="3"/>
      <c r="C63" s="1"/>
      <c r="D63" s="43"/>
      <c r="E63" s="31"/>
      <c r="F63" s="31"/>
      <c r="G63" s="31"/>
      <c r="H63" s="31"/>
      <c r="I63" s="31"/>
      <c r="J63" s="31"/>
      <c r="K63" s="31"/>
      <c r="L63" s="31"/>
      <c r="M63" s="31"/>
      <c r="N63" s="31"/>
      <c r="O63" s="8"/>
      <c r="P63" s="8"/>
    </row>
    <row r="64" spans="1:16" ht="14.25" x14ac:dyDescent="0.45">
      <c r="B64" s="189" t="s">
        <v>115</v>
      </c>
      <c r="C64" s="187" t="s">
        <v>21</v>
      </c>
      <c r="D64" s="180" t="str">
        <f>"10 BTC / "&amp;TEXT($E$4*10, "$###0.00,,")&amp;"M USD"</f>
        <v>10 BTC / $1.00M USD</v>
      </c>
      <c r="E64" s="174" t="s">
        <v>3</v>
      </c>
      <c r="F64" s="174" t="s">
        <v>4</v>
      </c>
      <c r="G64" s="174" t="s">
        <v>5</v>
      </c>
      <c r="H64" s="174" t="s">
        <v>6</v>
      </c>
      <c r="I64" s="174" t="s">
        <v>7</v>
      </c>
      <c r="J64" s="174" t="s">
        <v>8</v>
      </c>
      <c r="K64" s="174" t="s">
        <v>9</v>
      </c>
      <c r="L64" s="174" t="s">
        <v>10</v>
      </c>
      <c r="M64" s="174" t="s">
        <v>11</v>
      </c>
      <c r="N64" s="174" t="s">
        <v>12</v>
      </c>
    </row>
    <row r="65" spans="2:14" ht="14.25" x14ac:dyDescent="0.45">
      <c r="B65" s="190"/>
      <c r="C65" s="188"/>
      <c r="D65" s="181"/>
      <c r="E65" s="175"/>
      <c r="F65" s="175"/>
      <c r="G65" s="175"/>
      <c r="H65" s="175"/>
      <c r="I65" s="175"/>
      <c r="J65" s="175"/>
      <c r="K65" s="175"/>
      <c r="L65" s="175"/>
      <c r="M65" s="175"/>
      <c r="N65" s="175"/>
    </row>
    <row r="66" spans="2:14" ht="14.25" x14ac:dyDescent="0.45">
      <c r="B66" s="193" t="s">
        <v>16</v>
      </c>
      <c r="C66" s="192" t="s">
        <v>32</v>
      </c>
      <c r="D66" s="15" t="s">
        <v>58</v>
      </c>
      <c r="E66" s="16">
        <f>E$23</f>
        <v>0.66666666666666663</v>
      </c>
      <c r="F66" s="16">
        <f t="shared" ref="F66:N66" si="31">F$23</f>
        <v>0.55555555555555569</v>
      </c>
      <c r="G66" s="16">
        <f t="shared" si="31"/>
        <v>0.4629629629629628</v>
      </c>
      <c r="H66" s="16">
        <f t="shared" si="31"/>
        <v>0.38580246913580263</v>
      </c>
      <c r="I66" s="16">
        <f t="shared" si="31"/>
        <v>0.32150205761316863</v>
      </c>
      <c r="J66" s="16">
        <f t="shared" si="31"/>
        <v>0.26791838134430757</v>
      </c>
      <c r="K66" s="16">
        <f t="shared" si="31"/>
        <v>0.2232653177869226</v>
      </c>
      <c r="L66" s="16">
        <f t="shared" si="31"/>
        <v>0.18605443148910217</v>
      </c>
      <c r="M66" s="16">
        <f t="shared" si="31"/>
        <v>0.15504535957425158</v>
      </c>
      <c r="N66" s="16">
        <f t="shared" si="31"/>
        <v>0.12920446631187676</v>
      </c>
    </row>
    <row r="67" spans="2:14" ht="14.25" x14ac:dyDescent="0.45">
      <c r="B67" s="193"/>
      <c r="C67" s="192"/>
      <c r="D67" s="15" t="s">
        <v>59</v>
      </c>
      <c r="E67" s="16"/>
      <c r="F67" s="16"/>
      <c r="G67" s="16"/>
      <c r="H67" s="16"/>
      <c r="I67" s="80">
        <f>AVERAGE(E66:I66)</f>
        <v>0.4784979423868313</v>
      </c>
      <c r="J67" s="16"/>
      <c r="K67" s="16"/>
      <c r="L67" s="16"/>
      <c r="M67" s="16"/>
      <c r="N67" s="17">
        <f>AVERAGE(E66:N66)</f>
        <v>0.3353977668440617</v>
      </c>
    </row>
    <row r="68" spans="2:14" ht="14.25" x14ac:dyDescent="0.45">
      <c r="B68" s="193"/>
      <c r="C68" s="192"/>
      <c r="D68" s="15" t="s">
        <v>42</v>
      </c>
      <c r="E68" s="16">
        <f>E$17*(E66/E$19)</f>
        <v>0.66666666666666663</v>
      </c>
      <c r="F68" s="16">
        <f t="shared" ref="F68:N68" si="32">F$17*(F66/F$19)</f>
        <v>1.2222222222222223</v>
      </c>
      <c r="G68" s="16">
        <f>G$17*(G66/G$19)</f>
        <v>1.6851851851851851</v>
      </c>
      <c r="H68" s="16">
        <f>H$17*(H66/H$19)</f>
        <v>2.0709876543209877</v>
      </c>
      <c r="I68" s="16">
        <f>I$17*(I66/I$19)</f>
        <v>2.3924897119341564</v>
      </c>
      <c r="J68" s="16">
        <f t="shared" si="32"/>
        <v>2.6604080932784639</v>
      </c>
      <c r="K68" s="16">
        <f t="shared" si="32"/>
        <v>2.8836734110653865</v>
      </c>
      <c r="L68" s="16">
        <f t="shared" si="32"/>
        <v>3.0697278425544887</v>
      </c>
      <c r="M68" s="16">
        <f t="shared" si="32"/>
        <v>3.2247732021287403</v>
      </c>
      <c r="N68" s="16">
        <f t="shared" si="32"/>
        <v>3.3539776684406171</v>
      </c>
    </row>
    <row r="69" spans="2:14" ht="14.25" customHeight="1" x14ac:dyDescent="0.45">
      <c r="B69" s="193"/>
      <c r="C69" s="193"/>
      <c r="D69" s="19" t="s">
        <v>45</v>
      </c>
      <c r="E69" s="20">
        <f>10*E66</f>
        <v>6.6666666666666661</v>
      </c>
      <c r="F69" s="20">
        <f t="shared" ref="F69:N69" si="33">10*F66</f>
        <v>5.5555555555555571</v>
      </c>
      <c r="G69" s="20">
        <f t="shared" si="33"/>
        <v>4.629629629629628</v>
      </c>
      <c r="H69" s="20">
        <f t="shared" si="33"/>
        <v>3.8580246913580263</v>
      </c>
      <c r="I69" s="20">
        <f t="shared" si="33"/>
        <v>3.2150205761316863</v>
      </c>
      <c r="J69" s="20">
        <f t="shared" si="33"/>
        <v>2.6791838134430757</v>
      </c>
      <c r="K69" s="20">
        <f t="shared" si="33"/>
        <v>2.232653177869226</v>
      </c>
      <c r="L69" s="20">
        <f t="shared" si="33"/>
        <v>1.8605443148910217</v>
      </c>
      <c r="M69" s="20">
        <f t="shared" si="33"/>
        <v>1.5504535957425158</v>
      </c>
      <c r="N69" s="20">
        <f t="shared" si="33"/>
        <v>1.2920446631187676</v>
      </c>
    </row>
    <row r="70" spans="2:14" ht="14.25" x14ac:dyDescent="0.45">
      <c r="B70" s="193"/>
      <c r="C70" s="193"/>
      <c r="D70" s="19" t="s">
        <v>46</v>
      </c>
      <c r="E70" s="20">
        <f>10*E68</f>
        <v>6.6666666666666661</v>
      </c>
      <c r="F70" s="20">
        <f>10*F68</f>
        <v>12.222222222222223</v>
      </c>
      <c r="G70" s="20">
        <f>10*G68</f>
        <v>16.851851851851851</v>
      </c>
      <c r="H70" s="20">
        <f t="shared" ref="H70:N70" si="34">10*H68</f>
        <v>20.709876543209877</v>
      </c>
      <c r="I70" s="20">
        <f t="shared" si="34"/>
        <v>23.924897119341566</v>
      </c>
      <c r="J70" s="20">
        <f t="shared" si="34"/>
        <v>26.60408093278464</v>
      </c>
      <c r="K70" s="20">
        <f t="shared" si="34"/>
        <v>28.836734110653865</v>
      </c>
      <c r="L70" s="20">
        <f t="shared" si="34"/>
        <v>30.697278425544887</v>
      </c>
      <c r="M70" s="20">
        <f t="shared" si="34"/>
        <v>32.247732021287405</v>
      </c>
      <c r="N70" s="20">
        <f t="shared" si="34"/>
        <v>33.539776684406171</v>
      </c>
    </row>
    <row r="71" spans="2:14" ht="14.25" x14ac:dyDescent="0.45">
      <c r="B71" s="193"/>
      <c r="C71" s="191" t="s">
        <v>36</v>
      </c>
      <c r="D71" s="15" t="s">
        <v>43</v>
      </c>
      <c r="E71" s="16">
        <f t="shared" ref="E71:N71" si="35">E66*E$15/$E$4</f>
        <v>0.8</v>
      </c>
      <c r="F71" s="16">
        <f t="shared" si="35"/>
        <v>0.80000000000000016</v>
      </c>
      <c r="G71" s="16">
        <f t="shared" si="35"/>
        <v>0.79999999999999971</v>
      </c>
      <c r="H71" s="16">
        <f t="shared" si="35"/>
        <v>0.80000000000000027</v>
      </c>
      <c r="I71" s="16">
        <f t="shared" si="35"/>
        <v>0.79999999999999971</v>
      </c>
      <c r="J71" s="16">
        <f t="shared" si="35"/>
        <v>0.80000000000000082</v>
      </c>
      <c r="K71" s="16">
        <f t="shared" si="35"/>
        <v>0.7999999999999996</v>
      </c>
      <c r="L71" s="16">
        <f t="shared" si="35"/>
        <v>0.7999999999999996</v>
      </c>
      <c r="M71" s="16">
        <f t="shared" si="35"/>
        <v>0.79999999999999838</v>
      </c>
      <c r="N71" s="16">
        <f t="shared" si="35"/>
        <v>0.80000000000000115</v>
      </c>
    </row>
    <row r="72" spans="2:14" ht="14.25" customHeight="1" x14ac:dyDescent="0.45">
      <c r="B72" s="193"/>
      <c r="C72" s="193"/>
      <c r="D72" s="19" t="s">
        <v>45</v>
      </c>
      <c r="E72" s="21">
        <f t="shared" ref="E72:N72" si="36">E69*E$15</f>
        <v>799999.99999999988</v>
      </c>
      <c r="F72" s="21">
        <f t="shared" si="36"/>
        <v>800000.00000000023</v>
      </c>
      <c r="G72" s="21">
        <f>G69*G$15</f>
        <v>799999.99999999977</v>
      </c>
      <c r="H72" s="21">
        <f>H69*H$15</f>
        <v>800000.00000000035</v>
      </c>
      <c r="I72" s="21">
        <f>I69*I$15</f>
        <v>799999.99999999977</v>
      </c>
      <c r="J72" s="21">
        <f t="shared" si="36"/>
        <v>800000.00000000093</v>
      </c>
      <c r="K72" s="21">
        <f t="shared" si="36"/>
        <v>799999.99999999953</v>
      </c>
      <c r="L72" s="21">
        <f t="shared" si="36"/>
        <v>799999.99999999953</v>
      </c>
      <c r="M72" s="21">
        <f t="shared" si="36"/>
        <v>799999.99999999837</v>
      </c>
      <c r="N72" s="21">
        <f t="shared" si="36"/>
        <v>800000.00000000105</v>
      </c>
    </row>
    <row r="73" spans="2:14" ht="14.25" x14ac:dyDescent="0.45">
      <c r="B73" s="193"/>
      <c r="C73" s="193"/>
      <c r="D73" s="19" t="s">
        <v>46</v>
      </c>
      <c r="E73" s="21">
        <f>E72</f>
        <v>799999.99999999988</v>
      </c>
      <c r="F73" s="21">
        <f>E73+F72</f>
        <v>1600000</v>
      </c>
      <c r="G73" s="21">
        <f>F73+G72</f>
        <v>2400000</v>
      </c>
      <c r="H73" s="21">
        <f t="shared" ref="H73:N73" si="37">G73+H72</f>
        <v>3200000.0000000005</v>
      </c>
      <c r="I73" s="21">
        <f t="shared" si="37"/>
        <v>4000000</v>
      </c>
      <c r="J73" s="21">
        <f>I73+J72</f>
        <v>4800000.0000000009</v>
      </c>
      <c r="K73" s="21">
        <f t="shared" si="37"/>
        <v>5600000</v>
      </c>
      <c r="L73" s="21">
        <f t="shared" si="37"/>
        <v>6400000</v>
      </c>
      <c r="M73" s="21">
        <f t="shared" si="37"/>
        <v>7199999.9999999981</v>
      </c>
      <c r="N73" s="21">
        <f t="shared" si="37"/>
        <v>7999999.9999999991</v>
      </c>
    </row>
    <row r="74" spans="2:14" ht="14.25" x14ac:dyDescent="0.45">
      <c r="B74" s="193"/>
      <c r="C74" s="191" t="s">
        <v>35</v>
      </c>
      <c r="D74" s="15" t="s">
        <v>43</v>
      </c>
      <c r="E74" s="16">
        <f>E68*E$15/$E$4</f>
        <v>0.8</v>
      </c>
      <c r="F74" s="16">
        <f>F68*F$15/$E$4-E74</f>
        <v>0.96</v>
      </c>
      <c r="G74" s="16">
        <f>G68*G$15/$E$4-F74-E74</f>
        <v>1.1519999999999999</v>
      </c>
      <c r="H74" s="16">
        <f>H68*H$15/$E$4-G74-F74-E74</f>
        <v>1.3824000000000003</v>
      </c>
      <c r="I74" s="16">
        <f>I68*I$15/$E$4-H74-G74-F74-E74</f>
        <v>1.6588799999999997</v>
      </c>
      <c r="J74" s="16">
        <f>J68*J$15/$E$4-I74-H74-G74-F74-E74</f>
        <v>1.9906560000000002</v>
      </c>
      <c r="K74" s="16">
        <f>K68*K$15/$E$4-J74-I74-H74-G74-F74-E74</f>
        <v>2.3887872000000003</v>
      </c>
      <c r="L74" s="16">
        <f>L68*L$15/$E$4-K74-J74-I74-H74-G74-F74-E74</f>
        <v>2.8665446399999981</v>
      </c>
      <c r="M74" s="16">
        <f>M68*M$15/$E$4-L74-K74-J74-I74-H74-G74-F74-E74</f>
        <v>3.4398535680000011</v>
      </c>
      <c r="N74" s="16">
        <f>N68*N$15/$E$4-M74-L74-K74-J74-I74-H74-G74-F74-E74</f>
        <v>4.1278242816000033</v>
      </c>
    </row>
    <row r="75" spans="2:14" ht="14.25" x14ac:dyDescent="0.45">
      <c r="B75" s="193"/>
      <c r="C75" s="192"/>
      <c r="D75" s="15" t="s">
        <v>44</v>
      </c>
      <c r="E75" s="17"/>
      <c r="F75" s="17"/>
      <c r="G75" s="17"/>
      <c r="H75" s="17"/>
      <c r="I75" s="17">
        <f>AVERAGE(E74:I74)</f>
        <v>1.1906560000000002</v>
      </c>
      <c r="J75" s="17"/>
      <c r="K75" s="17"/>
      <c r="L75" s="17"/>
      <c r="M75" s="17"/>
      <c r="N75" s="17">
        <f>AVERAGE(E74:N74)</f>
        <v>2.0766945689599998</v>
      </c>
    </row>
    <row r="76" spans="2:14" ht="14.25" x14ac:dyDescent="0.45">
      <c r="B76" s="193"/>
      <c r="C76" s="193"/>
      <c r="D76" s="19" t="s">
        <v>45</v>
      </c>
      <c r="E76" s="22">
        <f>E78</f>
        <v>799999.99999999988</v>
      </c>
      <c r="F76" s="22">
        <f>F78-E78</f>
        <v>960000.00000000035</v>
      </c>
      <c r="G76" s="22">
        <f>G78-F78</f>
        <v>1151999.9999999998</v>
      </c>
      <c r="H76" s="22">
        <f t="shared" ref="H76:N76" si="38">H78-G78</f>
        <v>1382400</v>
      </c>
      <c r="I76" s="22">
        <f t="shared" si="38"/>
        <v>1658880</v>
      </c>
      <c r="J76" s="22">
        <f>J78-I78</f>
        <v>1990656.0000000019</v>
      </c>
      <c r="K76" s="22">
        <f t="shared" si="38"/>
        <v>2388787.1999999993</v>
      </c>
      <c r="L76" s="22">
        <f t="shared" si="38"/>
        <v>2866544.6399999987</v>
      </c>
      <c r="M76" s="22">
        <f t="shared" si="38"/>
        <v>3439853.568</v>
      </c>
      <c r="N76" s="22">
        <f t="shared" si="38"/>
        <v>4127824.2815999985</v>
      </c>
    </row>
    <row r="77" spans="2:14" ht="14.25" x14ac:dyDescent="0.45">
      <c r="B77" s="193"/>
      <c r="C77" s="193"/>
      <c r="D77" s="19" t="s">
        <v>47</v>
      </c>
      <c r="E77" s="22"/>
      <c r="F77" s="22"/>
      <c r="G77" s="22"/>
      <c r="H77" s="22"/>
      <c r="I77" s="22">
        <f>AVERAGE(E76:I76)</f>
        <v>1190656</v>
      </c>
      <c r="J77" s="22"/>
      <c r="K77" s="22"/>
      <c r="L77" s="22"/>
      <c r="M77" s="22"/>
      <c r="N77" s="22">
        <f>AVERAGE(E76:N76)</f>
        <v>2076694.5689599998</v>
      </c>
    </row>
    <row r="78" spans="2:14" ht="14.25" x14ac:dyDescent="0.45">
      <c r="B78" s="193"/>
      <c r="C78" s="193"/>
      <c r="D78" s="19" t="s">
        <v>46</v>
      </c>
      <c r="E78" s="21">
        <f t="shared" ref="E78:N78" si="39">E70*E$15</f>
        <v>799999.99999999988</v>
      </c>
      <c r="F78" s="21">
        <f t="shared" si="39"/>
        <v>1760000.0000000002</v>
      </c>
      <c r="G78" s="21">
        <f>G70*G$15</f>
        <v>2912000</v>
      </c>
      <c r="H78" s="21">
        <f>H70*H$15</f>
        <v>4294400</v>
      </c>
      <c r="I78" s="21">
        <f>I70*I$15</f>
        <v>5953280</v>
      </c>
      <c r="J78" s="21">
        <f t="shared" si="39"/>
        <v>7943936.0000000019</v>
      </c>
      <c r="K78" s="21">
        <f t="shared" si="39"/>
        <v>10332723.200000001</v>
      </c>
      <c r="L78" s="21">
        <f t="shared" si="39"/>
        <v>13199267.84</v>
      </c>
      <c r="M78" s="21">
        <f t="shared" si="39"/>
        <v>16639121.408</v>
      </c>
      <c r="N78" s="21">
        <f t="shared" si="39"/>
        <v>20766945.689599998</v>
      </c>
    </row>
    <row r="79" spans="2:14" ht="14.25" x14ac:dyDescent="0.45">
      <c r="B79" s="193" t="s">
        <v>137</v>
      </c>
      <c r="C79" s="192" t="s">
        <v>32</v>
      </c>
      <c r="D79" s="15" t="s">
        <v>43</v>
      </c>
      <c r="E79" s="16">
        <f>E$25</f>
        <v>9.6666666666666665E-2</v>
      </c>
      <c r="F79" s="16">
        <f t="shared" ref="F79:N79" si="40">F$25</f>
        <v>9.3888888888888883E-2</v>
      </c>
      <c r="G79" s="16">
        <f t="shared" si="40"/>
        <v>9.1574074074074072E-2</v>
      </c>
      <c r="H79" s="16">
        <f t="shared" si="40"/>
        <v>8.9645061728395065E-2</v>
      </c>
      <c r="I79" s="16">
        <f t="shared" si="40"/>
        <v>8.8037551440329223E-2</v>
      </c>
      <c r="J79" s="16">
        <f t="shared" si="40"/>
        <v>8.6697959533607677E-2</v>
      </c>
      <c r="K79" s="16">
        <f t="shared" si="40"/>
        <v>8.5581632944673067E-2</v>
      </c>
      <c r="L79" s="16">
        <f t="shared" si="40"/>
        <v>8.4651360787227556E-2</v>
      </c>
      <c r="M79" s="16">
        <f t="shared" si="40"/>
        <v>8.3876133989356297E-2</v>
      </c>
      <c r="N79" s="16">
        <f t="shared" si="40"/>
        <v>8.3230111657796924E-2</v>
      </c>
    </row>
    <row r="80" spans="2:14" ht="14.25" x14ac:dyDescent="0.45">
      <c r="B80" s="193"/>
      <c r="C80" s="192"/>
      <c r="D80" s="15" t="s">
        <v>44</v>
      </c>
      <c r="E80" s="16"/>
      <c r="F80" s="16"/>
      <c r="G80" s="16"/>
      <c r="H80" s="16"/>
      <c r="I80" s="80">
        <f>AVERAGE(E79:I79)</f>
        <v>9.196244855967077E-2</v>
      </c>
      <c r="J80" s="17"/>
      <c r="K80" s="17"/>
      <c r="L80" s="17"/>
      <c r="M80" s="17"/>
      <c r="N80" s="17">
        <f>AVERAGE(E79:N79)</f>
        <v>8.8384944171101543E-2</v>
      </c>
    </row>
    <row r="81" spans="2:14" ht="14.25" x14ac:dyDescent="0.45">
      <c r="B81" s="193"/>
      <c r="C81" s="192"/>
      <c r="D81" s="15" t="s">
        <v>42</v>
      </c>
      <c r="E81" s="16">
        <f>E$27</f>
        <v>9.6666666666666665E-2</v>
      </c>
      <c r="F81" s="16">
        <f t="shared" ref="F81:N81" si="41">F$27</f>
        <v>0.19055555555555553</v>
      </c>
      <c r="G81" s="16">
        <f t="shared" si="41"/>
        <v>0.28212962962962962</v>
      </c>
      <c r="H81" s="16">
        <f t="shared" si="41"/>
        <v>0.37177469135802466</v>
      </c>
      <c r="I81" s="16">
        <f t="shared" si="41"/>
        <v>0.45981224279835387</v>
      </c>
      <c r="J81" s="16">
        <f t="shared" si="41"/>
        <v>0.54651020233196157</v>
      </c>
      <c r="K81" s="16">
        <f t="shared" si="41"/>
        <v>0.63209183527663459</v>
      </c>
      <c r="L81" s="16">
        <f t="shared" si="41"/>
        <v>0.71674319606386216</v>
      </c>
      <c r="M81" s="16">
        <f t="shared" si="41"/>
        <v>0.8006193300532185</v>
      </c>
      <c r="N81" s="16">
        <f t="shared" si="41"/>
        <v>0.88384944171101543</v>
      </c>
    </row>
    <row r="82" spans="2:14" ht="14.25" customHeight="1" x14ac:dyDescent="0.45">
      <c r="B82" s="193"/>
      <c r="C82" s="193"/>
      <c r="D82" s="19" t="s">
        <v>45</v>
      </c>
      <c r="E82" s="20">
        <f t="shared" ref="E82:N82" si="42">10*E79</f>
        <v>0.96666666666666667</v>
      </c>
      <c r="F82" s="20">
        <f t="shared" si="42"/>
        <v>0.93888888888888888</v>
      </c>
      <c r="G82" s="20">
        <f t="shared" si="42"/>
        <v>0.91574074074074074</v>
      </c>
      <c r="H82" s="20">
        <f t="shared" si="42"/>
        <v>0.89645061728395059</v>
      </c>
      <c r="I82" s="20">
        <f t="shared" si="42"/>
        <v>0.8803755144032922</v>
      </c>
      <c r="J82" s="20">
        <f t="shared" si="42"/>
        <v>0.86697959533607682</v>
      </c>
      <c r="K82" s="20">
        <f t="shared" si="42"/>
        <v>0.85581632944673069</v>
      </c>
      <c r="L82" s="20">
        <f t="shared" si="42"/>
        <v>0.84651360787227559</v>
      </c>
      <c r="M82" s="20">
        <f t="shared" si="42"/>
        <v>0.83876133989356294</v>
      </c>
      <c r="N82" s="20">
        <f t="shared" si="42"/>
        <v>0.83230111657796924</v>
      </c>
    </row>
    <row r="83" spans="2:14" ht="14.25" x14ac:dyDescent="0.45">
      <c r="B83" s="193"/>
      <c r="C83" s="193"/>
      <c r="D83" s="19" t="s">
        <v>46</v>
      </c>
      <c r="E83" s="20">
        <f>10*E81</f>
        <v>0.96666666666666667</v>
      </c>
      <c r="F83" s="20">
        <f t="shared" ref="F83:N83" si="43">10*F81</f>
        <v>1.9055555555555554</v>
      </c>
      <c r="G83" s="20">
        <f t="shared" si="43"/>
        <v>2.8212962962962962</v>
      </c>
      <c r="H83" s="20">
        <f t="shared" si="43"/>
        <v>3.7177469135802466</v>
      </c>
      <c r="I83" s="20">
        <f t="shared" si="43"/>
        <v>4.5981224279835384</v>
      </c>
      <c r="J83" s="20">
        <f t="shared" si="43"/>
        <v>5.4651020233196155</v>
      </c>
      <c r="K83" s="20">
        <f t="shared" si="43"/>
        <v>6.3209183527663457</v>
      </c>
      <c r="L83" s="20">
        <f t="shared" si="43"/>
        <v>7.1674319606386216</v>
      </c>
      <c r="M83" s="20">
        <f t="shared" si="43"/>
        <v>8.0061933005321855</v>
      </c>
      <c r="N83" s="20">
        <f t="shared" si="43"/>
        <v>8.8384944171101552</v>
      </c>
    </row>
    <row r="84" spans="2:14" ht="14.25" x14ac:dyDescent="0.45">
      <c r="B84" s="193"/>
      <c r="C84" s="191" t="s">
        <v>36</v>
      </c>
      <c r="D84" s="15" t="s">
        <v>43</v>
      </c>
      <c r="E84" s="16">
        <f>E79*E$15/$E$4</f>
        <v>0.11600000000000001</v>
      </c>
      <c r="F84" s="16">
        <f t="shared" ref="F84:N84" si="44">F79*F$15/$E$4</f>
        <v>0.13519999999999999</v>
      </c>
      <c r="G84" s="16">
        <f t="shared" si="44"/>
        <v>0.15823999999999999</v>
      </c>
      <c r="H84" s="16">
        <f t="shared" si="44"/>
        <v>0.185888</v>
      </c>
      <c r="I84" s="16">
        <f t="shared" si="44"/>
        <v>0.21906560000000003</v>
      </c>
      <c r="J84" s="16">
        <f t="shared" si="44"/>
        <v>0.25887872000000001</v>
      </c>
      <c r="K84" s="16">
        <f t="shared" si="44"/>
        <v>0.30665446400000002</v>
      </c>
      <c r="L84" s="16">
        <f t="shared" si="44"/>
        <v>0.36398535679999999</v>
      </c>
      <c r="M84" s="16">
        <f t="shared" si="44"/>
        <v>0.43278242815999995</v>
      </c>
      <c r="N84" s="16">
        <f t="shared" si="44"/>
        <v>0.51533891379200003</v>
      </c>
    </row>
    <row r="85" spans="2:14" ht="14.25" x14ac:dyDescent="0.45">
      <c r="B85" s="193"/>
      <c r="C85" s="192"/>
      <c r="D85" s="15" t="s">
        <v>44</v>
      </c>
      <c r="E85" s="16"/>
      <c r="F85" s="16"/>
      <c r="G85" s="16"/>
      <c r="H85" s="16"/>
      <c r="I85" s="17">
        <f>AVERAGE(E84:I84)</f>
        <v>0.16287872</v>
      </c>
      <c r="J85" s="17"/>
      <c r="K85" s="17"/>
      <c r="L85" s="17"/>
      <c r="M85" s="17"/>
      <c r="N85" s="17">
        <f>AVERAGE(E84:N84)</f>
        <v>0.26920334827519998</v>
      </c>
    </row>
    <row r="86" spans="2:14" ht="14.25" x14ac:dyDescent="0.45">
      <c r="B86" s="193"/>
      <c r="C86" s="193"/>
      <c r="D86" s="19" t="s">
        <v>45</v>
      </c>
      <c r="E86" s="23">
        <f t="shared" ref="E86:F86" si="45">E82*E$15</f>
        <v>116000</v>
      </c>
      <c r="F86" s="23">
        <f t="shared" si="45"/>
        <v>135200</v>
      </c>
      <c r="G86" s="23">
        <f>G82*G$15</f>
        <v>158240</v>
      </c>
      <c r="H86" s="23">
        <f>H82*H$15</f>
        <v>185888</v>
      </c>
      <c r="I86" s="23">
        <f>I82*I$15</f>
        <v>219065.60000000001</v>
      </c>
      <c r="J86" s="23">
        <f t="shared" ref="J86:N86" si="46">J82*J$15</f>
        <v>258878.72000000003</v>
      </c>
      <c r="K86" s="23">
        <f t="shared" si="46"/>
        <v>306654.46400000004</v>
      </c>
      <c r="L86" s="23">
        <f t="shared" si="46"/>
        <v>363985.35680000001</v>
      </c>
      <c r="M86" s="23">
        <f t="shared" si="46"/>
        <v>432782.42815999995</v>
      </c>
      <c r="N86" s="23">
        <f t="shared" si="46"/>
        <v>515338.91379200004</v>
      </c>
    </row>
    <row r="87" spans="2:14" ht="14.25" customHeight="1" x14ac:dyDescent="0.45">
      <c r="B87" s="193"/>
      <c r="C87" s="193"/>
      <c r="D87" s="19" t="s">
        <v>47</v>
      </c>
      <c r="E87" s="24"/>
      <c r="F87" s="24"/>
      <c r="G87" s="24"/>
      <c r="H87" s="24"/>
      <c r="I87" s="23">
        <f>AVERAGE(E86:I86)</f>
        <v>162878.72</v>
      </c>
      <c r="J87" s="23"/>
      <c r="K87" s="23"/>
      <c r="L87" s="23"/>
      <c r="M87" s="23"/>
      <c r="N87" s="23">
        <f>AVERAGE(E86:N86)</f>
        <v>269203.3482752</v>
      </c>
    </row>
    <row r="88" spans="2:14" ht="14.25" x14ac:dyDescent="0.45">
      <c r="B88" s="193"/>
      <c r="C88" s="193"/>
      <c r="D88" s="19" t="s">
        <v>46</v>
      </c>
      <c r="E88" s="24">
        <f>E86</f>
        <v>116000</v>
      </c>
      <c r="F88" s="24">
        <f t="shared" ref="F88" si="47">E88+F86</f>
        <v>251200</v>
      </c>
      <c r="G88" s="24">
        <f>F88+G86</f>
        <v>409440</v>
      </c>
      <c r="H88" s="24">
        <f t="shared" ref="H88:I88" si="48">G88+H86</f>
        <v>595328</v>
      </c>
      <c r="I88" s="24">
        <f t="shared" si="48"/>
        <v>814393.6</v>
      </c>
      <c r="J88" s="24">
        <f>I88+J86</f>
        <v>1073272.3200000001</v>
      </c>
      <c r="K88" s="24">
        <f t="shared" ref="K88:N88" si="49">J88+K86</f>
        <v>1379926.784</v>
      </c>
      <c r="L88" s="24">
        <f t="shared" si="49"/>
        <v>1743912.1407999999</v>
      </c>
      <c r="M88" s="24">
        <f t="shared" si="49"/>
        <v>2176694.5689599998</v>
      </c>
      <c r="N88" s="24">
        <f t="shared" si="49"/>
        <v>2692033.482752</v>
      </c>
    </row>
    <row r="89" spans="2:14" ht="14.25" x14ac:dyDescent="0.45">
      <c r="B89" s="193"/>
      <c r="C89" s="191" t="s">
        <v>35</v>
      </c>
      <c r="D89" s="15" t="s">
        <v>43</v>
      </c>
      <c r="E89" s="16">
        <f>E81*E$15/$E$4</f>
        <v>0.11600000000000001</v>
      </c>
      <c r="F89" s="16">
        <f>F81*F$15/$E$4-E89</f>
        <v>0.15839999999999999</v>
      </c>
      <c r="G89" s="16">
        <f>G81*G$15/$E$4-F89-E89</f>
        <v>0.21312000000000003</v>
      </c>
      <c r="H89" s="16">
        <f>H81*H$15/$E$4-G89-F89-E89</f>
        <v>0.28339199999999987</v>
      </c>
      <c r="I89" s="16">
        <f>I81*I$15/$E$4-H89-G89-F89-E89</f>
        <v>0.37324800000000002</v>
      </c>
      <c r="J89" s="16">
        <f>J81*J$15/$E$4-I89-H89-G89-F89-E89</f>
        <v>0.48771072000000038</v>
      </c>
      <c r="K89" s="16">
        <f>K81*K$15/$E$4-J89-I89-H89-G89-F89-E89</f>
        <v>0.6330286079999996</v>
      </c>
      <c r="L89" s="16">
        <f>L81*L$15/$E$4-K89-J89-I89-H89-G89-F89-E89</f>
        <v>0.81696522239999991</v>
      </c>
      <c r="M89" s="16">
        <f>M81*M$15/$E$4-L89-K89-J89-I89-H89-G89-F89-E89</f>
        <v>1.0491553382399994</v>
      </c>
      <c r="N89" s="16">
        <f>N81*N$15/$E$4-M89-L89-K89-J89-I89-H89-G89-F89-E89</f>
        <v>1.3415428915200005</v>
      </c>
    </row>
    <row r="90" spans="2:14" ht="14.25" x14ac:dyDescent="0.45">
      <c r="B90" s="193"/>
      <c r="C90" s="192"/>
      <c r="D90" s="15" t="s">
        <v>44</v>
      </c>
      <c r="E90" s="17"/>
      <c r="F90" s="17"/>
      <c r="G90" s="17"/>
      <c r="H90" s="17"/>
      <c r="I90" s="17">
        <f>AVERAGE(E89:I89)</f>
        <v>0.22883199999999998</v>
      </c>
      <c r="J90" s="17"/>
      <c r="K90" s="17"/>
      <c r="L90" s="17"/>
      <c r="M90" s="17"/>
      <c r="N90" s="17">
        <f>AVERAGE(E89:N89)</f>
        <v>0.54725627801599996</v>
      </c>
    </row>
    <row r="91" spans="2:14" ht="14.25" x14ac:dyDescent="0.45">
      <c r="B91" s="193"/>
      <c r="C91" s="193"/>
      <c r="D91" s="19" t="s">
        <v>45</v>
      </c>
      <c r="E91" s="23">
        <f>E93</f>
        <v>116000</v>
      </c>
      <c r="F91" s="23">
        <f>F93-E93</f>
        <v>158400</v>
      </c>
      <c r="G91" s="23">
        <f>G93-F93</f>
        <v>213120</v>
      </c>
      <c r="H91" s="23">
        <f>H93-G93</f>
        <v>283391.99999999988</v>
      </c>
      <c r="I91" s="23">
        <f>I93-H93</f>
        <v>373247.99999999988</v>
      </c>
      <c r="J91" s="23">
        <f>J93-I93</f>
        <v>487710.7200000002</v>
      </c>
      <c r="K91" s="23">
        <f t="shared" ref="K91:N91" si="50">K93-J93</f>
        <v>633028.60799999977</v>
      </c>
      <c r="L91" s="23">
        <f t="shared" si="50"/>
        <v>816965.22239999985</v>
      </c>
      <c r="M91" s="23">
        <f t="shared" si="50"/>
        <v>1049155.3382400004</v>
      </c>
      <c r="N91" s="23">
        <f t="shared" si="50"/>
        <v>1341542.8915200005</v>
      </c>
    </row>
    <row r="92" spans="2:14" ht="14.25" x14ac:dyDescent="0.45">
      <c r="B92" s="193"/>
      <c r="C92" s="193"/>
      <c r="D92" s="19" t="s">
        <v>47</v>
      </c>
      <c r="E92" s="23"/>
      <c r="F92" s="23"/>
      <c r="G92" s="23"/>
      <c r="H92" s="23"/>
      <c r="I92" s="23">
        <f>AVERAGE(E91:I91)</f>
        <v>228831.99999999994</v>
      </c>
      <c r="J92" s="23"/>
      <c r="K92" s="23"/>
      <c r="L92" s="23"/>
      <c r="M92" s="23"/>
      <c r="N92" s="23">
        <f>AVERAGE(E91:N91)</f>
        <v>547256.27801600005</v>
      </c>
    </row>
    <row r="93" spans="2:14" ht="14.25" x14ac:dyDescent="0.45">
      <c r="B93" s="193"/>
      <c r="C93" s="193"/>
      <c r="D93" s="19" t="s">
        <v>46</v>
      </c>
      <c r="E93" s="24">
        <f t="shared" ref="E93:F93" si="51">E83*E$15</f>
        <v>116000</v>
      </c>
      <c r="F93" s="24">
        <f t="shared" si="51"/>
        <v>274400</v>
      </c>
      <c r="G93" s="24">
        <f>G83*G$15</f>
        <v>487520</v>
      </c>
      <c r="H93" s="24">
        <f>H83*H$15</f>
        <v>770911.99999999988</v>
      </c>
      <c r="I93" s="24">
        <f>I83*I$15</f>
        <v>1144159.9999999998</v>
      </c>
      <c r="J93" s="24">
        <f t="shared" ref="J93:N93" si="52">J83*J$15</f>
        <v>1631870.72</v>
      </c>
      <c r="K93" s="24">
        <f t="shared" si="52"/>
        <v>2264899.3279999997</v>
      </c>
      <c r="L93" s="24">
        <f t="shared" si="52"/>
        <v>3081864.5503999996</v>
      </c>
      <c r="M93" s="24">
        <f t="shared" si="52"/>
        <v>4131019.88864</v>
      </c>
      <c r="N93" s="24">
        <f t="shared" si="52"/>
        <v>5472562.7801600005</v>
      </c>
    </row>
    <row r="94" spans="2:14" ht="14.25" x14ac:dyDescent="0.45">
      <c r="B94" s="193" t="s">
        <v>17</v>
      </c>
      <c r="C94" s="192" t="s">
        <v>32</v>
      </c>
      <c r="D94" s="15" t="s">
        <v>43</v>
      </c>
      <c r="E94" s="16">
        <f>E$28</f>
        <v>4.8333333333333332E-2</v>
      </c>
      <c r="F94" s="16">
        <f t="shared" ref="F94:N94" si="53">F$28</f>
        <v>4.6944444444444441E-2</v>
      </c>
      <c r="G94" s="16">
        <f t="shared" si="53"/>
        <v>4.5787037037037036E-2</v>
      </c>
      <c r="H94" s="16">
        <f t="shared" si="53"/>
        <v>4.4822530864197532E-2</v>
      </c>
      <c r="I94" s="16">
        <f t="shared" si="53"/>
        <v>4.4018775720164612E-2</v>
      </c>
      <c r="J94" s="16">
        <f t="shared" si="53"/>
        <v>4.3348979766803838E-2</v>
      </c>
      <c r="K94" s="16">
        <f t="shared" si="53"/>
        <v>4.2790816472336533E-2</v>
      </c>
      <c r="L94" s="16">
        <f t="shared" si="53"/>
        <v>4.2325680393613778E-2</v>
      </c>
      <c r="M94" s="16">
        <f t="shared" si="53"/>
        <v>4.1938066994678148E-2</v>
      </c>
      <c r="N94" s="16">
        <f t="shared" si="53"/>
        <v>4.1615055828898462E-2</v>
      </c>
    </row>
    <row r="95" spans="2:14" ht="14.25" x14ac:dyDescent="0.45">
      <c r="B95" s="193"/>
      <c r="C95" s="192"/>
      <c r="D95" s="15" t="s">
        <v>44</v>
      </c>
      <c r="E95" s="16"/>
      <c r="F95" s="16"/>
      <c r="G95" s="16"/>
      <c r="H95" s="16"/>
      <c r="I95" s="80">
        <f>AVERAGE(E94:I94)</f>
        <v>4.5981224279835385E-2</v>
      </c>
      <c r="J95" s="17"/>
      <c r="K95" s="17"/>
      <c r="L95" s="17"/>
      <c r="M95" s="17"/>
      <c r="N95" s="17">
        <f>AVERAGE(E94:N94)</f>
        <v>4.4192472085550771E-2</v>
      </c>
    </row>
    <row r="96" spans="2:14" ht="14.25" x14ac:dyDescent="0.45">
      <c r="B96" s="193"/>
      <c r="C96" s="192"/>
      <c r="D96" s="15" t="s">
        <v>42</v>
      </c>
      <c r="E96" s="16">
        <f t="shared" ref="E96:N96" si="54">E$30</f>
        <v>4.8333333333333332E-2</v>
      </c>
      <c r="F96" s="16">
        <f t="shared" si="54"/>
        <v>9.5277777777777767E-2</v>
      </c>
      <c r="G96" s="16">
        <f t="shared" si="54"/>
        <v>0.14106481481481481</v>
      </c>
      <c r="H96" s="16">
        <f t="shared" si="54"/>
        <v>0.18588734567901233</v>
      </c>
      <c r="I96" s="16">
        <f t="shared" si="54"/>
        <v>0.22990612139917693</v>
      </c>
      <c r="J96" s="16">
        <f t="shared" si="54"/>
        <v>0.27325510116598078</v>
      </c>
      <c r="K96" s="16">
        <f t="shared" si="54"/>
        <v>0.3160459176383173</v>
      </c>
      <c r="L96" s="16">
        <f t="shared" si="54"/>
        <v>0.35837159803193108</v>
      </c>
      <c r="M96" s="16">
        <f t="shared" si="54"/>
        <v>0.40030966502660925</v>
      </c>
      <c r="N96" s="16">
        <f t="shared" si="54"/>
        <v>0.44192472085550771</v>
      </c>
    </row>
    <row r="97" spans="2:14" ht="14.25" customHeight="1" x14ac:dyDescent="0.45">
      <c r="B97" s="193"/>
      <c r="C97" s="193"/>
      <c r="D97" s="19" t="s">
        <v>45</v>
      </c>
      <c r="E97" s="20">
        <f t="shared" ref="E97:N97" si="55">10*E94</f>
        <v>0.48333333333333334</v>
      </c>
      <c r="F97" s="20">
        <f t="shared" si="55"/>
        <v>0.46944444444444444</v>
      </c>
      <c r="G97" s="20">
        <f t="shared" si="55"/>
        <v>0.45787037037037037</v>
      </c>
      <c r="H97" s="20">
        <f t="shared" si="55"/>
        <v>0.4482253086419753</v>
      </c>
      <c r="I97" s="20">
        <f t="shared" si="55"/>
        <v>0.4401877572016461</v>
      </c>
      <c r="J97" s="20">
        <f t="shared" si="55"/>
        <v>0.43348979766803841</v>
      </c>
      <c r="K97" s="20">
        <f t="shared" si="55"/>
        <v>0.42790816472336535</v>
      </c>
      <c r="L97" s="20">
        <f t="shared" si="55"/>
        <v>0.42325680393613779</v>
      </c>
      <c r="M97" s="20">
        <f t="shared" si="55"/>
        <v>0.41938066994678147</v>
      </c>
      <c r="N97" s="20">
        <f t="shared" si="55"/>
        <v>0.41615055828898462</v>
      </c>
    </row>
    <row r="98" spans="2:14" ht="14.25" x14ac:dyDescent="0.45">
      <c r="B98" s="193"/>
      <c r="C98" s="193"/>
      <c r="D98" s="19" t="s">
        <v>46</v>
      </c>
      <c r="E98" s="20">
        <f>10*E96</f>
        <v>0.48333333333333334</v>
      </c>
      <c r="F98" s="20">
        <f t="shared" ref="F98:N98" si="56">10*F96</f>
        <v>0.95277777777777772</v>
      </c>
      <c r="G98" s="20">
        <f t="shared" si="56"/>
        <v>1.4106481481481481</v>
      </c>
      <c r="H98" s="20">
        <f t="shared" si="56"/>
        <v>1.8588734567901233</v>
      </c>
      <c r="I98" s="20">
        <f t="shared" si="56"/>
        <v>2.2990612139917692</v>
      </c>
      <c r="J98" s="20">
        <f t="shared" si="56"/>
        <v>2.7325510116598077</v>
      </c>
      <c r="K98" s="20">
        <f t="shared" si="56"/>
        <v>3.1604591763831729</v>
      </c>
      <c r="L98" s="20">
        <f t="shared" si="56"/>
        <v>3.5837159803193108</v>
      </c>
      <c r="M98" s="20">
        <f t="shared" si="56"/>
        <v>4.0030966502660927</v>
      </c>
      <c r="N98" s="20">
        <f t="shared" si="56"/>
        <v>4.4192472085550776</v>
      </c>
    </row>
    <row r="99" spans="2:14" ht="14.25" x14ac:dyDescent="0.45">
      <c r="B99" s="193"/>
      <c r="C99" s="191" t="s">
        <v>36</v>
      </c>
      <c r="D99" s="15" t="s">
        <v>43</v>
      </c>
      <c r="E99" s="16">
        <f t="shared" ref="E99:N99" si="57">E94*E$15/$E$4</f>
        <v>5.8000000000000003E-2</v>
      </c>
      <c r="F99" s="16">
        <f t="shared" si="57"/>
        <v>6.7599999999999993E-2</v>
      </c>
      <c r="G99" s="16">
        <f t="shared" si="57"/>
        <v>7.9119999999999996E-2</v>
      </c>
      <c r="H99" s="16">
        <f t="shared" si="57"/>
        <v>9.2943999999999999E-2</v>
      </c>
      <c r="I99" s="16">
        <f t="shared" si="57"/>
        <v>0.10953280000000001</v>
      </c>
      <c r="J99" s="16">
        <f t="shared" si="57"/>
        <v>0.12943936</v>
      </c>
      <c r="K99" s="16">
        <f t="shared" si="57"/>
        <v>0.15332723200000001</v>
      </c>
      <c r="L99" s="16">
        <f t="shared" si="57"/>
        <v>0.1819926784</v>
      </c>
      <c r="M99" s="16">
        <f t="shared" si="57"/>
        <v>0.21639121407999998</v>
      </c>
      <c r="N99" s="16">
        <f t="shared" si="57"/>
        <v>0.25766945689600002</v>
      </c>
    </row>
    <row r="100" spans="2:14" ht="14.25" x14ac:dyDescent="0.45">
      <c r="B100" s="193"/>
      <c r="C100" s="192"/>
      <c r="D100" s="15" t="s">
        <v>44</v>
      </c>
      <c r="E100" s="16"/>
      <c r="F100" s="16"/>
      <c r="G100" s="16"/>
      <c r="H100" s="16"/>
      <c r="I100" s="17">
        <f>AVERAGE(E99:I99)</f>
        <v>8.1439360000000002E-2</v>
      </c>
      <c r="J100" s="17"/>
      <c r="K100" s="17"/>
      <c r="L100" s="17"/>
      <c r="M100" s="17"/>
      <c r="N100" s="17">
        <f>AVERAGE(E99:N99)</f>
        <v>0.13460167413759999</v>
      </c>
    </row>
    <row r="101" spans="2:14" ht="14.25" x14ac:dyDescent="0.45">
      <c r="B101" s="193"/>
      <c r="C101" s="193"/>
      <c r="D101" s="19" t="s">
        <v>45</v>
      </c>
      <c r="E101" s="23">
        <f t="shared" ref="E101:N101" si="58">E97*E$15</f>
        <v>58000</v>
      </c>
      <c r="F101" s="23">
        <f t="shared" si="58"/>
        <v>67600</v>
      </c>
      <c r="G101" s="23">
        <f>G97*G$15</f>
        <v>79120</v>
      </c>
      <c r="H101" s="23">
        <f>H97*H$15</f>
        <v>92944</v>
      </c>
      <c r="I101" s="23">
        <f>I97*I$15</f>
        <v>109532.8</v>
      </c>
      <c r="J101" s="23">
        <f t="shared" si="58"/>
        <v>129439.36000000002</v>
      </c>
      <c r="K101" s="23">
        <f t="shared" si="58"/>
        <v>153327.23200000002</v>
      </c>
      <c r="L101" s="23">
        <f t="shared" si="58"/>
        <v>181992.6784</v>
      </c>
      <c r="M101" s="23">
        <f t="shared" si="58"/>
        <v>216391.21407999998</v>
      </c>
      <c r="N101" s="23">
        <f t="shared" si="58"/>
        <v>257669.45689600002</v>
      </c>
    </row>
    <row r="102" spans="2:14" ht="14.25" customHeight="1" x14ac:dyDescent="0.45">
      <c r="B102" s="193"/>
      <c r="C102" s="193"/>
      <c r="D102" s="19" t="s">
        <v>47</v>
      </c>
      <c r="E102" s="24"/>
      <c r="F102" s="24"/>
      <c r="G102" s="24"/>
      <c r="H102" s="24"/>
      <c r="I102" s="23">
        <f>AVERAGE(E101:I101)</f>
        <v>81439.360000000001</v>
      </c>
      <c r="J102" s="23"/>
      <c r="K102" s="23"/>
      <c r="L102" s="23"/>
      <c r="M102" s="23"/>
      <c r="N102" s="23">
        <f>AVERAGE(E101:N101)</f>
        <v>134601.6741376</v>
      </c>
    </row>
    <row r="103" spans="2:14" ht="14.25" x14ac:dyDescent="0.45">
      <c r="B103" s="193"/>
      <c r="C103" s="193"/>
      <c r="D103" s="19" t="s">
        <v>46</v>
      </c>
      <c r="E103" s="24">
        <f>E101</f>
        <v>58000</v>
      </c>
      <c r="F103" s="24">
        <f t="shared" ref="F103:N103" si="59">E103+F101</f>
        <v>125600</v>
      </c>
      <c r="G103" s="24">
        <f>F103+G101</f>
        <v>204720</v>
      </c>
      <c r="H103" s="24">
        <f t="shared" si="59"/>
        <v>297664</v>
      </c>
      <c r="I103" s="24">
        <f t="shared" si="59"/>
        <v>407196.8</v>
      </c>
      <c r="J103" s="24">
        <f>I103+J101</f>
        <v>536636.16000000003</v>
      </c>
      <c r="K103" s="24">
        <f t="shared" si="59"/>
        <v>689963.39199999999</v>
      </c>
      <c r="L103" s="24">
        <f t="shared" si="59"/>
        <v>871956.07039999997</v>
      </c>
      <c r="M103" s="24">
        <f t="shared" si="59"/>
        <v>1088347.2844799999</v>
      </c>
      <c r="N103" s="24">
        <f t="shared" si="59"/>
        <v>1346016.741376</v>
      </c>
    </row>
    <row r="104" spans="2:14" ht="14.25" x14ac:dyDescent="0.45">
      <c r="B104" s="193"/>
      <c r="C104" s="191" t="s">
        <v>35</v>
      </c>
      <c r="D104" s="15" t="s">
        <v>43</v>
      </c>
      <c r="E104" s="16">
        <f>E96*E$15/$E$4</f>
        <v>5.8000000000000003E-2</v>
      </c>
      <c r="F104" s="16">
        <f>F96*F$15/$E$4-E104</f>
        <v>7.9199999999999993E-2</v>
      </c>
      <c r="G104" s="16">
        <f>G96*G$15/$E$4-F104-E104</f>
        <v>0.10656000000000002</v>
      </c>
      <c r="H104" s="16">
        <f>H96*H$15/$E$4-G104-F104-E104</f>
        <v>0.14169599999999993</v>
      </c>
      <c r="I104" s="16">
        <f>I96*I$15/$E$4-H104-G104-F104-E104</f>
        <v>0.18662400000000001</v>
      </c>
      <c r="J104" s="16">
        <f>J96*J$15/$E$4-I104-H104-G104-F104-E104</f>
        <v>0.24385536000000019</v>
      </c>
      <c r="K104" s="16">
        <f>K96*K$15/$E$4-J104-I104-H104-G104-F104-E104</f>
        <v>0.3165143039999998</v>
      </c>
      <c r="L104" s="16">
        <f>L96*L$15/$E$4-K104-J104-I104-H104-G104-F104-E104</f>
        <v>0.40848261119999996</v>
      </c>
      <c r="M104" s="16">
        <f>M96*M$15/$E$4-L104-K104-J104-I104-H104-G104-F104-E104</f>
        <v>0.5245776691199997</v>
      </c>
      <c r="N104" s="16">
        <f>N96*N$15/$E$4-M104-L104-K104-J104-I104-H104-G104-F104-E104</f>
        <v>0.67077144576000025</v>
      </c>
    </row>
    <row r="105" spans="2:14" ht="14.25" x14ac:dyDescent="0.45">
      <c r="B105" s="193"/>
      <c r="C105" s="192"/>
      <c r="D105" s="15" t="s">
        <v>44</v>
      </c>
      <c r="E105" s="17"/>
      <c r="F105" s="17"/>
      <c r="G105" s="17"/>
      <c r="H105" s="17"/>
      <c r="I105" s="17">
        <f>AVERAGE(E104:I104)</f>
        <v>0.11441599999999999</v>
      </c>
      <c r="J105" s="17"/>
      <c r="K105" s="17"/>
      <c r="L105" s="17"/>
      <c r="M105" s="17"/>
      <c r="N105" s="17">
        <f>AVERAGE(E104:N104)</f>
        <v>0.27362813900799998</v>
      </c>
    </row>
    <row r="106" spans="2:14" ht="14.25" x14ac:dyDescent="0.45">
      <c r="B106" s="193"/>
      <c r="C106" s="193"/>
      <c r="D106" s="19" t="s">
        <v>45</v>
      </c>
      <c r="E106" s="23">
        <f>E108</f>
        <v>58000</v>
      </c>
      <c r="F106" s="23">
        <f>F108-E108</f>
        <v>79200</v>
      </c>
      <c r="G106" s="23">
        <f>G108-F108</f>
        <v>106560</v>
      </c>
      <c r="H106" s="23">
        <f>H108-G108</f>
        <v>141695.99999999994</v>
      </c>
      <c r="I106" s="23">
        <f>I108-H108</f>
        <v>186623.99999999994</v>
      </c>
      <c r="J106" s="23">
        <f>J108-I108</f>
        <v>243855.3600000001</v>
      </c>
      <c r="K106" s="23">
        <f t="shared" ref="K106:N106" si="60">K108-J108</f>
        <v>316514.30399999989</v>
      </c>
      <c r="L106" s="23">
        <f t="shared" si="60"/>
        <v>408482.61119999993</v>
      </c>
      <c r="M106" s="23">
        <f t="shared" si="60"/>
        <v>524577.66912000021</v>
      </c>
      <c r="N106" s="23">
        <f t="shared" si="60"/>
        <v>670771.44576000026</v>
      </c>
    </row>
    <row r="107" spans="2:14" ht="15" customHeight="1" x14ac:dyDescent="0.45">
      <c r="B107" s="193"/>
      <c r="C107" s="193"/>
      <c r="D107" s="19" t="s">
        <v>47</v>
      </c>
      <c r="E107" s="23"/>
      <c r="F107" s="23"/>
      <c r="G107" s="23"/>
      <c r="H107" s="23"/>
      <c r="I107" s="23">
        <f>AVERAGE(E106:I106)</f>
        <v>114415.99999999997</v>
      </c>
      <c r="J107" s="23"/>
      <c r="K107" s="23"/>
      <c r="L107" s="23"/>
      <c r="M107" s="23"/>
      <c r="N107" s="23">
        <f>AVERAGE(E106:N106)</f>
        <v>273628.13900800003</v>
      </c>
    </row>
    <row r="108" spans="2:14" ht="14.25" x14ac:dyDescent="0.45">
      <c r="B108" s="193"/>
      <c r="C108" s="193"/>
      <c r="D108" s="19" t="s">
        <v>46</v>
      </c>
      <c r="E108" s="24">
        <f t="shared" ref="E108:N108" si="61">E98*E$15</f>
        <v>58000</v>
      </c>
      <c r="F108" s="24">
        <f t="shared" si="61"/>
        <v>137200</v>
      </c>
      <c r="G108" s="24">
        <f>G98*G$15</f>
        <v>243760</v>
      </c>
      <c r="H108" s="24">
        <f>H98*H$15</f>
        <v>385455.99999999994</v>
      </c>
      <c r="I108" s="24">
        <f>I98*I$15</f>
        <v>572079.99999999988</v>
      </c>
      <c r="J108" s="24">
        <f t="shared" si="61"/>
        <v>815935.36</v>
      </c>
      <c r="K108" s="24">
        <f t="shared" si="61"/>
        <v>1132449.6639999999</v>
      </c>
      <c r="L108" s="24">
        <f t="shared" si="61"/>
        <v>1540932.2751999998</v>
      </c>
      <c r="M108" s="24">
        <f t="shared" si="61"/>
        <v>2065509.94432</v>
      </c>
      <c r="N108" s="24">
        <f t="shared" si="61"/>
        <v>2736281.3900800003</v>
      </c>
    </row>
    <row r="109" spans="2:14" ht="14.25" x14ac:dyDescent="0.45">
      <c r="B109" s="193" t="s">
        <v>18</v>
      </c>
      <c r="C109" s="192" t="s">
        <v>32</v>
      </c>
      <c r="D109" s="15" t="s">
        <v>43</v>
      </c>
      <c r="E109" s="16">
        <f>E66+E79+E94-E34-E50</f>
        <v>0.48666666666666669</v>
      </c>
      <c r="F109" s="16">
        <f t="shared" ref="F109:N109" si="62">F66+F79+F94-F34-F50</f>
        <v>0.4255555555555558</v>
      </c>
      <c r="G109" s="16">
        <f t="shared" si="62"/>
        <v>0.37462962962962942</v>
      </c>
      <c r="H109" s="16">
        <f t="shared" si="62"/>
        <v>0.33219135802469146</v>
      </c>
      <c r="I109" s="16">
        <f t="shared" si="62"/>
        <v>0.2968261316872427</v>
      </c>
      <c r="J109" s="16">
        <f t="shared" si="62"/>
        <v>0.26735510973936938</v>
      </c>
      <c r="K109" s="16">
        <f t="shared" si="62"/>
        <v>0.24279592478280737</v>
      </c>
      <c r="L109" s="16">
        <f t="shared" si="62"/>
        <v>0.22232993731900613</v>
      </c>
      <c r="M109" s="16">
        <f t="shared" si="62"/>
        <v>0.20527494776583827</v>
      </c>
      <c r="N109" s="16">
        <f t="shared" si="62"/>
        <v>0.1910624564715323</v>
      </c>
    </row>
    <row r="110" spans="2:14" ht="14.25" x14ac:dyDescent="0.45">
      <c r="B110" s="193"/>
      <c r="C110" s="192"/>
      <c r="D110" s="15" t="s">
        <v>44</v>
      </c>
      <c r="E110" s="16"/>
      <c r="F110" s="16"/>
      <c r="G110" s="16"/>
      <c r="H110" s="16"/>
      <c r="I110" s="38">
        <f>AVERAGE(E109:I109)</f>
        <v>0.38317386831275718</v>
      </c>
      <c r="J110" s="16"/>
      <c r="K110" s="16"/>
      <c r="L110" s="16"/>
      <c r="M110" s="16"/>
      <c r="N110" s="17">
        <f>AVERAGE(E109:N109)</f>
        <v>0.30446877176423393</v>
      </c>
    </row>
    <row r="111" spans="2:14" ht="14.25" x14ac:dyDescent="0.45">
      <c r="B111" s="193"/>
      <c r="C111" s="192"/>
      <c r="D111" s="15" t="s">
        <v>42</v>
      </c>
      <c r="E111" s="16">
        <f>E68+E81+E96-E36-E52</f>
        <v>0.48666666666666669</v>
      </c>
      <c r="F111" s="16">
        <f t="shared" ref="F111:N111" si="63">F68+F81+F96-F36-F52</f>
        <v>0.91222222222222249</v>
      </c>
      <c r="G111" s="16">
        <f t="shared" si="63"/>
        <v>1.2868518518518517</v>
      </c>
      <c r="H111" s="16">
        <f t="shared" si="63"/>
        <v>1.6190432098765439</v>
      </c>
      <c r="I111" s="16">
        <f t="shared" si="63"/>
        <v>1.9158693415637855</v>
      </c>
      <c r="J111" s="16">
        <f t="shared" si="63"/>
        <v>2.1832244513031567</v>
      </c>
      <c r="K111" s="16">
        <f t="shared" si="63"/>
        <v>2.4260203760859618</v>
      </c>
      <c r="L111" s="16">
        <f t="shared" si="63"/>
        <v>2.6483503134049675</v>
      </c>
      <c r="M111" s="16">
        <f t="shared" si="63"/>
        <v>2.8536252611708042</v>
      </c>
      <c r="N111" s="16">
        <f t="shared" si="63"/>
        <v>3.044687717642343</v>
      </c>
    </row>
    <row r="112" spans="2:14" ht="14.25" x14ac:dyDescent="0.45">
      <c r="B112" s="193"/>
      <c r="C112" s="193"/>
      <c r="D112" s="19" t="s">
        <v>45</v>
      </c>
      <c r="E112" s="20">
        <f>10*E109</f>
        <v>4.8666666666666671</v>
      </c>
      <c r="F112" s="20">
        <f t="shared" ref="F112:N112" si="64">10*F109</f>
        <v>4.2555555555555582</v>
      </c>
      <c r="G112" s="20">
        <f t="shared" si="64"/>
        <v>3.7462962962962942</v>
      </c>
      <c r="H112" s="20">
        <f t="shared" si="64"/>
        <v>3.3219135802469149</v>
      </c>
      <c r="I112" s="20">
        <f t="shared" si="64"/>
        <v>2.968261316872427</v>
      </c>
      <c r="J112" s="20">
        <f t="shared" si="64"/>
        <v>2.6735510973936938</v>
      </c>
      <c r="K112" s="20">
        <f t="shared" si="64"/>
        <v>2.4279592478280736</v>
      </c>
      <c r="L112" s="20">
        <f t="shared" si="64"/>
        <v>2.2232993731900614</v>
      </c>
      <c r="M112" s="20">
        <f t="shared" si="64"/>
        <v>2.0527494776583826</v>
      </c>
      <c r="N112" s="20">
        <f t="shared" si="64"/>
        <v>1.910624564715323</v>
      </c>
    </row>
    <row r="113" spans="1:16" ht="14.25" x14ac:dyDescent="0.45">
      <c r="B113" s="193"/>
      <c r="C113" s="193"/>
      <c r="D113" s="19" t="s">
        <v>46</v>
      </c>
      <c r="E113" s="20">
        <f>10*E111</f>
        <v>4.8666666666666671</v>
      </c>
      <c r="F113" s="20">
        <f>10*F111</f>
        <v>9.1222222222222253</v>
      </c>
      <c r="G113" s="20">
        <f>10*G111</f>
        <v>12.868518518518517</v>
      </c>
      <c r="H113" s="20">
        <f t="shared" ref="H113:N113" si="65">10*H111</f>
        <v>16.190432098765438</v>
      </c>
      <c r="I113" s="20">
        <f t="shared" si="65"/>
        <v>19.158693415637856</v>
      </c>
      <c r="J113" s="20">
        <f t="shared" si="65"/>
        <v>21.832244513031569</v>
      </c>
      <c r="K113" s="20">
        <f t="shared" si="65"/>
        <v>24.260203760859618</v>
      </c>
      <c r="L113" s="20">
        <f t="shared" si="65"/>
        <v>26.483503134049677</v>
      </c>
      <c r="M113" s="20">
        <f t="shared" si="65"/>
        <v>28.536252611708044</v>
      </c>
      <c r="N113" s="20">
        <f t="shared" si="65"/>
        <v>30.446877176423431</v>
      </c>
    </row>
    <row r="114" spans="1:16" ht="14.25" x14ac:dyDescent="0.45">
      <c r="B114" s="193"/>
      <c r="C114" s="191" t="s">
        <v>36</v>
      </c>
      <c r="D114" s="15" t="s">
        <v>43</v>
      </c>
      <c r="E114" s="16">
        <f>E71+E84+E99-E39-E55</f>
        <v>0.58400000000000007</v>
      </c>
      <c r="F114" s="16">
        <f t="shared" ref="F114:N114" si="66">F71+F84+F99-F39-F55</f>
        <v>0.61280000000000023</v>
      </c>
      <c r="G114" s="16">
        <f t="shared" si="66"/>
        <v>0.64735999999999994</v>
      </c>
      <c r="H114" s="16">
        <f t="shared" si="66"/>
        <v>0.68883200000000033</v>
      </c>
      <c r="I114" s="16">
        <f t="shared" si="66"/>
        <v>0.73859839999999988</v>
      </c>
      <c r="J114" s="16">
        <f t="shared" si="66"/>
        <v>0.79831808000000115</v>
      </c>
      <c r="K114" s="16">
        <f t="shared" si="66"/>
        <v>0.86998169599999975</v>
      </c>
      <c r="L114" s="16">
        <f t="shared" si="66"/>
        <v>0.95597803519999958</v>
      </c>
      <c r="M114" s="16">
        <f t="shared" si="66"/>
        <v>1.0591736422399984</v>
      </c>
      <c r="N114" s="16">
        <f t="shared" si="66"/>
        <v>1.1830083706880015</v>
      </c>
    </row>
    <row r="115" spans="1:16" ht="14.25" x14ac:dyDescent="0.45">
      <c r="B115" s="193"/>
      <c r="C115" s="192"/>
      <c r="D115" s="15" t="s">
        <v>44</v>
      </c>
      <c r="E115" s="16"/>
      <c r="F115" s="16"/>
      <c r="G115" s="16"/>
      <c r="H115" s="16"/>
      <c r="I115" s="17">
        <f>AVERAGE(E114:I114)</f>
        <v>0.65431808000000014</v>
      </c>
      <c r="J115" s="17"/>
      <c r="K115" s="17"/>
      <c r="L115" s="17"/>
      <c r="M115" s="17"/>
      <c r="N115" s="17">
        <f>AVERAGE(E114:N114)</f>
        <v>0.81380502241280017</v>
      </c>
    </row>
    <row r="116" spans="1:16" ht="14.25" x14ac:dyDescent="0.45">
      <c r="B116" s="193"/>
      <c r="C116" s="193"/>
      <c r="D116" s="19" t="s">
        <v>45</v>
      </c>
      <c r="E116" s="22">
        <f t="shared" ref="E116:N116" si="67">E112*E$15</f>
        <v>584000</v>
      </c>
      <c r="F116" s="22">
        <f t="shared" si="67"/>
        <v>612800.00000000035</v>
      </c>
      <c r="G116" s="22">
        <f>G112*G$15</f>
        <v>647359.99999999965</v>
      </c>
      <c r="H116" s="22">
        <f>H112*H$15</f>
        <v>688832.00000000023</v>
      </c>
      <c r="I116" s="22">
        <f>I112*I$15</f>
        <v>738598.39999999979</v>
      </c>
      <c r="J116" s="22">
        <f t="shared" si="67"/>
        <v>798318.08000000124</v>
      </c>
      <c r="K116" s="22">
        <f t="shared" si="67"/>
        <v>869981.69599999953</v>
      </c>
      <c r="L116" s="22">
        <f t="shared" si="67"/>
        <v>955978.03519999958</v>
      </c>
      <c r="M116" s="22">
        <f t="shared" si="67"/>
        <v>1059173.6422399986</v>
      </c>
      <c r="N116" s="22">
        <f t="shared" si="67"/>
        <v>1183008.3706880012</v>
      </c>
    </row>
    <row r="117" spans="1:16" ht="14.25" x14ac:dyDescent="0.45">
      <c r="B117" s="193"/>
      <c r="C117" s="193"/>
      <c r="D117" s="19" t="s">
        <v>47</v>
      </c>
      <c r="E117" s="21"/>
      <c r="F117" s="21"/>
      <c r="G117" s="21"/>
      <c r="H117" s="21"/>
      <c r="I117" s="22">
        <f>AVERAGE(E116:I116)</f>
        <v>654318.07999999996</v>
      </c>
      <c r="J117" s="22"/>
      <c r="K117" s="22"/>
      <c r="L117" s="22"/>
      <c r="M117" s="22"/>
      <c r="N117" s="22">
        <f>AVERAGE(E116:N116)</f>
        <v>813805.0224128</v>
      </c>
    </row>
    <row r="118" spans="1:16" ht="14.25" x14ac:dyDescent="0.45">
      <c r="B118" s="193"/>
      <c r="C118" s="193"/>
      <c r="D118" s="19" t="s">
        <v>46</v>
      </c>
      <c r="E118" s="21">
        <f>E116</f>
        <v>584000</v>
      </c>
      <c r="F118" s="21">
        <f t="shared" ref="F118:N118" si="68">E118+F116</f>
        <v>1196800.0000000005</v>
      </c>
      <c r="G118" s="21">
        <f>F118+G116</f>
        <v>1844160</v>
      </c>
      <c r="H118" s="21">
        <f t="shared" si="68"/>
        <v>2532992</v>
      </c>
      <c r="I118" s="21">
        <f t="shared" si="68"/>
        <v>3271590.4</v>
      </c>
      <c r="J118" s="21">
        <f>I118+J116</f>
        <v>4069908.4800000014</v>
      </c>
      <c r="K118" s="21">
        <f t="shared" si="68"/>
        <v>4939890.1760000009</v>
      </c>
      <c r="L118" s="21">
        <f t="shared" si="68"/>
        <v>5895868.2112000007</v>
      </c>
      <c r="M118" s="21">
        <f t="shared" si="68"/>
        <v>6955041.8534399997</v>
      </c>
      <c r="N118" s="21">
        <f t="shared" si="68"/>
        <v>8138050.2241280004</v>
      </c>
    </row>
    <row r="119" spans="1:16" ht="15" customHeight="1" x14ac:dyDescent="0.45">
      <c r="B119" s="193"/>
      <c r="C119" s="191" t="s">
        <v>35</v>
      </c>
      <c r="D119" s="15" t="s">
        <v>43</v>
      </c>
      <c r="E119" s="16">
        <f>E74+E89+E104-E42-E58</f>
        <v>0.58400000000000007</v>
      </c>
      <c r="F119" s="16">
        <f t="shared" ref="F119:N119" si="69">F74+F89+F104-F42-F58</f>
        <v>0.72960000000000003</v>
      </c>
      <c r="G119" s="16">
        <f t="shared" si="69"/>
        <v>0.91007999999999956</v>
      </c>
      <c r="H119" s="16">
        <f t="shared" si="69"/>
        <v>1.1335680000000008</v>
      </c>
      <c r="I119" s="16">
        <f t="shared" si="69"/>
        <v>1.4100479999999984</v>
      </c>
      <c r="J119" s="16">
        <f t="shared" si="69"/>
        <v>1.751777280000006</v>
      </c>
      <c r="K119" s="16">
        <f t="shared" si="69"/>
        <v>2.1737963519999925</v>
      </c>
      <c r="L119" s="16">
        <f t="shared" si="69"/>
        <v>2.6945519615999971</v>
      </c>
      <c r="M119" s="16">
        <f t="shared" si="69"/>
        <v>3.33665796095999</v>
      </c>
      <c r="N119" s="16">
        <f t="shared" si="69"/>
        <v>4.1278242816000335</v>
      </c>
    </row>
    <row r="120" spans="1:16" ht="15" customHeight="1" x14ac:dyDescent="0.45">
      <c r="B120" s="193"/>
      <c r="C120" s="192"/>
      <c r="D120" s="15" t="s">
        <v>44</v>
      </c>
      <c r="E120" s="17"/>
      <c r="F120" s="17"/>
      <c r="G120" s="17"/>
      <c r="H120" s="17"/>
      <c r="I120" s="17">
        <f>AVERAGE(E119:I119)</f>
        <v>0.95345919999999984</v>
      </c>
      <c r="J120" s="17"/>
      <c r="K120" s="17"/>
      <c r="L120" s="17"/>
      <c r="M120" s="17"/>
      <c r="N120" s="17">
        <f>AVERAGE(E119:N119)</f>
        <v>1.8851903836160016</v>
      </c>
    </row>
    <row r="121" spans="1:16" ht="15" customHeight="1" x14ac:dyDescent="0.45">
      <c r="B121" s="193"/>
      <c r="C121" s="193"/>
      <c r="D121" s="19" t="s">
        <v>45</v>
      </c>
      <c r="E121" s="22">
        <f>E123</f>
        <v>584000</v>
      </c>
      <c r="F121" s="22">
        <f>F123-E123</f>
        <v>729600.00000000047</v>
      </c>
      <c r="G121" s="22">
        <f>G123-F123</f>
        <v>910079.99999999907</v>
      </c>
      <c r="H121" s="22">
        <f t="shared" ref="H121:N121" si="70">H123-G123</f>
        <v>1133568.0000000019</v>
      </c>
      <c r="I121" s="22">
        <f t="shared" si="70"/>
        <v>1410047.9999999977</v>
      </c>
      <c r="J121" s="22">
        <f>J123-I123</f>
        <v>1751777.2800000068</v>
      </c>
      <c r="K121" s="22">
        <f t="shared" si="70"/>
        <v>2173796.3519999916</v>
      </c>
      <c r="L121" s="22">
        <f t="shared" si="70"/>
        <v>2694551.9615999982</v>
      </c>
      <c r="M121" s="22">
        <f t="shared" si="70"/>
        <v>3336657.9609599896</v>
      </c>
      <c r="N121" s="22">
        <f t="shared" si="70"/>
        <v>4127824.2816000376</v>
      </c>
    </row>
    <row r="122" spans="1:16" ht="15" customHeight="1" x14ac:dyDescent="0.45">
      <c r="A122" s="8"/>
      <c r="B122" s="193"/>
      <c r="C122" s="193"/>
      <c r="D122" s="19" t="s">
        <v>47</v>
      </c>
      <c r="E122" s="22"/>
      <c r="F122" s="22"/>
      <c r="G122" s="22"/>
      <c r="H122" s="22"/>
      <c r="I122" s="22">
        <f>AVERAGE(E121:I121)</f>
        <v>953459.19999999984</v>
      </c>
      <c r="J122" s="22"/>
      <c r="K122" s="22"/>
      <c r="L122" s="22"/>
      <c r="M122" s="22"/>
      <c r="N122" s="22">
        <f>AVERAGE(E121:N121)</f>
        <v>1885190.3836160023</v>
      </c>
      <c r="O122" s="8"/>
      <c r="P122" s="8"/>
    </row>
    <row r="123" spans="1:16" ht="15" customHeight="1" x14ac:dyDescent="0.45">
      <c r="B123" s="193"/>
      <c r="C123" s="193"/>
      <c r="D123" s="19" t="s">
        <v>46</v>
      </c>
      <c r="E123" s="21">
        <f t="shared" ref="E123:N123" si="71">E113*E$15</f>
        <v>584000</v>
      </c>
      <c r="F123" s="21">
        <f t="shared" si="71"/>
        <v>1313600.0000000005</v>
      </c>
      <c r="G123" s="21">
        <f>G113*G$15</f>
        <v>2223679.9999999995</v>
      </c>
      <c r="H123" s="21">
        <f>H113*H$15</f>
        <v>3357248.0000000014</v>
      </c>
      <c r="I123" s="21">
        <f>I113*I$15</f>
        <v>4767295.9999999991</v>
      </c>
      <c r="J123" s="21">
        <f t="shared" si="71"/>
        <v>6519073.2800000058</v>
      </c>
      <c r="K123" s="21">
        <f t="shared" si="71"/>
        <v>8692869.6319999974</v>
      </c>
      <c r="L123" s="21">
        <f t="shared" si="71"/>
        <v>11387421.593599996</v>
      </c>
      <c r="M123" s="21">
        <f t="shared" si="71"/>
        <v>14724079.554559985</v>
      </c>
      <c r="N123" s="21">
        <f t="shared" si="71"/>
        <v>18851903.836160023</v>
      </c>
    </row>
    <row r="124" spans="1:16" ht="15" customHeight="1" x14ac:dyDescent="0.45">
      <c r="B124" s="1"/>
      <c r="C124" s="1"/>
      <c r="D124" s="40"/>
      <c r="E124" s="10"/>
      <c r="F124" s="10"/>
      <c r="G124" s="10"/>
      <c r="H124" s="10"/>
      <c r="I124" s="10"/>
      <c r="J124" s="10"/>
      <c r="K124" s="10"/>
      <c r="L124" s="10"/>
      <c r="M124" s="10"/>
      <c r="N124" s="10"/>
    </row>
    <row r="125" spans="1:16" ht="15" customHeight="1" x14ac:dyDescent="0.45">
      <c r="B125" s="176" t="s">
        <v>116</v>
      </c>
      <c r="C125" s="178" t="s">
        <v>55</v>
      </c>
      <c r="D125" s="178" t="s">
        <v>54</v>
      </c>
      <c r="E125" s="174" t="s">
        <v>3</v>
      </c>
      <c r="F125" s="174" t="s">
        <v>4</v>
      </c>
      <c r="G125" s="174" t="s">
        <v>5</v>
      </c>
      <c r="H125" s="174" t="s">
        <v>6</v>
      </c>
      <c r="I125" s="174" t="s">
        <v>7</v>
      </c>
      <c r="J125" s="174" t="s">
        <v>8</v>
      </c>
      <c r="K125" s="174" t="s">
        <v>9</v>
      </c>
      <c r="L125" s="174" t="s">
        <v>10</v>
      </c>
      <c r="M125" s="174" t="s">
        <v>11</v>
      </c>
      <c r="N125" s="174" t="s">
        <v>12</v>
      </c>
    </row>
    <row r="126" spans="1:16" ht="15" customHeight="1" x14ac:dyDescent="0.45">
      <c r="B126" s="177"/>
      <c r="C126" s="179"/>
      <c r="D126" s="179"/>
      <c r="E126" s="175"/>
      <c r="F126" s="175"/>
      <c r="G126" s="175"/>
      <c r="H126" s="175"/>
      <c r="I126" s="175"/>
      <c r="J126" s="175"/>
      <c r="K126" s="175"/>
      <c r="L126" s="175"/>
      <c r="M126" s="175"/>
      <c r="N126" s="175"/>
    </row>
    <row r="127" spans="1:16" ht="15" customHeight="1" x14ac:dyDescent="0.45">
      <c r="B127" s="184" t="s">
        <v>137</v>
      </c>
      <c r="C127" s="182">
        <v>20000</v>
      </c>
      <c r="D127" s="44" t="s">
        <v>19</v>
      </c>
      <c r="E127" s="27">
        <f t="shared" ref="E127:N127" si="72">E$53/10*$C127/(2+$E$11)</f>
        <v>916.6666666666664</v>
      </c>
      <c r="F127" s="27">
        <f t="shared" si="72"/>
        <v>763.88888888888891</v>
      </c>
      <c r="G127" s="27">
        <f t="shared" si="72"/>
        <v>636.57407407407402</v>
      </c>
      <c r="H127" s="27">
        <f t="shared" si="72"/>
        <v>530.47839506172829</v>
      </c>
      <c r="I127" s="27">
        <f t="shared" si="72"/>
        <v>442.06532921810697</v>
      </c>
      <c r="J127" s="27">
        <f t="shared" si="72"/>
        <v>368.3877743484224</v>
      </c>
      <c r="K127" s="27">
        <f t="shared" si="72"/>
        <v>306.98981195701867</v>
      </c>
      <c r="L127" s="27">
        <f t="shared" si="72"/>
        <v>255.8248432975156</v>
      </c>
      <c r="M127" s="27">
        <f t="shared" si="72"/>
        <v>213.18736941459633</v>
      </c>
      <c r="N127" s="27">
        <f t="shared" si="72"/>
        <v>177.6561411788303</v>
      </c>
    </row>
    <row r="128" spans="1:16" ht="15" customHeight="1" x14ac:dyDescent="0.45">
      <c r="B128" s="185"/>
      <c r="C128" s="182"/>
      <c r="D128" s="19" t="s">
        <v>22</v>
      </c>
      <c r="E128" s="27"/>
      <c r="F128" s="27"/>
      <c r="G128" s="27"/>
      <c r="H128" s="27"/>
      <c r="I128" s="28">
        <f>AVERAGE(E127:I127)</f>
        <v>657.93467078189292</v>
      </c>
      <c r="J128" s="27"/>
      <c r="K128" s="27"/>
      <c r="L128" s="27"/>
      <c r="M128" s="27"/>
      <c r="N128" s="27">
        <f>AVERAGE(E127:N127)</f>
        <v>461.17192941058482</v>
      </c>
    </row>
    <row r="129" spans="2:14" ht="15" customHeight="1" x14ac:dyDescent="0.45">
      <c r="B129" s="185"/>
      <c r="C129" s="182"/>
      <c r="D129" s="19" t="s">
        <v>41</v>
      </c>
      <c r="E129" s="27">
        <f t="shared" ref="E129:N129" si="73">E$54/10*$C127/(2+$E$11)</f>
        <v>916.6666666666664</v>
      </c>
      <c r="F129" s="27">
        <f t="shared" si="73"/>
        <v>1680.5555555555547</v>
      </c>
      <c r="G129" s="27">
        <f t="shared" si="73"/>
        <v>2317.12962962963</v>
      </c>
      <c r="H129" s="27">
        <f t="shared" si="73"/>
        <v>2847.6080246913566</v>
      </c>
      <c r="I129" s="28">
        <f t="shared" si="73"/>
        <v>3289.6733539094653</v>
      </c>
      <c r="J129" s="27">
        <f t="shared" si="73"/>
        <v>3658.061128257883</v>
      </c>
      <c r="K129" s="27">
        <f t="shared" si="73"/>
        <v>3965.0509402149073</v>
      </c>
      <c r="L129" s="27">
        <f t="shared" si="73"/>
        <v>4220.8757835124243</v>
      </c>
      <c r="M129" s="27">
        <f t="shared" si="73"/>
        <v>4434.0631529270258</v>
      </c>
      <c r="N129" s="27">
        <f t="shared" si="73"/>
        <v>4611.7192941058411</v>
      </c>
    </row>
    <row r="130" spans="2:14" ht="15" customHeight="1" x14ac:dyDescent="0.45">
      <c r="B130" s="185"/>
      <c r="C130" s="182">
        <v>400000</v>
      </c>
      <c r="D130" s="44" t="s">
        <v>19</v>
      </c>
      <c r="E130" s="27">
        <f t="shared" ref="E130:N130" si="74">E$53/10*$C130/(2+$E$11)</f>
        <v>18333.333333333328</v>
      </c>
      <c r="F130" s="27">
        <f t="shared" si="74"/>
        <v>15277.777777777777</v>
      </c>
      <c r="G130" s="27">
        <f t="shared" si="74"/>
        <v>12731.481481481478</v>
      </c>
      <c r="H130" s="27">
        <f t="shared" si="74"/>
        <v>10609.567901234568</v>
      </c>
      <c r="I130" s="27">
        <f t="shared" si="74"/>
        <v>8841.3065843621389</v>
      </c>
      <c r="J130" s="27">
        <f t="shared" si="74"/>
        <v>7367.7554869684482</v>
      </c>
      <c r="K130" s="27">
        <f t="shared" si="74"/>
        <v>6139.7962391403735</v>
      </c>
      <c r="L130" s="27">
        <f t="shared" si="74"/>
        <v>5116.496865950312</v>
      </c>
      <c r="M130" s="27">
        <f t="shared" si="74"/>
        <v>4263.7473882919267</v>
      </c>
      <c r="N130" s="27">
        <f t="shared" si="74"/>
        <v>3553.1228235766052</v>
      </c>
    </row>
    <row r="131" spans="2:14" ht="15" customHeight="1" x14ac:dyDescent="0.45">
      <c r="B131" s="185"/>
      <c r="C131" s="182"/>
      <c r="D131" s="19" t="s">
        <v>22</v>
      </c>
      <c r="E131" s="27"/>
      <c r="F131" s="27"/>
      <c r="G131" s="27"/>
      <c r="H131" s="27"/>
      <c r="I131" s="28">
        <f>AVERAGE(E130:I130)</f>
        <v>13158.693415637859</v>
      </c>
      <c r="J131" s="27"/>
      <c r="K131" s="27"/>
      <c r="L131" s="27"/>
      <c r="M131" s="27"/>
      <c r="N131" s="27">
        <f>AVERAGE(E130:N130)</f>
        <v>9223.4385882116949</v>
      </c>
    </row>
    <row r="132" spans="2:14" ht="15" customHeight="1" x14ac:dyDescent="0.45">
      <c r="B132" s="185"/>
      <c r="C132" s="182"/>
      <c r="D132" s="19" t="s">
        <v>41</v>
      </c>
      <c r="E132" s="27">
        <f t="shared" ref="E132:N132" si="75">E$54/10*$C130/(2+$E$11)</f>
        <v>18333.333333333328</v>
      </c>
      <c r="F132" s="27">
        <f t="shared" si="75"/>
        <v>33611.111111111102</v>
      </c>
      <c r="G132" s="27">
        <f t="shared" si="75"/>
        <v>46342.592592592599</v>
      </c>
      <c r="H132" s="27">
        <f t="shared" si="75"/>
        <v>56952.160493827134</v>
      </c>
      <c r="I132" s="28">
        <f t="shared" si="75"/>
        <v>65793.467078189307</v>
      </c>
      <c r="J132" s="27">
        <f t="shared" si="75"/>
        <v>73161.222565157659</v>
      </c>
      <c r="K132" s="27">
        <f t="shared" si="75"/>
        <v>79301.018804298146</v>
      </c>
      <c r="L132" s="27">
        <f t="shared" si="75"/>
        <v>84417.515670248482</v>
      </c>
      <c r="M132" s="27">
        <f t="shared" si="75"/>
        <v>88681.263058540513</v>
      </c>
      <c r="N132" s="27">
        <f t="shared" si="75"/>
        <v>92234.385882116825</v>
      </c>
    </row>
    <row r="133" spans="2:14" ht="15" customHeight="1" x14ac:dyDescent="0.45">
      <c r="B133" s="185"/>
      <c r="C133" s="183">
        <v>1000000</v>
      </c>
      <c r="D133" s="15" t="s">
        <v>19</v>
      </c>
      <c r="E133" s="29">
        <f t="shared" ref="E133:N133" si="76">E$53/10*$C133/(2+$E$11)</f>
        <v>45833.333333333321</v>
      </c>
      <c r="F133" s="29">
        <f t="shared" si="76"/>
        <v>38194.444444444445</v>
      </c>
      <c r="G133" s="29">
        <f t="shared" si="76"/>
        <v>31828.703703703697</v>
      </c>
      <c r="H133" s="29">
        <f t="shared" si="76"/>
        <v>26523.919753086415</v>
      </c>
      <c r="I133" s="29">
        <f t="shared" si="76"/>
        <v>22103.266460905346</v>
      </c>
      <c r="J133" s="29">
        <f t="shared" si="76"/>
        <v>18419.38871742112</v>
      </c>
      <c r="K133" s="29">
        <f t="shared" si="76"/>
        <v>15349.490597850934</v>
      </c>
      <c r="L133" s="29">
        <f t="shared" si="76"/>
        <v>12791.242164875779</v>
      </c>
      <c r="M133" s="29">
        <f t="shared" si="76"/>
        <v>10659.368470729816</v>
      </c>
      <c r="N133" s="29">
        <f t="shared" si="76"/>
        <v>8882.8070589415129</v>
      </c>
    </row>
    <row r="134" spans="2:14" ht="15" customHeight="1" x14ac:dyDescent="0.45">
      <c r="B134" s="185"/>
      <c r="C134" s="183"/>
      <c r="D134" s="15" t="s">
        <v>22</v>
      </c>
      <c r="E134" s="29"/>
      <c r="F134" s="29"/>
      <c r="G134" s="29"/>
      <c r="H134" s="29"/>
      <c r="I134" s="30">
        <f>AVERAGE(E133:I133)</f>
        <v>32896.733539094639</v>
      </c>
      <c r="J134" s="29"/>
      <c r="K134" s="29"/>
      <c r="L134" s="29"/>
      <c r="M134" s="29"/>
      <c r="N134" s="29">
        <f>AVERAGE(E133:N133)</f>
        <v>23058.596470529239</v>
      </c>
    </row>
    <row r="135" spans="2:14" ht="15" customHeight="1" x14ac:dyDescent="0.45">
      <c r="B135" s="186"/>
      <c r="C135" s="183"/>
      <c r="D135" s="15" t="s">
        <v>41</v>
      </c>
      <c r="E135" s="29">
        <f t="shared" ref="E135:N135" si="77">E$54/10*$C133/(2+$E$11)</f>
        <v>45833.333333333321</v>
      </c>
      <c r="F135" s="29">
        <f t="shared" si="77"/>
        <v>84027.777777777737</v>
      </c>
      <c r="G135" s="29">
        <f t="shared" si="77"/>
        <v>115856.48148148149</v>
      </c>
      <c r="H135" s="29">
        <f t="shared" si="77"/>
        <v>142380.40123456783</v>
      </c>
      <c r="I135" s="30">
        <f t="shared" si="77"/>
        <v>164483.66769547327</v>
      </c>
      <c r="J135" s="29">
        <f t="shared" si="77"/>
        <v>182903.05641289413</v>
      </c>
      <c r="K135" s="29">
        <f t="shared" si="77"/>
        <v>198252.54701074536</v>
      </c>
      <c r="L135" s="29">
        <f t="shared" si="77"/>
        <v>211043.78917562118</v>
      </c>
      <c r="M135" s="29">
        <f t="shared" si="77"/>
        <v>221703.15764635132</v>
      </c>
      <c r="N135" s="29">
        <f t="shared" si="77"/>
        <v>230585.96470529205</v>
      </c>
    </row>
    <row r="136" spans="2:14" ht="15" customHeight="1" x14ac:dyDescent="0.45">
      <c r="B136" s="3"/>
      <c r="C136" s="1"/>
      <c r="D136" s="40"/>
      <c r="E136" s="10"/>
      <c r="F136" s="10"/>
      <c r="G136" s="10"/>
      <c r="H136" s="10"/>
      <c r="I136" s="10"/>
      <c r="J136" s="10"/>
      <c r="K136" s="10"/>
      <c r="L136" s="10"/>
      <c r="M136" s="10"/>
      <c r="N136" s="10"/>
    </row>
  </sheetData>
  <mergeCells count="105">
    <mergeCell ref="B13:B14"/>
    <mergeCell ref="C13:C14"/>
    <mergeCell ref="D13:D14"/>
    <mergeCell ref="E13:E14"/>
    <mergeCell ref="F13:F14"/>
    <mergeCell ref="G13:G14"/>
    <mergeCell ref="H13:H14"/>
    <mergeCell ref="I13:I14"/>
    <mergeCell ref="J13:J14"/>
    <mergeCell ref="K13:K14"/>
    <mergeCell ref="L13:L14"/>
    <mergeCell ref="M13:M14"/>
    <mergeCell ref="N13:N14"/>
    <mergeCell ref="B64:B65"/>
    <mergeCell ref="C64:C65"/>
    <mergeCell ref="D64:D65"/>
    <mergeCell ref="E64:E65"/>
    <mergeCell ref="F64:F65"/>
    <mergeCell ref="G32:G33"/>
    <mergeCell ref="H32:H33"/>
    <mergeCell ref="I32:I33"/>
    <mergeCell ref="J32:J33"/>
    <mergeCell ref="K32:K33"/>
    <mergeCell ref="L32:L33"/>
    <mergeCell ref="M32:M33"/>
    <mergeCell ref="N32:N33"/>
    <mergeCell ref="B34:B46"/>
    <mergeCell ref="C34:C38"/>
    <mergeCell ref="C39:C41"/>
    <mergeCell ref="C42:C46"/>
    <mergeCell ref="B48:B49"/>
    <mergeCell ref="C48:C49"/>
    <mergeCell ref="D48:D49"/>
    <mergeCell ref="D2:E3"/>
    <mergeCell ref="G2:I3"/>
    <mergeCell ref="K2:N2"/>
    <mergeCell ref="B2:C11"/>
    <mergeCell ref="B94:B108"/>
    <mergeCell ref="C94:C98"/>
    <mergeCell ref="C99:C103"/>
    <mergeCell ref="C104:C108"/>
    <mergeCell ref="B109:B123"/>
    <mergeCell ref="C109:C113"/>
    <mergeCell ref="C114:C118"/>
    <mergeCell ref="B15:B16"/>
    <mergeCell ref="C15:C16"/>
    <mergeCell ref="B25:B27"/>
    <mergeCell ref="C25:C27"/>
    <mergeCell ref="B17:B24"/>
    <mergeCell ref="C17:C24"/>
    <mergeCell ref="B28:B30"/>
    <mergeCell ref="C28:C30"/>
    <mergeCell ref="B32:B33"/>
    <mergeCell ref="C32:C33"/>
    <mergeCell ref="D32:D33"/>
    <mergeCell ref="E32:E33"/>
    <mergeCell ref="F32:F33"/>
    <mergeCell ref="N48:N49"/>
    <mergeCell ref="B50:B62"/>
    <mergeCell ref="C50:C54"/>
    <mergeCell ref="C55:C57"/>
    <mergeCell ref="C58:C62"/>
    <mergeCell ref="G64:G65"/>
    <mergeCell ref="H64:H65"/>
    <mergeCell ref="I64:I65"/>
    <mergeCell ref="J64:J65"/>
    <mergeCell ref="K64:K65"/>
    <mergeCell ref="L64:L65"/>
    <mergeCell ref="M64:M65"/>
    <mergeCell ref="N64:N65"/>
    <mergeCell ref="E48:E49"/>
    <mergeCell ref="F48:F49"/>
    <mergeCell ref="G48:G49"/>
    <mergeCell ref="H48:H49"/>
    <mergeCell ref="I48:I49"/>
    <mergeCell ref="J48:J49"/>
    <mergeCell ref="K48:K49"/>
    <mergeCell ref="L48:L49"/>
    <mergeCell ref="M48:M49"/>
    <mergeCell ref="B66:B78"/>
    <mergeCell ref="C66:C70"/>
    <mergeCell ref="C71:C73"/>
    <mergeCell ref="C74:C78"/>
    <mergeCell ref="B79:B93"/>
    <mergeCell ref="C79:C83"/>
    <mergeCell ref="C84:C88"/>
    <mergeCell ref="C89:C93"/>
    <mergeCell ref="C119:C123"/>
    <mergeCell ref="K125:K126"/>
    <mergeCell ref="L125:L126"/>
    <mergeCell ref="M125:M126"/>
    <mergeCell ref="N125:N126"/>
    <mergeCell ref="B127:B135"/>
    <mergeCell ref="C127:C129"/>
    <mergeCell ref="C130:C132"/>
    <mergeCell ref="C133:C135"/>
    <mergeCell ref="B125:B126"/>
    <mergeCell ref="C125:C126"/>
    <mergeCell ref="D125:D126"/>
    <mergeCell ref="E125:E126"/>
    <mergeCell ref="F125:F126"/>
    <mergeCell ref="G125:G126"/>
    <mergeCell ref="H125:H126"/>
    <mergeCell ref="I125:I126"/>
    <mergeCell ref="J125:J126"/>
  </mergeCells>
  <pageMargins left="0.7" right="0.7" top="0.75" bottom="0.75" header="0.3" footer="0.3"/>
  <pageSetup orientation="portrait" r:id="rId1"/>
  <headerFooter>
    <oddHeader>&amp;R&amp;"Aptos"&amp;12&amp;K000000 Unclassified / Non classifié&amp;1#_x000D_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YIELD_CALCULATOR</vt:lpstr>
      <vt:lpstr>YIELD_BURNDOWN</vt:lpstr>
      <vt:lpstr>BTC_MORTGAGE</vt:lpstr>
      <vt:lpstr>DC2</vt:lpstr>
      <vt:lpstr>SUMMARY</vt:lpstr>
      <vt:lpstr>2X</vt:lpstr>
      <vt:lpstr>2.5X</vt:lpstr>
      <vt:lpstr>3X</vt:lpstr>
      <vt:lpstr>3.5X</vt:lpstr>
      <vt:lpstr>4X</vt:lpstr>
      <vt:lpstr>4.5X</vt:lpstr>
      <vt:lpstr>5X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Kyle Hutchinson</dc:creator>
  <cp:lastModifiedBy>Kyle Hutchinson</cp:lastModifiedBy>
  <dcterms:created xsi:type="dcterms:W3CDTF">2025-08-18T00:15:32Z</dcterms:created>
  <dcterms:modified xsi:type="dcterms:W3CDTF">2026-03-01T19:17:16Z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5d8ed60-cd71-485b-a85b-277aaf32f506_Enabled">
    <vt:lpwstr>true</vt:lpwstr>
  </property>
  <property fmtid="{D5CDD505-2E9C-101B-9397-08002B2CF9AE}" pid="3" name="MSIP_Label_05d8ed60-cd71-485b-a85b-277aaf32f506_SetDate">
    <vt:lpwstr>2026-02-03T00:56:37Z</vt:lpwstr>
  </property>
  <property fmtid="{D5CDD505-2E9C-101B-9397-08002B2CF9AE}" pid="4" name="MSIP_Label_05d8ed60-cd71-485b-a85b-277aaf32f506_Method">
    <vt:lpwstr>Standard</vt:lpwstr>
  </property>
  <property fmtid="{D5CDD505-2E9C-101B-9397-08002B2CF9AE}" pid="5" name="MSIP_Label_05d8ed60-cd71-485b-a85b-277aaf32f506_Name">
    <vt:lpwstr>Unclassified</vt:lpwstr>
  </property>
  <property fmtid="{D5CDD505-2E9C-101B-9397-08002B2CF9AE}" pid="6" name="MSIP_Label_05d8ed60-cd71-485b-a85b-277aaf32f506_SiteId">
    <vt:lpwstr>42fd9015-de4d-4223-a368-baeacab48927</vt:lpwstr>
  </property>
  <property fmtid="{D5CDD505-2E9C-101B-9397-08002B2CF9AE}" pid="7" name="MSIP_Label_05d8ed60-cd71-485b-a85b-277aaf32f506_ActionId">
    <vt:lpwstr>e3638565-75f5-4e2d-aa95-893e63d50bb0</vt:lpwstr>
  </property>
  <property fmtid="{D5CDD505-2E9C-101B-9397-08002B2CF9AE}" pid="8" name="MSIP_Label_05d8ed60-cd71-485b-a85b-277aaf32f506_ContentBits">
    <vt:lpwstr>1</vt:lpwstr>
  </property>
  <property fmtid="{D5CDD505-2E9C-101B-9397-08002B2CF9AE}" pid="9" name="MSIP_Label_05d8ed60-cd71-485b-a85b-277aaf32f506_Tag">
    <vt:lpwstr>10, 3, 0, 1</vt:lpwstr>
  </property>
</Properties>
</file>