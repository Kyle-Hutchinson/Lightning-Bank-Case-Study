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eb409204932c1c/Lightning Bank Case Study/"/>
    </mc:Choice>
  </mc:AlternateContent>
  <xr:revisionPtr revIDLastSave="9019" documentId="13_ncr:1_{AE93A452-22DF-478B-8AAE-1A3A6016AB56}" xr6:coauthVersionLast="47" xr6:coauthVersionMax="47" xr10:uidLastSave="{723CAC0D-3B0C-4AAC-9232-7833A8144CD7}"/>
  <bookViews>
    <workbookView xWindow="-98" yWindow="-98" windowWidth="28996" windowHeight="15675" xr2:uid="{10396A79-A4B2-467C-A467-ECE59C587EB2}"/>
  </bookViews>
  <sheets>
    <sheet name="Yield Estimate Calculator" sheetId="18" r:id="rId1"/>
    <sheet name="Bitcoin Mortgage Services" sheetId="19" r:id="rId2"/>
    <sheet name="10 Year Burndown Summary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9" l="1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12" i="19"/>
  <c r="B6" i="19"/>
  <c r="B7" i="19"/>
  <c r="B8" i="19"/>
  <c r="B9" i="19"/>
  <c r="B10" i="19"/>
  <c r="B11" i="19"/>
  <c r="B5" i="19"/>
  <c r="G205" i="18"/>
  <c r="E129" i="18"/>
  <c r="F29" i="18"/>
  <c r="G29" i="18"/>
  <c r="H29" i="18"/>
  <c r="I29" i="18"/>
  <c r="J29" i="18"/>
  <c r="K29" i="18"/>
  <c r="L29" i="18"/>
  <c r="M29" i="18"/>
  <c r="N29" i="18"/>
  <c r="E29" i="18"/>
  <c r="E30" i="18" s="1"/>
  <c r="L7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10" i="19"/>
  <c r="G5" i="19"/>
  <c r="K5" i="19" s="1"/>
  <c r="G6" i="19"/>
  <c r="G7" i="19"/>
  <c r="H7" i="19" s="1"/>
  <c r="G8" i="19"/>
  <c r="K8" i="19" s="1"/>
  <c r="G9" i="19"/>
  <c r="I5" i="19"/>
  <c r="J5" i="19" s="1"/>
  <c r="I11" i="19"/>
  <c r="J11" i="19" s="1"/>
  <c r="I12" i="19"/>
  <c r="J12" i="19" s="1"/>
  <c r="I13" i="19"/>
  <c r="J13" i="19" s="1"/>
  <c r="I14" i="19"/>
  <c r="J14" i="19" s="1"/>
  <c r="I15" i="19"/>
  <c r="J15" i="19" s="1"/>
  <c r="I16" i="19"/>
  <c r="J16" i="19" s="1"/>
  <c r="I17" i="19"/>
  <c r="J17" i="19" s="1"/>
  <c r="I18" i="19"/>
  <c r="J18" i="19" s="1"/>
  <c r="I19" i="19"/>
  <c r="J19" i="19" s="1"/>
  <c r="I20" i="19"/>
  <c r="J20" i="19" s="1"/>
  <c r="I21" i="19"/>
  <c r="J21" i="19" s="1"/>
  <c r="I22" i="19"/>
  <c r="J22" i="19" s="1"/>
  <c r="I23" i="19"/>
  <c r="J23" i="19" s="1"/>
  <c r="I24" i="19"/>
  <c r="J24" i="19" s="1"/>
  <c r="I25" i="19"/>
  <c r="J25" i="19" s="1"/>
  <c r="I26" i="19"/>
  <c r="J26" i="19" s="1"/>
  <c r="I27" i="19"/>
  <c r="J27" i="19" s="1"/>
  <c r="I28" i="19"/>
  <c r="J28" i="19" s="1"/>
  <c r="I29" i="19"/>
  <c r="J29" i="19" s="1"/>
  <c r="I30" i="19"/>
  <c r="J30" i="19" s="1"/>
  <c r="I31" i="19"/>
  <c r="J31" i="19" s="1"/>
  <c r="I32" i="19"/>
  <c r="J32" i="19" s="1"/>
  <c r="I33" i="19"/>
  <c r="J33" i="19" s="1"/>
  <c r="I34" i="19"/>
  <c r="J34" i="19" s="1"/>
  <c r="I35" i="19"/>
  <c r="J35" i="19" s="1"/>
  <c r="I36" i="19"/>
  <c r="J36" i="19" s="1"/>
  <c r="I37" i="19"/>
  <c r="J37" i="19" s="1"/>
  <c r="I38" i="19"/>
  <c r="J38" i="19" s="1"/>
  <c r="I39" i="19"/>
  <c r="J39" i="19" s="1"/>
  <c r="I40" i="19"/>
  <c r="J40" i="19" s="1"/>
  <c r="I41" i="19"/>
  <c r="J41" i="19" s="1"/>
  <c r="I10" i="19"/>
  <c r="J10" i="19" s="1"/>
  <c r="I6" i="19"/>
  <c r="J6" i="19" s="1"/>
  <c r="I7" i="19"/>
  <c r="J7" i="19" s="1"/>
  <c r="I8" i="19"/>
  <c r="J8" i="19" s="1"/>
  <c r="I9" i="19"/>
  <c r="J9" i="19" s="1"/>
  <c r="N129" i="18"/>
  <c r="M129" i="18"/>
  <c r="L129" i="18"/>
  <c r="K129" i="18"/>
  <c r="J129" i="18"/>
  <c r="I129" i="18"/>
  <c r="H129" i="18"/>
  <c r="G129" i="18"/>
  <c r="F129" i="18"/>
  <c r="D95" i="18"/>
  <c r="D94" i="18"/>
  <c r="D49" i="18"/>
  <c r="D48" i="18"/>
  <c r="D33" i="18"/>
  <c r="D32" i="18"/>
  <c r="F39" i="18" s="1"/>
  <c r="E16" i="18"/>
  <c r="E18" i="18" s="1"/>
  <c r="K11" i="18"/>
  <c r="K10" i="18"/>
  <c r="E10" i="18"/>
  <c r="K9" i="18"/>
  <c r="K8" i="18"/>
  <c r="K7" i="18"/>
  <c r="K6" i="18"/>
  <c r="K5" i="18"/>
  <c r="K4" i="18"/>
  <c r="I8" i="13"/>
  <c r="D36" i="13"/>
  <c r="E36" i="13" s="1"/>
  <c r="D30" i="13"/>
  <c r="D32" i="13" s="1"/>
  <c r="D24" i="13"/>
  <c r="E24" i="13" s="1"/>
  <c r="F24" i="13" s="1"/>
  <c r="G24" i="13" s="1"/>
  <c r="H24" i="13" s="1"/>
  <c r="I24" i="13" s="1"/>
  <c r="J24" i="13" s="1"/>
  <c r="K24" i="13" s="1"/>
  <c r="L24" i="13" s="1"/>
  <c r="M24" i="13" s="1"/>
  <c r="M26" i="13" s="1"/>
  <c r="D18" i="13"/>
  <c r="D20" i="13" s="1"/>
  <c r="D12" i="13"/>
  <c r="D14" i="13" s="1"/>
  <c r="E30" i="13"/>
  <c r="F30" i="13" s="1"/>
  <c r="G30" i="13" s="1"/>
  <c r="H30" i="13" s="1"/>
  <c r="I30" i="13" s="1"/>
  <c r="J30" i="13" s="1"/>
  <c r="K30" i="13" s="1"/>
  <c r="L30" i="13" s="1"/>
  <c r="M30" i="13" s="1"/>
  <c r="M32" i="13" s="1"/>
  <c r="E124" i="18" l="1"/>
  <c r="F30" i="18"/>
  <c r="G30" i="18" s="1"/>
  <c r="H30" i="18" s="1"/>
  <c r="I30" i="18" s="1"/>
  <c r="J30" i="18" s="1"/>
  <c r="K30" i="18" s="1"/>
  <c r="L30" i="18" s="1"/>
  <c r="M30" i="18" s="1"/>
  <c r="N30" i="18" s="1"/>
  <c r="M8" i="19"/>
  <c r="H5" i="19"/>
  <c r="L5" i="19" s="1"/>
  <c r="M5" i="19" s="1"/>
  <c r="K7" i="19"/>
  <c r="M7" i="19" s="1"/>
  <c r="K10" i="19"/>
  <c r="K6" i="19"/>
  <c r="H6" i="19"/>
  <c r="L6" i="19" s="1"/>
  <c r="H9" i="19"/>
  <c r="L9" i="19" s="1"/>
  <c r="H10" i="19"/>
  <c r="L10" i="19" s="1"/>
  <c r="H8" i="19"/>
  <c r="L8" i="19" s="1"/>
  <c r="M39" i="18"/>
  <c r="N39" i="18"/>
  <c r="E39" i="18"/>
  <c r="E34" i="18" s="1"/>
  <c r="E19" i="18"/>
  <c r="E26" i="18" s="1"/>
  <c r="E20" i="18"/>
  <c r="E22" i="18" s="1"/>
  <c r="E17" i="18"/>
  <c r="L39" i="18"/>
  <c r="H39" i="18"/>
  <c r="K39" i="18"/>
  <c r="G39" i="18"/>
  <c r="I39" i="18"/>
  <c r="F16" i="18"/>
  <c r="F34" i="18" s="1"/>
  <c r="J39" i="18"/>
  <c r="J32" i="13"/>
  <c r="K32" i="13"/>
  <c r="I26" i="13"/>
  <c r="E18" i="13"/>
  <c r="F18" i="13" s="1"/>
  <c r="G18" i="13" s="1"/>
  <c r="J26" i="13"/>
  <c r="E26" i="13"/>
  <c r="I32" i="13"/>
  <c r="I33" i="13" s="1"/>
  <c r="F26" i="13"/>
  <c r="H32" i="13"/>
  <c r="H33" i="13" s="1"/>
  <c r="F36" i="13"/>
  <c r="E38" i="13"/>
  <c r="D38" i="13"/>
  <c r="G26" i="13"/>
  <c r="K26" i="13"/>
  <c r="E32" i="13"/>
  <c r="L32" i="13"/>
  <c r="G32" i="13"/>
  <c r="G33" i="13" s="1"/>
  <c r="D26" i="13"/>
  <c r="H26" i="13"/>
  <c r="L26" i="13"/>
  <c r="F32" i="13"/>
  <c r="D13" i="13"/>
  <c r="E12" i="13"/>
  <c r="E28" i="18" l="1"/>
  <c r="E111" i="18" s="1"/>
  <c r="M6" i="19"/>
  <c r="M10" i="19"/>
  <c r="E36" i="18"/>
  <c r="K13" i="19"/>
  <c r="K9" i="19"/>
  <c r="M9" i="19" s="1"/>
  <c r="K14" i="19"/>
  <c r="M14" i="19" s="1"/>
  <c r="K12" i="19"/>
  <c r="M12" i="19" s="1"/>
  <c r="H12" i="19"/>
  <c r="L12" i="19" s="1"/>
  <c r="H14" i="19"/>
  <c r="L14" i="19" s="1"/>
  <c r="H13" i="19"/>
  <c r="L13" i="19" s="1"/>
  <c r="H11" i="19"/>
  <c r="L11" i="19" s="1"/>
  <c r="K11" i="19"/>
  <c r="E24" i="18"/>
  <c r="E96" i="18" s="1"/>
  <c r="E126" i="18"/>
  <c r="E127" i="18"/>
  <c r="F17" i="18"/>
  <c r="G16" i="18"/>
  <c r="F124" i="18"/>
  <c r="F18" i="18"/>
  <c r="E20" i="13"/>
  <c r="F20" i="13"/>
  <c r="H18" i="13"/>
  <c r="G20" i="13"/>
  <c r="G36" i="13"/>
  <c r="F38" i="13"/>
  <c r="F39" i="13" s="1"/>
  <c r="F12" i="13"/>
  <c r="E14" i="13"/>
  <c r="E188" i="18" l="1"/>
  <c r="E185" i="18"/>
  <c r="E182" i="18"/>
  <c r="E179" i="18"/>
  <c r="E65" i="18"/>
  <c r="E67" i="18" s="1"/>
  <c r="E77" i="18" s="1"/>
  <c r="E75" i="18" s="1"/>
  <c r="E109" i="18"/>
  <c r="E114" i="18" s="1"/>
  <c r="E50" i="18"/>
  <c r="E52" i="18" s="1"/>
  <c r="E63" i="18"/>
  <c r="M11" i="19"/>
  <c r="M13" i="19"/>
  <c r="H17" i="19"/>
  <c r="L17" i="19" s="1"/>
  <c r="K17" i="19"/>
  <c r="M17" i="19" s="1"/>
  <c r="H18" i="19"/>
  <c r="L18" i="19" s="1"/>
  <c r="K18" i="19"/>
  <c r="H15" i="19"/>
  <c r="L15" i="19" s="1"/>
  <c r="K15" i="19"/>
  <c r="M15" i="19" s="1"/>
  <c r="H16" i="19"/>
  <c r="L16" i="19" s="1"/>
  <c r="K16" i="19"/>
  <c r="E130" i="18"/>
  <c r="E131" i="18" s="1"/>
  <c r="G34" i="18"/>
  <c r="E128" i="18"/>
  <c r="E132" i="18"/>
  <c r="F19" i="18"/>
  <c r="F26" i="18" s="1"/>
  <c r="F20" i="18"/>
  <c r="E119" i="18"/>
  <c r="E113" i="18"/>
  <c r="F37" i="18"/>
  <c r="F40" i="18" s="1"/>
  <c r="F127" i="18"/>
  <c r="H16" i="18"/>
  <c r="H34" i="18" s="1"/>
  <c r="G18" i="18"/>
  <c r="G124" i="18"/>
  <c r="G17" i="18"/>
  <c r="I18" i="13"/>
  <c r="H20" i="13"/>
  <c r="H36" i="13"/>
  <c r="G38" i="13"/>
  <c r="G39" i="13" s="1"/>
  <c r="G12" i="13"/>
  <c r="F14" i="13"/>
  <c r="F185" i="18" l="1"/>
  <c r="F188" i="18"/>
  <c r="F182" i="18"/>
  <c r="F179" i="18"/>
  <c r="E190" i="18"/>
  <c r="E184" i="18"/>
  <c r="E181" i="18"/>
  <c r="E187" i="18"/>
  <c r="E178" i="18"/>
  <c r="E175" i="18"/>
  <c r="E172" i="18"/>
  <c r="E169" i="18"/>
  <c r="E73" i="18"/>
  <c r="E112" i="18"/>
  <c r="E68" i="18"/>
  <c r="E66" i="18"/>
  <c r="E70" i="18" s="1"/>
  <c r="E72" i="18" s="1"/>
  <c r="E78" i="18"/>
  <c r="F109" i="18"/>
  <c r="F28" i="18"/>
  <c r="F63" i="18"/>
  <c r="E101" i="18"/>
  <c r="E142" i="18" s="1"/>
  <c r="E137" i="18"/>
  <c r="E140" i="18" s="1"/>
  <c r="E144" i="18" s="1"/>
  <c r="M16" i="19"/>
  <c r="M18" i="19"/>
  <c r="F22" i="18"/>
  <c r="F24" i="18" s="1"/>
  <c r="F36" i="18"/>
  <c r="H21" i="19"/>
  <c r="L21" i="19" s="1"/>
  <c r="K21" i="19"/>
  <c r="M21" i="19" s="1"/>
  <c r="K20" i="19"/>
  <c r="H20" i="19"/>
  <c r="L20" i="19" s="1"/>
  <c r="H19" i="19"/>
  <c r="L19" i="19" s="1"/>
  <c r="K19" i="19"/>
  <c r="M19" i="19" s="1"/>
  <c r="K22" i="19"/>
  <c r="H22" i="19"/>
  <c r="L22" i="19" s="1"/>
  <c r="E99" i="18"/>
  <c r="E98" i="18"/>
  <c r="E123" i="18"/>
  <c r="E121" i="18" s="1"/>
  <c r="F130" i="18"/>
  <c r="F131" i="18" s="1"/>
  <c r="E136" i="18"/>
  <c r="E134" i="18" s="1"/>
  <c r="G37" i="18"/>
  <c r="G40" i="18" s="1"/>
  <c r="F126" i="18"/>
  <c r="H18" i="18"/>
  <c r="H17" i="18"/>
  <c r="I16" i="18"/>
  <c r="I34" i="18" s="1"/>
  <c r="H124" i="18"/>
  <c r="G127" i="18"/>
  <c r="G20" i="18"/>
  <c r="G19" i="18"/>
  <c r="J18" i="13"/>
  <c r="I20" i="13"/>
  <c r="I36" i="13"/>
  <c r="H38" i="13"/>
  <c r="H39" i="13" s="1"/>
  <c r="H12" i="13"/>
  <c r="G14" i="13"/>
  <c r="D31" i="13"/>
  <c r="E37" i="13"/>
  <c r="D37" i="13"/>
  <c r="E25" i="13"/>
  <c r="D25" i="13"/>
  <c r="E19" i="13"/>
  <c r="D19" i="13"/>
  <c r="D16" i="13"/>
  <c r="G185" i="18" l="1"/>
  <c r="G188" i="18"/>
  <c r="G182" i="18"/>
  <c r="G179" i="18"/>
  <c r="E116" i="18"/>
  <c r="E118" i="18" s="1"/>
  <c r="E170" i="18"/>
  <c r="E176" i="18"/>
  <c r="E173" i="18"/>
  <c r="E167" i="18"/>
  <c r="E164" i="18"/>
  <c r="E155" i="18"/>
  <c r="E191" i="18" s="1"/>
  <c r="E161" i="18"/>
  <c r="E197" i="18" s="1"/>
  <c r="E158" i="18"/>
  <c r="G26" i="18"/>
  <c r="G109" i="18" s="1"/>
  <c r="F111" i="18"/>
  <c r="F65" i="18"/>
  <c r="F68" i="18"/>
  <c r="F66" i="18"/>
  <c r="F70" i="18" s="1"/>
  <c r="F72" i="18" s="1"/>
  <c r="F114" i="18"/>
  <c r="F112" i="18"/>
  <c r="M22" i="19"/>
  <c r="M20" i="19"/>
  <c r="F50" i="18"/>
  <c r="F53" i="18" s="1"/>
  <c r="F56" i="18" s="1"/>
  <c r="F96" i="18"/>
  <c r="F98" i="18" s="1"/>
  <c r="G22" i="18"/>
  <c r="G24" i="18" s="1"/>
  <c r="H26" i="19"/>
  <c r="L26" i="19" s="1"/>
  <c r="K26" i="19"/>
  <c r="H25" i="19"/>
  <c r="L25" i="19" s="1"/>
  <c r="K25" i="19"/>
  <c r="H23" i="19"/>
  <c r="L23" i="19" s="1"/>
  <c r="K23" i="19"/>
  <c r="K24" i="19"/>
  <c r="H24" i="19"/>
  <c r="L24" i="19" s="1"/>
  <c r="E100" i="18"/>
  <c r="E104" i="18"/>
  <c r="E147" i="18" s="1"/>
  <c r="E139" i="18"/>
  <c r="E141" i="18" s="1"/>
  <c r="E151" i="18" s="1"/>
  <c r="E149" i="18" s="1"/>
  <c r="E102" i="18"/>
  <c r="E103" i="18" s="1"/>
  <c r="G130" i="18"/>
  <c r="G131" i="18" s="1"/>
  <c r="F38" i="18"/>
  <c r="F46" i="18" s="1"/>
  <c r="F128" i="18"/>
  <c r="F132" i="18"/>
  <c r="H127" i="18"/>
  <c r="E146" i="18"/>
  <c r="I124" i="18"/>
  <c r="I17" i="18"/>
  <c r="I18" i="18"/>
  <c r="J16" i="18"/>
  <c r="J34" i="18" s="1"/>
  <c r="I37" i="18"/>
  <c r="I40" i="18" s="1"/>
  <c r="G126" i="18"/>
  <c r="H37" i="18"/>
  <c r="H40" i="18" s="1"/>
  <c r="G36" i="18"/>
  <c r="H20" i="18"/>
  <c r="H19" i="18"/>
  <c r="K18" i="13"/>
  <c r="J20" i="13"/>
  <c r="J36" i="13"/>
  <c r="I38" i="13"/>
  <c r="I39" i="13" s="1"/>
  <c r="I12" i="13"/>
  <c r="H14" i="13"/>
  <c r="D15" i="13"/>
  <c r="E39" i="13"/>
  <c r="E40" i="13"/>
  <c r="F37" i="13"/>
  <c r="D40" i="13"/>
  <c r="D39" i="13"/>
  <c r="E31" i="13"/>
  <c r="D33" i="13"/>
  <c r="D34" i="13"/>
  <c r="D28" i="13"/>
  <c r="D27" i="13"/>
  <c r="E27" i="13"/>
  <c r="E28" i="13"/>
  <c r="F25" i="13"/>
  <c r="D22" i="13"/>
  <c r="D21" i="13"/>
  <c r="F19" i="13"/>
  <c r="E21" i="13"/>
  <c r="E22" i="13"/>
  <c r="E13" i="13"/>
  <c r="H188" i="18" l="1"/>
  <c r="H182" i="18"/>
  <c r="H179" i="18"/>
  <c r="H185" i="18"/>
  <c r="F184" i="18"/>
  <c r="F181" i="18"/>
  <c r="F187" i="18"/>
  <c r="F190" i="18"/>
  <c r="E160" i="18"/>
  <c r="E196" i="18" s="1"/>
  <c r="E157" i="18"/>
  <c r="E193" i="18" s="1"/>
  <c r="E166" i="18"/>
  <c r="E202" i="18" s="1"/>
  <c r="E163" i="18"/>
  <c r="E199" i="18" s="1"/>
  <c r="F176" i="18"/>
  <c r="F173" i="18"/>
  <c r="F170" i="18"/>
  <c r="F167" i="18"/>
  <c r="E194" i="18"/>
  <c r="G28" i="18"/>
  <c r="G65" i="18" s="1"/>
  <c r="E200" i="18"/>
  <c r="G63" i="18"/>
  <c r="G66" i="18" s="1"/>
  <c r="G70" i="18" s="1"/>
  <c r="G72" i="18" s="1"/>
  <c r="F139" i="18"/>
  <c r="F141" i="18" s="1"/>
  <c r="F151" i="18" s="1"/>
  <c r="F149" i="18" s="1"/>
  <c r="G112" i="18"/>
  <c r="G114" i="18"/>
  <c r="H26" i="18"/>
  <c r="F137" i="18"/>
  <c r="F140" i="18" s="1"/>
  <c r="F144" i="18" s="1"/>
  <c r="F116" i="18"/>
  <c r="F118" i="18" s="1"/>
  <c r="G111" i="18"/>
  <c r="F119" i="18"/>
  <c r="F113" i="18"/>
  <c r="F67" i="18"/>
  <c r="F77" i="18" s="1"/>
  <c r="F75" i="18" s="1"/>
  <c r="F73" i="18"/>
  <c r="F55" i="18"/>
  <c r="F83" i="18" s="1"/>
  <c r="F101" i="18"/>
  <c r="F142" i="18" s="1"/>
  <c r="F100" i="18"/>
  <c r="M24" i="19"/>
  <c r="M23" i="19"/>
  <c r="M26" i="19"/>
  <c r="M25" i="19"/>
  <c r="F78" i="18"/>
  <c r="F81" i="18" s="1"/>
  <c r="F85" i="18" s="1"/>
  <c r="F52" i="18"/>
  <c r="F80" i="18" s="1"/>
  <c r="F82" i="18" s="1"/>
  <c r="F92" i="18" s="1"/>
  <c r="G50" i="18"/>
  <c r="G53" i="18" s="1"/>
  <c r="G56" i="18" s="1"/>
  <c r="G96" i="18"/>
  <c r="G98" i="18" s="1"/>
  <c r="G100" i="18" s="1"/>
  <c r="F99" i="18"/>
  <c r="H22" i="18"/>
  <c r="H24" i="18" s="1"/>
  <c r="H50" i="18" s="1"/>
  <c r="K28" i="19"/>
  <c r="H28" i="19"/>
  <c r="L28" i="19" s="1"/>
  <c r="H30" i="19"/>
  <c r="L30" i="19" s="1"/>
  <c r="K30" i="19"/>
  <c r="K27" i="19"/>
  <c r="H27" i="19"/>
  <c r="L27" i="19" s="1"/>
  <c r="H29" i="19"/>
  <c r="L29" i="19" s="1"/>
  <c r="K29" i="19"/>
  <c r="E108" i="18"/>
  <c r="E106" i="18" s="1"/>
  <c r="F104" i="18"/>
  <c r="H130" i="18"/>
  <c r="H131" i="18" s="1"/>
  <c r="F136" i="18"/>
  <c r="F134" i="18" s="1"/>
  <c r="H126" i="18"/>
  <c r="H36" i="18"/>
  <c r="H38" i="18" s="1"/>
  <c r="H46" i="18" s="1"/>
  <c r="I127" i="18"/>
  <c r="I125" i="18"/>
  <c r="I7" i="18" s="1"/>
  <c r="J124" i="18"/>
  <c r="J17" i="18"/>
  <c r="K16" i="18"/>
  <c r="K34" i="18" s="1"/>
  <c r="J18" i="18"/>
  <c r="G38" i="18"/>
  <c r="G46" i="18" s="1"/>
  <c r="G44" i="18" s="1"/>
  <c r="G132" i="18"/>
  <c r="G128" i="18"/>
  <c r="I19" i="18"/>
  <c r="I20" i="18"/>
  <c r="I22" i="18" s="1"/>
  <c r="L18" i="13"/>
  <c r="K20" i="13"/>
  <c r="K36" i="13"/>
  <c r="J38" i="13"/>
  <c r="J12" i="13"/>
  <c r="I14" i="13"/>
  <c r="F40" i="13"/>
  <c r="G37" i="13"/>
  <c r="E33" i="13"/>
  <c r="E34" i="13"/>
  <c r="F31" i="13"/>
  <c r="F28" i="13"/>
  <c r="F27" i="13"/>
  <c r="G25" i="13"/>
  <c r="F21" i="13"/>
  <c r="F22" i="13"/>
  <c r="G19" i="13"/>
  <c r="E15" i="13"/>
  <c r="E16" i="13"/>
  <c r="F13" i="13"/>
  <c r="G190" i="18" l="1"/>
  <c r="G184" i="18"/>
  <c r="G181" i="18"/>
  <c r="G187" i="18"/>
  <c r="I188" i="18"/>
  <c r="I182" i="18"/>
  <c r="I179" i="18"/>
  <c r="I180" i="18" s="1"/>
  <c r="I185" i="18"/>
  <c r="F102" i="18"/>
  <c r="F103" i="18" s="1"/>
  <c r="F158" i="18"/>
  <c r="F194" i="18" s="1"/>
  <c r="F164" i="18"/>
  <c r="F200" i="18" s="1"/>
  <c r="F161" i="18"/>
  <c r="F197" i="18" s="1"/>
  <c r="F155" i="18"/>
  <c r="G157" i="18"/>
  <c r="G166" i="18"/>
  <c r="G163" i="18"/>
  <c r="F166" i="18"/>
  <c r="F163" i="18"/>
  <c r="F157" i="18"/>
  <c r="G176" i="18"/>
  <c r="G173" i="18"/>
  <c r="G170" i="18"/>
  <c r="G167" i="18"/>
  <c r="F178" i="18"/>
  <c r="F175" i="18"/>
  <c r="F172" i="18"/>
  <c r="F169" i="18"/>
  <c r="H28" i="18"/>
  <c r="H65" i="18" s="1"/>
  <c r="G68" i="18"/>
  <c r="G116" i="18"/>
  <c r="G118" i="18" s="1"/>
  <c r="H63" i="18"/>
  <c r="H66" i="18" s="1"/>
  <c r="H70" i="18" s="1"/>
  <c r="H72" i="18" s="1"/>
  <c r="H109" i="18"/>
  <c r="I26" i="18"/>
  <c r="G73" i="18"/>
  <c r="G67" i="18"/>
  <c r="G77" i="18" s="1"/>
  <c r="G75" i="18" s="1"/>
  <c r="H67" i="18"/>
  <c r="H77" i="18" s="1"/>
  <c r="F123" i="18"/>
  <c r="F121" i="18" s="1"/>
  <c r="G119" i="18"/>
  <c r="G113" i="18"/>
  <c r="G55" i="18"/>
  <c r="F108" i="18"/>
  <c r="F106" i="18" s="1"/>
  <c r="F160" i="18"/>
  <c r="M27" i="19"/>
  <c r="M28" i="19"/>
  <c r="M29" i="19"/>
  <c r="M30" i="19"/>
  <c r="G137" i="18"/>
  <c r="F54" i="18"/>
  <c r="F62" i="18" s="1"/>
  <c r="G104" i="18"/>
  <c r="G52" i="18"/>
  <c r="G54" i="18" s="1"/>
  <c r="G62" i="18" s="1"/>
  <c r="G78" i="18"/>
  <c r="G81" i="18" s="1"/>
  <c r="G85" i="18" s="1"/>
  <c r="G101" i="18"/>
  <c r="G142" i="18" s="1"/>
  <c r="G139" i="18"/>
  <c r="G141" i="18" s="1"/>
  <c r="G151" i="18" s="1"/>
  <c r="G149" i="18" s="1"/>
  <c r="G99" i="18"/>
  <c r="H96" i="18"/>
  <c r="H98" i="18" s="1"/>
  <c r="F191" i="18"/>
  <c r="H33" i="19"/>
  <c r="L33" i="19" s="1"/>
  <c r="K33" i="19"/>
  <c r="M33" i="19" s="1"/>
  <c r="K32" i="19"/>
  <c r="H32" i="19"/>
  <c r="L32" i="19" s="1"/>
  <c r="H31" i="19"/>
  <c r="L31" i="19" s="1"/>
  <c r="K31" i="19"/>
  <c r="M31" i="19" s="1"/>
  <c r="H34" i="19"/>
  <c r="L34" i="19" s="1"/>
  <c r="K34" i="19"/>
  <c r="G108" i="18"/>
  <c r="G160" i="18"/>
  <c r="F147" i="18"/>
  <c r="I130" i="18"/>
  <c r="I131" i="18" s="1"/>
  <c r="I189" i="18"/>
  <c r="G136" i="18"/>
  <c r="G134" i="18" s="1"/>
  <c r="I23" i="18"/>
  <c r="I24" i="18"/>
  <c r="I50" i="18" s="1"/>
  <c r="H44" i="18"/>
  <c r="H132" i="18"/>
  <c r="H128" i="18"/>
  <c r="I21" i="18"/>
  <c r="J127" i="18"/>
  <c r="H55" i="18"/>
  <c r="H53" i="18"/>
  <c r="H56" i="18" s="1"/>
  <c r="H52" i="18"/>
  <c r="I126" i="18"/>
  <c r="J37" i="18"/>
  <c r="J40" i="18" s="1"/>
  <c r="J19" i="18"/>
  <c r="J20" i="18"/>
  <c r="J22" i="18" s="1"/>
  <c r="I11" i="18"/>
  <c r="F146" i="18"/>
  <c r="I36" i="18"/>
  <c r="L16" i="18"/>
  <c r="L34" i="18" s="1"/>
  <c r="K18" i="18"/>
  <c r="K124" i="18"/>
  <c r="K17" i="18"/>
  <c r="K37" i="18"/>
  <c r="K40" i="18" s="1"/>
  <c r="M18" i="13"/>
  <c r="M20" i="13" s="1"/>
  <c r="L20" i="13"/>
  <c r="L36" i="13"/>
  <c r="K38" i="13"/>
  <c r="K12" i="13"/>
  <c r="J14" i="13"/>
  <c r="G40" i="13"/>
  <c r="H37" i="13"/>
  <c r="F34" i="13"/>
  <c r="F33" i="13"/>
  <c r="G31" i="13"/>
  <c r="G28" i="13"/>
  <c r="G27" i="13"/>
  <c r="H25" i="13"/>
  <c r="G22" i="13"/>
  <c r="G21" i="13"/>
  <c r="H19" i="13"/>
  <c r="G13" i="13"/>
  <c r="F16" i="13"/>
  <c r="F15" i="13"/>
  <c r="H190" i="18" l="1"/>
  <c r="H184" i="18"/>
  <c r="H181" i="18"/>
  <c r="H187" i="18"/>
  <c r="J185" i="18"/>
  <c r="J188" i="18"/>
  <c r="J182" i="18"/>
  <c r="J179" i="18"/>
  <c r="F193" i="18"/>
  <c r="H73" i="18"/>
  <c r="G178" i="18"/>
  <c r="G202" i="18" s="1"/>
  <c r="G175" i="18"/>
  <c r="G199" i="18" s="1"/>
  <c r="G172" i="18"/>
  <c r="G169" i="18"/>
  <c r="G193" i="18" s="1"/>
  <c r="G102" i="18"/>
  <c r="G103" i="18" s="1"/>
  <c r="G164" i="18"/>
  <c r="G200" i="18" s="1"/>
  <c r="G161" i="18"/>
  <c r="G197" i="18" s="1"/>
  <c r="G155" i="18"/>
  <c r="G191" i="18" s="1"/>
  <c r="G158" i="18"/>
  <c r="G194" i="18" s="1"/>
  <c r="G83" i="18"/>
  <c r="H111" i="18"/>
  <c r="H113" i="18" s="1"/>
  <c r="I28" i="18"/>
  <c r="I65" i="18" s="1"/>
  <c r="I67" i="18" s="1"/>
  <c r="I77" i="18" s="1"/>
  <c r="I75" i="18" s="1"/>
  <c r="H68" i="18"/>
  <c r="H78" i="18"/>
  <c r="H81" i="18" s="1"/>
  <c r="H85" i="18" s="1"/>
  <c r="I109" i="18"/>
  <c r="I110" i="18" s="1"/>
  <c r="I10" i="18" s="1"/>
  <c r="J26" i="18"/>
  <c r="J109" i="18" s="1"/>
  <c r="I27" i="18"/>
  <c r="I63" i="18"/>
  <c r="H112" i="18"/>
  <c r="H114" i="18"/>
  <c r="H83" i="18"/>
  <c r="F199" i="18"/>
  <c r="G147" i="18"/>
  <c r="F202" i="18"/>
  <c r="F196" i="18"/>
  <c r="G196" i="18"/>
  <c r="G123" i="18"/>
  <c r="G121" i="18" s="1"/>
  <c r="H75" i="18"/>
  <c r="G140" i="18"/>
  <c r="G144" i="18" s="1"/>
  <c r="G146" i="18" s="1"/>
  <c r="G106" i="18"/>
  <c r="G60" i="18"/>
  <c r="M34" i="19"/>
  <c r="M32" i="19"/>
  <c r="G80" i="18"/>
  <c r="G82" i="18" s="1"/>
  <c r="G92" i="18" s="1"/>
  <c r="G90" i="18" s="1"/>
  <c r="H137" i="18"/>
  <c r="H140" i="18" s="1"/>
  <c r="H144" i="18" s="1"/>
  <c r="H99" i="18"/>
  <c r="H101" i="18"/>
  <c r="H100" i="18"/>
  <c r="H104" i="18"/>
  <c r="H38" i="19"/>
  <c r="L38" i="19" s="1"/>
  <c r="K38" i="19"/>
  <c r="M38" i="19" s="1"/>
  <c r="K35" i="19"/>
  <c r="H35" i="19"/>
  <c r="L35" i="19" s="1"/>
  <c r="K36" i="19"/>
  <c r="H36" i="19"/>
  <c r="L36" i="19" s="1"/>
  <c r="H37" i="19"/>
  <c r="L37" i="19" s="1"/>
  <c r="K37" i="19"/>
  <c r="J130" i="18"/>
  <c r="J131" i="18" s="1"/>
  <c r="H136" i="18"/>
  <c r="H134" i="18" s="1"/>
  <c r="I186" i="18"/>
  <c r="I183" i="18"/>
  <c r="I96" i="18"/>
  <c r="I25" i="18"/>
  <c r="J36" i="18"/>
  <c r="J38" i="18" s="1"/>
  <c r="J46" i="18" s="1"/>
  <c r="J24" i="18"/>
  <c r="J50" i="18" s="1"/>
  <c r="K127" i="18"/>
  <c r="I38" i="18"/>
  <c r="I46" i="18" s="1"/>
  <c r="I44" i="18" s="1"/>
  <c r="K20" i="18"/>
  <c r="K19" i="18"/>
  <c r="H80" i="18"/>
  <c r="H82" i="18" s="1"/>
  <c r="H92" i="18" s="1"/>
  <c r="H54" i="18"/>
  <c r="H62" i="18" s="1"/>
  <c r="H60" i="18" s="1"/>
  <c r="L18" i="18"/>
  <c r="L17" i="18"/>
  <c r="M16" i="18"/>
  <c r="M34" i="18" s="1"/>
  <c r="L124" i="18"/>
  <c r="L37" i="18"/>
  <c r="L40" i="18" s="1"/>
  <c r="J126" i="18"/>
  <c r="I132" i="18"/>
  <c r="I128" i="18"/>
  <c r="I53" i="18"/>
  <c r="I56" i="18" s="1"/>
  <c r="I55" i="18"/>
  <c r="I52" i="18"/>
  <c r="M36" i="13"/>
  <c r="M38" i="13" s="1"/>
  <c r="L38" i="13"/>
  <c r="L12" i="13"/>
  <c r="K14" i="13"/>
  <c r="H40" i="13"/>
  <c r="H41" i="13" s="1"/>
  <c r="I37" i="13"/>
  <c r="G34" i="13"/>
  <c r="H31" i="13"/>
  <c r="H28" i="13"/>
  <c r="H29" i="13" s="1"/>
  <c r="H27" i="13"/>
  <c r="I25" i="13"/>
  <c r="H22" i="13"/>
  <c r="H23" i="13" s="1"/>
  <c r="H21" i="13"/>
  <c r="I19" i="13"/>
  <c r="G16" i="13"/>
  <c r="G15" i="13"/>
  <c r="H13" i="13"/>
  <c r="K185" i="18" l="1"/>
  <c r="K188" i="18"/>
  <c r="K182" i="18"/>
  <c r="K179" i="18"/>
  <c r="I187" i="18"/>
  <c r="I190" i="18"/>
  <c r="I184" i="18"/>
  <c r="I181" i="18"/>
  <c r="I112" i="18"/>
  <c r="I176" i="18" s="1"/>
  <c r="I167" i="18"/>
  <c r="H164" i="18"/>
  <c r="H161" i="18"/>
  <c r="H155" i="18"/>
  <c r="H158" i="18"/>
  <c r="H176" i="18"/>
  <c r="H173" i="18"/>
  <c r="H170" i="18"/>
  <c r="H167" i="18"/>
  <c r="H178" i="18"/>
  <c r="H175" i="18"/>
  <c r="H172" i="18"/>
  <c r="H169" i="18"/>
  <c r="H157" i="18"/>
  <c r="H166" i="18"/>
  <c r="H163" i="18"/>
  <c r="H123" i="18"/>
  <c r="H121" i="18" s="1"/>
  <c r="I111" i="18"/>
  <c r="I113" i="18" s="1"/>
  <c r="H119" i="18"/>
  <c r="H147" i="18" s="1"/>
  <c r="I73" i="18"/>
  <c r="I74" i="18" s="1"/>
  <c r="H139" i="18"/>
  <c r="H141" i="18" s="1"/>
  <c r="H151" i="18" s="1"/>
  <c r="H149" i="18" s="1"/>
  <c r="I114" i="18"/>
  <c r="I115" i="18" s="1"/>
  <c r="J28" i="18"/>
  <c r="J65" i="18" s="1"/>
  <c r="J67" i="18" s="1"/>
  <c r="J77" i="18" s="1"/>
  <c r="J75" i="18" s="1"/>
  <c r="J63" i="18"/>
  <c r="J68" i="18" s="1"/>
  <c r="J112" i="18"/>
  <c r="J114" i="18"/>
  <c r="I66" i="18"/>
  <c r="I70" i="18" s="1"/>
  <c r="I64" i="18"/>
  <c r="I6" i="18" s="1"/>
  <c r="I68" i="18"/>
  <c r="I69" i="18" s="1"/>
  <c r="K26" i="18"/>
  <c r="K109" i="18" s="1"/>
  <c r="I78" i="18"/>
  <c r="I81" i="18" s="1"/>
  <c r="I85" i="18" s="1"/>
  <c r="H142" i="18"/>
  <c r="H116" i="18"/>
  <c r="H118" i="18" s="1"/>
  <c r="I76" i="18"/>
  <c r="H90" i="18"/>
  <c r="M37" i="19"/>
  <c r="M35" i="19"/>
  <c r="M36" i="19"/>
  <c r="H108" i="18"/>
  <c r="H106" i="18" s="1"/>
  <c r="H102" i="18"/>
  <c r="H103" i="18" s="1"/>
  <c r="H160" i="18"/>
  <c r="K22" i="18"/>
  <c r="K24" i="18" s="1"/>
  <c r="K50" i="18" s="1"/>
  <c r="K40" i="19"/>
  <c r="H40" i="19"/>
  <c r="L40" i="19" s="1"/>
  <c r="H39" i="19"/>
  <c r="L39" i="19" s="1"/>
  <c r="K39" i="19"/>
  <c r="M39" i="19" s="1"/>
  <c r="H41" i="19"/>
  <c r="L41" i="19" s="1"/>
  <c r="K41" i="19"/>
  <c r="I101" i="18"/>
  <c r="I98" i="18"/>
  <c r="I136" i="18"/>
  <c r="I134" i="18" s="1"/>
  <c r="I135" i="18" s="1"/>
  <c r="K130" i="18"/>
  <c r="K131" i="18" s="1"/>
  <c r="I137" i="18"/>
  <c r="I99" i="18"/>
  <c r="I97" i="18"/>
  <c r="I9" i="18" s="1"/>
  <c r="J55" i="18"/>
  <c r="J96" i="18"/>
  <c r="K36" i="18"/>
  <c r="K38" i="18" s="1"/>
  <c r="K46" i="18" s="1"/>
  <c r="K44" i="18" s="1"/>
  <c r="J44" i="18"/>
  <c r="I80" i="18"/>
  <c r="I82" i="18" s="1"/>
  <c r="I92" i="18" s="1"/>
  <c r="I90" i="18" s="1"/>
  <c r="I54" i="18"/>
  <c r="I62" i="18" s="1"/>
  <c r="I60" i="18" s="1"/>
  <c r="L20" i="18"/>
  <c r="L22" i="18" s="1"/>
  <c r="L19" i="18"/>
  <c r="L127" i="18"/>
  <c r="J53" i="18"/>
  <c r="J56" i="18" s="1"/>
  <c r="I133" i="18"/>
  <c r="J128" i="18"/>
  <c r="J132" i="18"/>
  <c r="M17" i="18"/>
  <c r="N16" i="18"/>
  <c r="N34" i="18" s="1"/>
  <c r="M124" i="18"/>
  <c r="M18" i="18"/>
  <c r="M37" i="18"/>
  <c r="M40" i="18" s="1"/>
  <c r="H146" i="18"/>
  <c r="K126" i="18"/>
  <c r="M12" i="13"/>
  <c r="M14" i="13" s="1"/>
  <c r="L14" i="13"/>
  <c r="J37" i="13"/>
  <c r="I40" i="13"/>
  <c r="I31" i="13"/>
  <c r="H34" i="13"/>
  <c r="I27" i="13"/>
  <c r="I28" i="13"/>
  <c r="J25" i="13"/>
  <c r="J19" i="13"/>
  <c r="I21" i="13"/>
  <c r="I22" i="13"/>
  <c r="H15" i="13"/>
  <c r="H16" i="13"/>
  <c r="H17" i="13" s="1"/>
  <c r="I13" i="13"/>
  <c r="L188" i="18" l="1"/>
  <c r="L182" i="18"/>
  <c r="L179" i="18"/>
  <c r="L185" i="18"/>
  <c r="H191" i="18"/>
  <c r="I170" i="18"/>
  <c r="I171" i="18" s="1"/>
  <c r="J184" i="18"/>
  <c r="J181" i="18"/>
  <c r="J187" i="18"/>
  <c r="J190" i="18"/>
  <c r="H202" i="18"/>
  <c r="I173" i="18"/>
  <c r="I174" i="18" s="1"/>
  <c r="I116" i="18"/>
  <c r="H196" i="18"/>
  <c r="I119" i="18"/>
  <c r="I120" i="18" s="1"/>
  <c r="I158" i="18"/>
  <c r="I159" i="18" s="1"/>
  <c r="I164" i="18"/>
  <c r="I200" i="18" s="1"/>
  <c r="I161" i="18"/>
  <c r="I162" i="18" s="1"/>
  <c r="I155" i="18"/>
  <c r="I156" i="18" s="1"/>
  <c r="J176" i="18"/>
  <c r="J173" i="18"/>
  <c r="J170" i="18"/>
  <c r="J167" i="18"/>
  <c r="I123" i="18"/>
  <c r="I121" i="18" s="1"/>
  <c r="I122" i="18" s="1"/>
  <c r="I172" i="18"/>
  <c r="I169" i="18"/>
  <c r="I178" i="18"/>
  <c r="I175" i="18"/>
  <c r="H199" i="18"/>
  <c r="K63" i="18"/>
  <c r="K66" i="18" s="1"/>
  <c r="K70" i="18" s="1"/>
  <c r="K28" i="18"/>
  <c r="K111" i="18" s="1"/>
  <c r="K113" i="18" s="1"/>
  <c r="H193" i="18"/>
  <c r="J78" i="18"/>
  <c r="J81" i="18" s="1"/>
  <c r="J85" i="18" s="1"/>
  <c r="I142" i="18"/>
  <c r="I143" i="18" s="1"/>
  <c r="I117" i="18"/>
  <c r="H197" i="18"/>
  <c r="I168" i="18"/>
  <c r="J73" i="18"/>
  <c r="J111" i="18"/>
  <c r="J113" i="18" s="1"/>
  <c r="J116" i="18"/>
  <c r="J83" i="18"/>
  <c r="J66" i="18"/>
  <c r="J70" i="18" s="1"/>
  <c r="K112" i="18"/>
  <c r="K114" i="18"/>
  <c r="L26" i="18"/>
  <c r="L109" i="18" s="1"/>
  <c r="L112" i="18" s="1"/>
  <c r="I83" i="18"/>
  <c r="H200" i="18"/>
  <c r="H194" i="18"/>
  <c r="I177" i="18"/>
  <c r="I71" i="18"/>
  <c r="I72" i="18"/>
  <c r="I118" i="18"/>
  <c r="I138" i="18"/>
  <c r="I12" i="18" s="1"/>
  <c r="M41" i="19"/>
  <c r="M40" i="19"/>
  <c r="K96" i="18"/>
  <c r="K98" i="18" s="1"/>
  <c r="K100" i="18" s="1"/>
  <c r="I104" i="18"/>
  <c r="I139" i="18"/>
  <c r="I141" i="18" s="1"/>
  <c r="I151" i="18" s="1"/>
  <c r="I149" i="18" s="1"/>
  <c r="I150" i="18" s="1"/>
  <c r="I100" i="18"/>
  <c r="J137" i="18"/>
  <c r="J140" i="18" s="1"/>
  <c r="J144" i="18" s="1"/>
  <c r="J98" i="18"/>
  <c r="J101" i="18"/>
  <c r="J142" i="18" s="1"/>
  <c r="L130" i="18"/>
  <c r="L131" i="18" s="1"/>
  <c r="J136" i="18"/>
  <c r="J134" i="18" s="1"/>
  <c r="I102" i="18"/>
  <c r="I103" i="18" s="1"/>
  <c r="I140" i="18"/>
  <c r="I144" i="18" s="1"/>
  <c r="I145" i="18" s="1"/>
  <c r="J99" i="18"/>
  <c r="J52" i="18"/>
  <c r="J80" i="18" s="1"/>
  <c r="J82" i="18" s="1"/>
  <c r="J92" i="18" s="1"/>
  <c r="J90" i="18" s="1"/>
  <c r="L36" i="18"/>
  <c r="L38" i="18" s="1"/>
  <c r="L46" i="18" s="1"/>
  <c r="L44" i="18" s="1"/>
  <c r="L24" i="18"/>
  <c r="L50" i="18" s="1"/>
  <c r="L126" i="18"/>
  <c r="M127" i="18"/>
  <c r="K132" i="18"/>
  <c r="K128" i="18"/>
  <c r="N17" i="18"/>
  <c r="N124" i="18"/>
  <c r="N18" i="18"/>
  <c r="K78" i="18"/>
  <c r="K81" i="18" s="1"/>
  <c r="K85" i="18" s="1"/>
  <c r="K55" i="18"/>
  <c r="K53" i="18"/>
  <c r="K56" i="18" s="1"/>
  <c r="K52" i="18"/>
  <c r="M19" i="18"/>
  <c r="M26" i="18" s="1"/>
  <c r="M20" i="18"/>
  <c r="J39" i="13"/>
  <c r="J40" i="13"/>
  <c r="K37" i="13"/>
  <c r="I34" i="13"/>
  <c r="J31" i="13"/>
  <c r="H35" i="13"/>
  <c r="K25" i="13"/>
  <c r="J27" i="13"/>
  <c r="J28" i="13"/>
  <c r="J22" i="13"/>
  <c r="J21" i="13"/>
  <c r="K19" i="13"/>
  <c r="J13" i="13"/>
  <c r="I15" i="13"/>
  <c r="I16" i="13"/>
  <c r="K65" i="18" l="1"/>
  <c r="K67" i="18" s="1"/>
  <c r="K77" i="18" s="1"/>
  <c r="K75" i="18" s="1"/>
  <c r="I197" i="18"/>
  <c r="I198" i="18" s="1"/>
  <c r="M8" i="18" s="1"/>
  <c r="N8" i="18" s="1"/>
  <c r="K190" i="18"/>
  <c r="K184" i="18"/>
  <c r="K181" i="18"/>
  <c r="K187" i="18"/>
  <c r="M188" i="18"/>
  <c r="M182" i="18"/>
  <c r="M179" i="18"/>
  <c r="M185" i="18"/>
  <c r="I194" i="18"/>
  <c r="K68" i="18"/>
  <c r="K83" i="18" s="1"/>
  <c r="J178" i="18"/>
  <c r="J175" i="18"/>
  <c r="J172" i="18"/>
  <c r="J169" i="18"/>
  <c r="J158" i="18"/>
  <c r="J194" i="18" s="1"/>
  <c r="J164" i="18"/>
  <c r="J200" i="18" s="1"/>
  <c r="J161" i="18"/>
  <c r="J197" i="18" s="1"/>
  <c r="J155" i="18"/>
  <c r="J191" i="18" s="1"/>
  <c r="L176" i="18"/>
  <c r="L173" i="18"/>
  <c r="L170" i="18"/>
  <c r="L167" i="18"/>
  <c r="K178" i="18"/>
  <c r="K175" i="18"/>
  <c r="K172" i="18"/>
  <c r="K169" i="18"/>
  <c r="K160" i="18"/>
  <c r="K157" i="18"/>
  <c r="K166" i="18"/>
  <c r="K163" i="18"/>
  <c r="K167" i="18"/>
  <c r="K176" i="18"/>
  <c r="K173" i="18"/>
  <c r="K170" i="18"/>
  <c r="I166" i="18"/>
  <c r="I202" i="18" s="1"/>
  <c r="M11" i="18" s="1"/>
  <c r="N11" i="18" s="1"/>
  <c r="I163" i="18"/>
  <c r="I199" i="18" s="1"/>
  <c r="M9" i="18" s="1"/>
  <c r="N9" i="18" s="1"/>
  <c r="I157" i="18"/>
  <c r="I193" i="18" s="1"/>
  <c r="M5" i="18" s="1"/>
  <c r="N5" i="18" s="1"/>
  <c r="K123" i="18"/>
  <c r="K73" i="18"/>
  <c r="J118" i="18"/>
  <c r="J72" i="18"/>
  <c r="K72" i="18" s="1"/>
  <c r="I195" i="18"/>
  <c r="M6" i="18" s="1"/>
  <c r="N6" i="18" s="1"/>
  <c r="L114" i="18"/>
  <c r="J123" i="18"/>
  <c r="J121" i="18" s="1"/>
  <c r="K116" i="18"/>
  <c r="J119" i="18"/>
  <c r="K119" i="18" s="1"/>
  <c r="L28" i="18"/>
  <c r="L111" i="18" s="1"/>
  <c r="L113" i="18" s="1"/>
  <c r="I201" i="18"/>
  <c r="M10" i="18" s="1"/>
  <c r="N10" i="18" s="1"/>
  <c r="L63" i="18"/>
  <c r="L78" i="18" s="1"/>
  <c r="L81" i="18" s="1"/>
  <c r="L85" i="18" s="1"/>
  <c r="M63" i="18"/>
  <c r="M66" i="18" s="1"/>
  <c r="M70" i="18" s="1"/>
  <c r="M109" i="18"/>
  <c r="M112" i="18" s="1"/>
  <c r="K101" i="18"/>
  <c r="K142" i="18" s="1"/>
  <c r="K108" i="18"/>
  <c r="K99" i="18"/>
  <c r="K137" i="18"/>
  <c r="K140" i="18" s="1"/>
  <c r="K144" i="18" s="1"/>
  <c r="K139" i="18"/>
  <c r="K141" i="18" s="1"/>
  <c r="K151" i="18" s="1"/>
  <c r="L116" i="18"/>
  <c r="M22" i="18"/>
  <c r="M24" i="18" s="1"/>
  <c r="I108" i="18"/>
  <c r="I106" i="18" s="1"/>
  <c r="I107" i="18" s="1"/>
  <c r="I160" i="18"/>
  <c r="I196" i="18" s="1"/>
  <c r="M7" i="18" s="1"/>
  <c r="N7" i="18" s="1"/>
  <c r="J100" i="18"/>
  <c r="J139" i="18"/>
  <c r="J141" i="18" s="1"/>
  <c r="J151" i="18" s="1"/>
  <c r="J104" i="18"/>
  <c r="I105" i="18"/>
  <c r="I147" i="18"/>
  <c r="I148" i="18" s="1"/>
  <c r="I165" i="18"/>
  <c r="J54" i="18"/>
  <c r="J62" i="18" s="1"/>
  <c r="J60" i="18" s="1"/>
  <c r="K136" i="18"/>
  <c r="K134" i="18" s="1"/>
  <c r="J102" i="18"/>
  <c r="J103" i="18" s="1"/>
  <c r="I191" i="18"/>
  <c r="M130" i="18"/>
  <c r="M131" i="18" s="1"/>
  <c r="I146" i="18"/>
  <c r="J146" i="18" s="1"/>
  <c r="L96" i="18"/>
  <c r="L128" i="18"/>
  <c r="L132" i="18"/>
  <c r="L55" i="18"/>
  <c r="L53" i="18"/>
  <c r="L56" i="18" s="1"/>
  <c r="L52" i="18"/>
  <c r="N127" i="18"/>
  <c r="N125" i="18"/>
  <c r="N37" i="18"/>
  <c r="N40" i="18" s="1"/>
  <c r="M126" i="18"/>
  <c r="K80" i="18"/>
  <c r="K82" i="18" s="1"/>
  <c r="K92" i="18" s="1"/>
  <c r="K90" i="18" s="1"/>
  <c r="K54" i="18"/>
  <c r="K62" i="18" s="1"/>
  <c r="M36" i="18"/>
  <c r="N19" i="18"/>
  <c r="N20" i="18"/>
  <c r="N22" i="18" s="1"/>
  <c r="K40" i="13"/>
  <c r="K39" i="13"/>
  <c r="L37" i="13"/>
  <c r="J34" i="13"/>
  <c r="J33" i="13"/>
  <c r="K31" i="13"/>
  <c r="K28" i="13"/>
  <c r="K27" i="13"/>
  <c r="L25" i="13"/>
  <c r="L19" i="13"/>
  <c r="K22" i="13"/>
  <c r="K21" i="13"/>
  <c r="K13" i="13"/>
  <c r="J16" i="13"/>
  <c r="J15" i="13"/>
  <c r="N185" i="18" l="1"/>
  <c r="N188" i="18"/>
  <c r="N189" i="18" s="1"/>
  <c r="N182" i="18"/>
  <c r="N183" i="18" s="1"/>
  <c r="N179" i="18"/>
  <c r="N180" i="18" s="1"/>
  <c r="L190" i="18"/>
  <c r="L184" i="18"/>
  <c r="L181" i="18"/>
  <c r="L187" i="18"/>
  <c r="K196" i="18"/>
  <c r="M176" i="18"/>
  <c r="M173" i="18"/>
  <c r="M170" i="18"/>
  <c r="M167" i="18"/>
  <c r="K161" i="18"/>
  <c r="K155" i="18"/>
  <c r="K191" i="18" s="1"/>
  <c r="K158" i="18"/>
  <c r="K194" i="18" s="1"/>
  <c r="K164" i="18"/>
  <c r="K200" i="18" s="1"/>
  <c r="L178" i="18"/>
  <c r="L175" i="18"/>
  <c r="L172" i="18"/>
  <c r="L169" i="18"/>
  <c r="J166" i="18"/>
  <c r="J202" i="18" s="1"/>
  <c r="J163" i="18"/>
  <c r="J199" i="18" s="1"/>
  <c r="J157" i="18"/>
  <c r="J193" i="18" s="1"/>
  <c r="I192" i="18"/>
  <c r="M4" i="18" s="1"/>
  <c r="N4" i="18" s="1"/>
  <c r="K197" i="18"/>
  <c r="L65" i="18"/>
  <c r="L67" i="18" s="1"/>
  <c r="L77" i="18" s="1"/>
  <c r="L75" i="18" s="1"/>
  <c r="K118" i="18"/>
  <c r="L118" i="18" s="1"/>
  <c r="L123" i="18"/>
  <c r="L121" i="18" s="1"/>
  <c r="M28" i="18"/>
  <c r="M65" i="18" s="1"/>
  <c r="M67" i="18" s="1"/>
  <c r="M77" i="18" s="1"/>
  <c r="K121" i="18"/>
  <c r="L119" i="18"/>
  <c r="M114" i="18"/>
  <c r="N26" i="18"/>
  <c r="N27" i="18" s="1"/>
  <c r="L66" i="18"/>
  <c r="L70" i="18" s="1"/>
  <c r="L72" i="18" s="1"/>
  <c r="M72" i="18" s="1"/>
  <c r="L68" i="18"/>
  <c r="L83" i="18" s="1"/>
  <c r="M68" i="18"/>
  <c r="K199" i="18"/>
  <c r="K202" i="18"/>
  <c r="K102" i="18"/>
  <c r="K103" i="18" s="1"/>
  <c r="K193" i="18"/>
  <c r="M116" i="18"/>
  <c r="K146" i="18"/>
  <c r="M50" i="18"/>
  <c r="M78" i="18" s="1"/>
  <c r="M81" i="18" s="1"/>
  <c r="M85" i="18" s="1"/>
  <c r="M96" i="18"/>
  <c r="M98" i="18" s="1"/>
  <c r="M100" i="18" s="1"/>
  <c r="K60" i="18"/>
  <c r="J149" i="18"/>
  <c r="K149" i="18"/>
  <c r="J108" i="18"/>
  <c r="J160" i="18"/>
  <c r="J196" i="18" s="1"/>
  <c r="L137" i="18"/>
  <c r="L140" i="18" s="1"/>
  <c r="L144" i="18" s="1"/>
  <c r="L98" i="18"/>
  <c r="J147" i="18"/>
  <c r="K104" i="18"/>
  <c r="K147" i="18" s="1"/>
  <c r="L99" i="18"/>
  <c r="N130" i="18"/>
  <c r="N131" i="18" s="1"/>
  <c r="N186" i="18"/>
  <c r="L136" i="18"/>
  <c r="L134" i="18" s="1"/>
  <c r="L101" i="18"/>
  <c r="L142" i="18" s="1"/>
  <c r="N23" i="18"/>
  <c r="N24" i="18"/>
  <c r="N50" i="18" s="1"/>
  <c r="N21" i="18"/>
  <c r="N126" i="18"/>
  <c r="L54" i="18"/>
  <c r="L62" i="18" s="1"/>
  <c r="L60" i="18" s="1"/>
  <c r="M132" i="18"/>
  <c r="M128" i="18"/>
  <c r="N36" i="18"/>
  <c r="M38" i="18"/>
  <c r="M46" i="18" s="1"/>
  <c r="M44" i="18" s="1"/>
  <c r="L40" i="13"/>
  <c r="L39" i="13"/>
  <c r="M37" i="13"/>
  <c r="K34" i="13"/>
  <c r="K33" i="13"/>
  <c r="L31" i="13"/>
  <c r="M25" i="13"/>
  <c r="L27" i="13"/>
  <c r="L28" i="13"/>
  <c r="L21" i="13"/>
  <c r="L22" i="13"/>
  <c r="M19" i="13"/>
  <c r="L13" i="13"/>
  <c r="K16" i="13"/>
  <c r="K15" i="13"/>
  <c r="M187" i="18" l="1"/>
  <c r="M190" i="18"/>
  <c r="M184" i="18"/>
  <c r="M181" i="18"/>
  <c r="M166" i="18"/>
  <c r="M157" i="18"/>
  <c r="M163" i="18"/>
  <c r="L164" i="18"/>
  <c r="L200" i="18" s="1"/>
  <c r="L161" i="18"/>
  <c r="L155" i="18"/>
  <c r="L191" i="18" s="1"/>
  <c r="L158" i="18"/>
  <c r="L194" i="18" s="1"/>
  <c r="M75" i="18"/>
  <c r="L73" i="18"/>
  <c r="M73" i="18" s="1"/>
  <c r="L80" i="18"/>
  <c r="L82" i="18" s="1"/>
  <c r="L92" i="18" s="1"/>
  <c r="L90" i="18" s="1"/>
  <c r="N109" i="18"/>
  <c r="N114" i="18" s="1"/>
  <c r="N115" i="18" s="1"/>
  <c r="M111" i="18"/>
  <c r="M119" i="18" s="1"/>
  <c r="N28" i="18"/>
  <c r="N111" i="18" s="1"/>
  <c r="N113" i="18" s="1"/>
  <c r="N63" i="18"/>
  <c r="L146" i="18"/>
  <c r="M55" i="18"/>
  <c r="M83" i="18" s="1"/>
  <c r="M101" i="18"/>
  <c r="M142" i="18" s="1"/>
  <c r="M160" i="18"/>
  <c r="M137" i="18"/>
  <c r="M140" i="18" s="1"/>
  <c r="M144" i="18" s="1"/>
  <c r="M118" i="18"/>
  <c r="M52" i="18"/>
  <c r="M80" i="18" s="1"/>
  <c r="M82" i="18" s="1"/>
  <c r="M92" i="18" s="1"/>
  <c r="M53" i="18"/>
  <c r="M56" i="18" s="1"/>
  <c r="M108" i="18"/>
  <c r="M99" i="18"/>
  <c r="L197" i="18"/>
  <c r="J106" i="18"/>
  <c r="K106" i="18"/>
  <c r="L104" i="18"/>
  <c r="L100" i="18"/>
  <c r="L139" i="18"/>
  <c r="L141" i="18" s="1"/>
  <c r="L151" i="18" s="1"/>
  <c r="L149" i="18" s="1"/>
  <c r="L102" i="18"/>
  <c r="L103" i="18" s="1"/>
  <c r="M136" i="18"/>
  <c r="M134" i="18" s="1"/>
  <c r="N25" i="18"/>
  <c r="N96" i="18"/>
  <c r="N52" i="18"/>
  <c r="N55" i="18"/>
  <c r="N53" i="18"/>
  <c r="N56" i="18" s="1"/>
  <c r="N38" i="18"/>
  <c r="N46" i="18" s="1"/>
  <c r="N44" i="18" s="1"/>
  <c r="N132" i="18"/>
  <c r="N133" i="18" s="1"/>
  <c r="N128" i="18"/>
  <c r="M39" i="13"/>
  <c r="M40" i="13"/>
  <c r="M41" i="13" s="1"/>
  <c r="M31" i="13"/>
  <c r="L33" i="13"/>
  <c r="L34" i="13"/>
  <c r="M27" i="13"/>
  <c r="M28" i="13"/>
  <c r="M29" i="13" s="1"/>
  <c r="M21" i="13"/>
  <c r="M22" i="13"/>
  <c r="M23" i="13" s="1"/>
  <c r="L15" i="13"/>
  <c r="L16" i="13"/>
  <c r="M13" i="13"/>
  <c r="N184" i="18" l="1"/>
  <c r="N181" i="18"/>
  <c r="N187" i="18"/>
  <c r="N190" i="18"/>
  <c r="L157" i="18"/>
  <c r="L166" i="18"/>
  <c r="L163" i="18"/>
  <c r="L199" i="18" s="1"/>
  <c r="N178" i="18"/>
  <c r="N175" i="18"/>
  <c r="N172" i="18"/>
  <c r="N169" i="18"/>
  <c r="M158" i="18"/>
  <c r="M194" i="18" s="1"/>
  <c r="M164" i="18"/>
  <c r="M161" i="18"/>
  <c r="M155" i="18"/>
  <c r="M191" i="18" s="1"/>
  <c r="N110" i="18"/>
  <c r="N112" i="18"/>
  <c r="M90" i="18"/>
  <c r="M113" i="18"/>
  <c r="N65" i="18"/>
  <c r="N67" i="18" s="1"/>
  <c r="N77" i="18" s="1"/>
  <c r="N75" i="18" s="1"/>
  <c r="N76" i="18" s="1"/>
  <c r="N123" i="18"/>
  <c r="M139" i="18"/>
  <c r="M141" i="18" s="1"/>
  <c r="M151" i="18" s="1"/>
  <c r="M149" i="18" s="1"/>
  <c r="N119" i="18"/>
  <c r="N120" i="18" s="1"/>
  <c r="N64" i="18"/>
  <c r="N68" i="18"/>
  <c r="N69" i="18" s="1"/>
  <c r="N66" i="18"/>
  <c r="N70" i="18" s="1"/>
  <c r="N116" i="18"/>
  <c r="N117" i="18" s="1"/>
  <c r="M146" i="18"/>
  <c r="M54" i="18"/>
  <c r="M62" i="18" s="1"/>
  <c r="M60" i="18" s="1"/>
  <c r="M102" i="18"/>
  <c r="M103" i="18" s="1"/>
  <c r="M200" i="18"/>
  <c r="M197" i="18"/>
  <c r="L160" i="18"/>
  <c r="L196" i="18" s="1"/>
  <c r="L108" i="18"/>
  <c r="L202" i="18"/>
  <c r="L193" i="18"/>
  <c r="M104" i="18"/>
  <c r="M147" i="18" s="1"/>
  <c r="L147" i="18"/>
  <c r="N99" i="18"/>
  <c r="N98" i="18"/>
  <c r="N101" i="18"/>
  <c r="N142" i="18" s="1"/>
  <c r="N143" i="18" s="1"/>
  <c r="N137" i="18"/>
  <c r="N138" i="18" s="1"/>
  <c r="N136" i="18"/>
  <c r="N134" i="18" s="1"/>
  <c r="N135" i="18" s="1"/>
  <c r="N97" i="18"/>
  <c r="N78" i="18"/>
  <c r="N81" i="18" s="1"/>
  <c r="N85" i="18" s="1"/>
  <c r="N54" i="18"/>
  <c r="N62" i="18" s="1"/>
  <c r="M33" i="13"/>
  <c r="M34" i="13"/>
  <c r="M35" i="13" s="1"/>
  <c r="M15" i="13"/>
  <c r="M16" i="13"/>
  <c r="N158" i="18" l="1"/>
  <c r="N164" i="18"/>
  <c r="N200" i="18" s="1"/>
  <c r="N201" i="18" s="1"/>
  <c r="N161" i="18"/>
  <c r="N162" i="18" s="1"/>
  <c r="N155" i="18"/>
  <c r="N156" i="18" s="1"/>
  <c r="M175" i="18"/>
  <c r="M178" i="18"/>
  <c r="M172" i="18"/>
  <c r="M196" i="18" s="1"/>
  <c r="M169" i="18"/>
  <c r="M193" i="18" s="1"/>
  <c r="N176" i="18"/>
  <c r="N177" i="18" s="1"/>
  <c r="N173" i="18"/>
  <c r="N174" i="18" s="1"/>
  <c r="N170" i="18"/>
  <c r="N171" i="18" s="1"/>
  <c r="N167" i="18"/>
  <c r="N168" i="18" s="1"/>
  <c r="M123" i="18"/>
  <c r="M121" i="18" s="1"/>
  <c r="M199" i="18"/>
  <c r="M202" i="18"/>
  <c r="N73" i="18"/>
  <c r="N74" i="18" s="1"/>
  <c r="N80" i="18"/>
  <c r="N82" i="18" s="1"/>
  <c r="N92" i="18" s="1"/>
  <c r="N90" i="18" s="1"/>
  <c r="N71" i="18"/>
  <c r="N72" i="18"/>
  <c r="N83" i="18"/>
  <c r="N118" i="18"/>
  <c r="N140" i="18"/>
  <c r="N144" i="18" s="1"/>
  <c r="N145" i="18" s="1"/>
  <c r="N60" i="18"/>
  <c r="N102" i="18"/>
  <c r="N103" i="18" s="1"/>
  <c r="L106" i="18"/>
  <c r="M106" i="18"/>
  <c r="N139" i="18"/>
  <c r="N141" i="18" s="1"/>
  <c r="N151" i="18" s="1"/>
  <c r="N149" i="18" s="1"/>
  <c r="N150" i="18" s="1"/>
  <c r="N104" i="18"/>
  <c r="N147" i="18" s="1"/>
  <c r="N148" i="18" s="1"/>
  <c r="N100" i="18"/>
  <c r="N165" i="18"/>
  <c r="M17" i="13"/>
  <c r="E53" i="18"/>
  <c r="E56" i="18" s="1"/>
  <c r="E57" i="18" s="1"/>
  <c r="F57" i="18" s="1"/>
  <c r="G57" i="18" s="1"/>
  <c r="H57" i="18" s="1"/>
  <c r="I57" i="18" s="1"/>
  <c r="J57" i="18" s="1"/>
  <c r="K57" i="18" s="1"/>
  <c r="L57" i="18" s="1"/>
  <c r="M57" i="18" s="1"/>
  <c r="N57" i="18" s="1"/>
  <c r="E55" i="18"/>
  <c r="E83" i="18" s="1"/>
  <c r="I84" i="18" s="1"/>
  <c r="N51" i="18"/>
  <c r="N35" i="18"/>
  <c r="E37" i="18"/>
  <c r="E40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I35" i="18"/>
  <c r="N166" i="18" l="1"/>
  <c r="N163" i="18"/>
  <c r="N199" i="18" s="1"/>
  <c r="N157" i="18"/>
  <c r="N193" i="18" s="1"/>
  <c r="N121" i="18"/>
  <c r="N122" i="18" s="1"/>
  <c r="N194" i="18"/>
  <c r="N195" i="18" s="1"/>
  <c r="N146" i="18"/>
  <c r="N191" i="18"/>
  <c r="N192" i="18" s="1"/>
  <c r="N197" i="18"/>
  <c r="N198" i="18" s="1"/>
  <c r="N159" i="18"/>
  <c r="N202" i="18"/>
  <c r="N108" i="18"/>
  <c r="N106" i="18" s="1"/>
  <c r="N107" i="18" s="1"/>
  <c r="N160" i="18"/>
  <c r="N196" i="18" s="1"/>
  <c r="N105" i="18"/>
  <c r="E38" i="18"/>
  <c r="E46" i="18" s="1"/>
  <c r="E42" i="18"/>
  <c r="N84" i="18"/>
  <c r="I51" i="18"/>
  <c r="I5" i="18" s="1"/>
  <c r="E80" i="18" l="1"/>
  <c r="E82" i="18" s="1"/>
  <c r="E92" i="18" s="1"/>
  <c r="E54" i="18"/>
  <c r="E62" i="18" s="1"/>
  <c r="E58" i="18"/>
  <c r="F44" i="18"/>
  <c r="E44" i="18"/>
  <c r="E81" i="18"/>
  <c r="E85" i="18" s="1"/>
  <c r="I79" i="18"/>
  <c r="I8" i="18" s="1"/>
  <c r="N79" i="18"/>
  <c r="F42" i="18"/>
  <c r="G42" i="18" s="1"/>
  <c r="H42" i="18" s="1"/>
  <c r="I42" i="18" s="1"/>
  <c r="J42" i="18" s="1"/>
  <c r="K42" i="18" s="1"/>
  <c r="L42" i="18" s="1"/>
  <c r="M42" i="18" s="1"/>
  <c r="N42" i="18" s="1"/>
  <c r="I43" i="18" l="1"/>
  <c r="I4" i="18" s="1"/>
  <c r="E88" i="18"/>
  <c r="F58" i="18"/>
  <c r="E60" i="18"/>
  <c r="F60" i="18"/>
  <c r="N86" i="18"/>
  <c r="E87" i="18"/>
  <c r="F87" i="18" s="1"/>
  <c r="G87" i="18" s="1"/>
  <c r="H87" i="18" s="1"/>
  <c r="I87" i="18" s="1"/>
  <c r="J87" i="18" s="1"/>
  <c r="K87" i="18" s="1"/>
  <c r="L87" i="18" s="1"/>
  <c r="M87" i="18" s="1"/>
  <c r="N87" i="18" s="1"/>
  <c r="I86" i="18"/>
  <c r="N43" i="18"/>
  <c r="N45" i="18"/>
  <c r="I45" i="18"/>
  <c r="E90" i="18"/>
  <c r="F90" i="18"/>
  <c r="G58" i="18" l="1"/>
  <c r="F88" i="18"/>
  <c r="N91" i="18"/>
  <c r="I91" i="18"/>
  <c r="I61" i="18"/>
  <c r="N61" i="18"/>
  <c r="G88" i="18" l="1"/>
  <c r="H58" i="18"/>
  <c r="I58" i="18" l="1"/>
  <c r="I59" i="18" s="1"/>
  <c r="H88" i="18"/>
  <c r="J58" i="18" l="1"/>
  <c r="I88" i="18"/>
  <c r="J88" i="18" l="1"/>
  <c r="K58" i="18"/>
  <c r="I89" i="18"/>
  <c r="L58" i="18" l="1"/>
  <c r="K88" i="18"/>
  <c r="L88" i="18" l="1"/>
  <c r="M58" i="18"/>
  <c r="N58" i="18" l="1"/>
  <c r="N88" i="18" s="1"/>
  <c r="M88" i="18"/>
  <c r="N59" i="18" l="1"/>
  <c r="N89" i="18"/>
</calcChain>
</file>

<file path=xl/sharedStrings.xml><?xml version="1.0" encoding="utf-8"?>
<sst xmlns="http://schemas.openxmlformats.org/spreadsheetml/2006/main" count="404" uniqueCount="112">
  <si>
    <t>Bitcoin USD Price</t>
  </si>
  <si>
    <t>Bitcoin USD Marketcap</t>
  </si>
  <si>
    <t>Bitcoin USD Price Start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</si>
  <si>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</si>
  <si>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</si>
  <si>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</si>
  <si>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</si>
  <si>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</si>
  <si>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</si>
  <si>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</si>
  <si>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</si>
  <si>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</si>
  <si>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</si>
  <si>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Remaining BTC Yield %</t>
  </si>
  <si>
    <t>Cumulative BTC Yield %</t>
  </si>
  <si>
    <t>Annual BTC Yield %</t>
  </si>
  <si>
    <t>Bitcoin Growth Yield (BiGY)</t>
  </si>
  <si>
    <t>Bitcoin Transaction Yield (BiTY)</t>
  </si>
  <si>
    <t>Total Yield</t>
  </si>
  <si>
    <t>Annual</t>
  </si>
  <si>
    <t>Bitcoin</t>
  </si>
  <si>
    <t>Test Case</t>
  </si>
  <si>
    <t>Annual Average</t>
  </si>
  <si>
    <t>Bitcoin Compound Annual Growth Rate Calculator</t>
  </si>
  <si>
    <t>Start Price</t>
  </si>
  <si>
    <t>Start Date</t>
  </si>
  <si>
    <t>End Price</t>
  </si>
  <si>
    <t>End Date</t>
  </si>
  <si>
    <t>Bitcoin Yield Estimate Variables</t>
  </si>
  <si>
    <t>Compound Annual Growth Rate</t>
  </si>
  <si>
    <t>Bitcoin Compound Annual Growth Rate (CAGR)</t>
  </si>
  <si>
    <t>Annual Average BTC Yield %</t>
  </si>
  <si>
    <t>USD %</t>
  </si>
  <si>
    <t>BTC %</t>
  </si>
  <si>
    <t>Stable Balancer BTC %</t>
  </si>
  <si>
    <t>Stable Provider BTC %</t>
  </si>
  <si>
    <t>Stable Receiver USD %</t>
  </si>
  <si>
    <t>Stable Receiver / Fiat Investor</t>
  </si>
  <si>
    <t>Stable Provider / Bitcoin Investor</t>
  </si>
  <si>
    <t>Stable Balancer / Lightning Bank</t>
  </si>
  <si>
    <t>Total BTC %</t>
  </si>
  <si>
    <t>BTC</t>
  </si>
  <si>
    <t>USD</t>
  </si>
  <si>
    <t>SR USD Comp.</t>
  </si>
  <si>
    <t>USD
Compounded</t>
  </si>
  <si>
    <t>USD
Simple</t>
  </si>
  <si>
    <t>SP BiGY BTC</t>
  </si>
  <si>
    <t>SP Total BTC</t>
  </si>
  <si>
    <t>SB BiGY BTC</t>
  </si>
  <si>
    <t>SB Total BTC</t>
  </si>
  <si>
    <t>Annual Avg. %</t>
  </si>
  <si>
    <t>Annual Avg.</t>
  </si>
  <si>
    <t>Cumulative</t>
  </si>
  <si>
    <t>Cumulative %</t>
  </si>
  <si>
    <t>Remaining %</t>
  </si>
  <si>
    <t>Annual %</t>
  </si>
  <si>
    <t>Annual Average %</t>
  </si>
  <si>
    <t>Test Case Annual</t>
  </si>
  <si>
    <t>Test Case Cumulative</t>
  </si>
  <si>
    <t>Test Case Annual Average</t>
  </si>
  <si>
    <t>Price</t>
  </si>
  <si>
    <t>Marketcap</t>
  </si>
  <si>
    <t>Unit of Account</t>
  </si>
  <si>
    <t>Measure</t>
  </si>
  <si>
    <t>Yield Estimate Calculator</t>
  </si>
  <si>
    <t>Bitcoin TVL</t>
  </si>
  <si>
    <t>BTC Measure</t>
  </si>
  <si>
    <t>BTC TVL</t>
  </si>
  <si>
    <t>Bitcoin Yield Estimate 10 Year Burndown Summary</t>
  </si>
  <si>
    <r>
      <t xml:space="preserve">Bitcoin Yield Estimate 5 Year Summary
</t>
    </r>
    <r>
      <rPr>
        <sz val="11"/>
        <rFont val="Aptos Display"/>
        <family val="2"/>
        <scheme val="major"/>
      </rPr>
      <t>Stable Receiver = SR
Stable Provider = SP
Stable Balancer = SB</t>
    </r>
  </si>
  <si>
    <r>
      <t xml:space="preserve">Lightning Bank 5 Year Revenue Summary
</t>
    </r>
    <r>
      <rPr>
        <sz val="11"/>
        <rFont val="Aptos Display"/>
        <family val="2"/>
        <scheme val="major"/>
      </rPr>
      <t>Total Value Locked = TVL</t>
    </r>
  </si>
  <si>
    <t>Bitcoin Loan Yield (BiLY)</t>
  </si>
  <si>
    <t>SB BiLY BTC</t>
  </si>
  <si>
    <t>SB BiTY BTC</t>
  </si>
  <si>
    <t>SP BiTY BTC</t>
  </si>
  <si>
    <r>
      <t xml:space="preserve">Bitcoin Yield Estimate Variables
</t>
    </r>
    <r>
      <rPr>
        <sz val="11"/>
        <rFont val="Aptos Display"/>
        <family val="2"/>
        <scheme val="major"/>
      </rPr>
      <t>Bitcoin Transaction Yield = BiTY
Bitcoin Growth Yield = BiGY
Bitcoin Loan Yield = BiLY</t>
    </r>
  </si>
  <si>
    <t>Annual BiTY %</t>
  </si>
  <si>
    <t>SP Loan BTC</t>
  </si>
  <si>
    <t>SP Annual Loan USD %</t>
  </si>
  <si>
    <t>SP Loan-to-Value %</t>
  </si>
  <si>
    <t>Annual BiGY % (CAGR)</t>
  </si>
  <si>
    <t>Loan Boost Annual %</t>
  </si>
  <si>
    <t>Loan Boost Annual Avg. %</t>
  </si>
  <si>
    <t>Total Annual %</t>
  </si>
  <si>
    <t>Total Annual Average %</t>
  </si>
  <si>
    <t>Bitcoin Investor</t>
  </si>
  <si>
    <t>Fiat Investor</t>
  </si>
  <si>
    <t>Service Provider</t>
  </si>
  <si>
    <t>Bond/Pref-to-Value %</t>
  </si>
  <si>
    <t>Loan-to-Value %</t>
  </si>
  <si>
    <t>Stable Provider</t>
  </si>
  <si>
    <t>Stable Receiver</t>
  </si>
  <si>
    <t>High-Interest Debt</t>
  </si>
  <si>
    <t>Low-Interest Debt</t>
  </si>
  <si>
    <t>Service</t>
  </si>
  <si>
    <t>BTC Principal %</t>
  </si>
  <si>
    <t>BTC Debt %</t>
  </si>
  <si>
    <t>Total Down Payment</t>
  </si>
  <si>
    <t>Total Debt</t>
  </si>
  <si>
    <t>BTC Total</t>
  </si>
  <si>
    <t>BTC Principal</t>
  </si>
  <si>
    <t>BTC Bond/Pref</t>
  </si>
  <si>
    <t>BTC Loan</t>
  </si>
  <si>
    <t>Debt-to-Value %</t>
  </si>
  <si>
    <t>Loan Interest %</t>
  </si>
  <si>
    <t>N/A</t>
  </si>
  <si>
    <t>Service Fee %</t>
  </si>
  <si>
    <t>Annual Comp. %</t>
  </si>
  <si>
    <t>Cumulative Comp. %</t>
  </si>
  <si>
    <t>Total Debt-to-Value</t>
  </si>
  <si>
    <t>Bitcoin Lightning Bank
A decentralized and distributed strategy for ultra-high yields using leveraged bitcoin growth and lightning transaction fee exposure</t>
  </si>
  <si>
    <r>
      <t xml:space="preserve">Bitcoin Lightning Mortgage
</t>
    </r>
    <r>
      <rPr>
        <sz val="11"/>
        <color theme="1"/>
        <rFont val="Aptos Display"/>
        <family val="2"/>
        <scheme val="major"/>
      </rPr>
      <t>Bitcoin collateral with price drawdown liquidation protection for leveraged Bitcoin growth and Lightning transaction exposure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</si>
</sst>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##0.00,,&quot; M&quot;"/>
    <numFmt numFmtId="165" formatCode="&quot;$&quot;#,##0,&quot; K&quot;"/>
    <numFmt numFmtId="166" formatCode="&quot;$&quot;###0.00,,,,&quot; T&quot;"/>
    <numFmt numFmtId="167" formatCode="&quot;$&quot;#,##0.00"/>
    <numFmt numFmtId="168" formatCode="#,##0,&quot; K&quot;"/>
    <numFmt numFmtId="169" formatCode="###0.0,,&quot; M&quot;"/>
    <numFmt numFmtId="170" formatCode="&quot;$&quot;###0.00,,,&quot; B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0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0"/>
      <name val="Aptos Display"/>
      <family val="2"/>
      <scheme val="major"/>
    </font>
    <font>
      <sz val="11"/>
      <color rgb="FF0061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8"/>
      <color theme="1"/>
      <name val="Aptos Display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5DAA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/>
      </left>
      <right style="thin">
        <color theme="0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/>
      </left>
      <right style="thin">
        <color theme="0"/>
      </right>
      <top/>
      <bottom style="thin">
        <color theme="1" tint="0.34998626667073579"/>
      </bottom>
      <diagonal/>
    </border>
    <border>
      <left style="thin">
        <color theme="0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1" tint="0.34998626667073579"/>
      </top>
      <bottom/>
      <diagonal/>
    </border>
    <border>
      <left style="thin">
        <color theme="0"/>
      </left>
      <right/>
      <top/>
      <bottom style="thin">
        <color theme="1" tint="0.34998626667073579"/>
      </bottom>
      <diagonal/>
    </border>
    <border>
      <left/>
      <right/>
      <top style="thin">
        <color theme="1" tint="0.34998626667073579"/>
      </top>
      <bottom/>
      <diagonal/>
    </border>
    <border>
      <left/>
      <right style="thin">
        <color theme="0"/>
      </right>
      <top style="thin">
        <color theme="1" tint="0.34998626667073579"/>
      </top>
      <bottom/>
      <diagonal/>
    </border>
    <border>
      <left/>
      <right/>
      <top/>
      <bottom style="thin">
        <color theme="1" tint="0.34998626667073579"/>
      </bottom>
      <diagonal/>
    </border>
    <border>
      <left/>
      <right style="thin">
        <color theme="0"/>
      </right>
      <top/>
      <bottom style="thin">
        <color theme="1" tint="0.34998626667073579"/>
      </bottom>
      <diagonal/>
    </border>
  </borders>
  <cellStyleXfs count="2">
    <xf numFmtId="0" fontId="0" fillId="0" borderId="0"/>
    <xf numFmtId="0" fontId="7" fillId="11" borderId="0" applyNumberFormat="0" applyBorder="0" applyAlignment="0" applyProtection="0"/>
  </cellStyleXfs>
  <cellXfs count="169">
    <xf numFmtId="0" fontId="0" fillId="0" borderId="0" xfId="0"/>
    <xf numFmtId="0" fontId="1" fillId="0" borderId="4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4" fillId="3" borderId="0" xfId="0" applyFont="1" applyFill="1" applyAlignment="1">
      <alignment horizontal="left" vertical="center" indent="1"/>
    </xf>
    <xf numFmtId="0" fontId="1" fillId="0" borderId="3" xfId="0" applyFont="1" applyBorder="1" applyAlignment="1">
      <alignment horizontal="left" vertical="center" indent="1"/>
    </xf>
    <xf numFmtId="0" fontId="1" fillId="0" borderId="5" xfId="0" applyFont="1" applyBorder="1" applyAlignment="1">
      <alignment horizontal="left" vertical="center" indent="1"/>
    </xf>
    <xf numFmtId="0" fontId="1" fillId="6" borderId="0" xfId="0" applyFont="1" applyFill="1" applyAlignment="1">
      <alignment horizontal="left" vertical="center" wrapText="1" indent="1"/>
    </xf>
    <xf numFmtId="10" fontId="4" fillId="6" borderId="6" xfId="0" applyNumberFormat="1" applyFont="1" applyFill="1" applyBorder="1" applyAlignment="1">
      <alignment horizontal="left" vertical="center" wrapText="1" indent="1"/>
    </xf>
    <xf numFmtId="10" fontId="4" fillId="6" borderId="5" xfId="0" applyNumberFormat="1" applyFont="1" applyFill="1" applyBorder="1" applyAlignment="1">
      <alignment horizontal="left" vertical="center" wrapText="1" indent="1"/>
    </xf>
    <xf numFmtId="0" fontId="1" fillId="0" borderId="1" xfId="0" applyFont="1" applyBorder="1" applyAlignment="1">
      <alignment horizontal="left" vertical="center" indent="1"/>
    </xf>
    <xf numFmtId="0" fontId="1" fillId="0" borderId="2" xfId="0" applyFont="1" applyBorder="1" applyAlignment="1">
      <alignment horizontal="left" vertical="center" indent="1"/>
    </xf>
    <xf numFmtId="164" fontId="1" fillId="0" borderId="3" xfId="0" applyNumberFormat="1" applyFont="1" applyBorder="1" applyAlignment="1">
      <alignment horizontal="left" vertical="center" indent="1"/>
    </xf>
    <xf numFmtId="0" fontId="1" fillId="0" borderId="8" xfId="0" applyFont="1" applyBorder="1" applyAlignment="1">
      <alignment horizontal="left" vertical="center" indent="1"/>
    </xf>
    <xf numFmtId="10" fontId="1" fillId="0" borderId="0" xfId="0" applyNumberFormat="1" applyFont="1" applyAlignment="1">
      <alignment horizontal="left" vertical="center" indent="1"/>
    </xf>
    <xf numFmtId="164" fontId="1" fillId="0" borderId="0" xfId="0" applyNumberFormat="1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167" fontId="1" fillId="0" borderId="0" xfId="0" applyNumberFormat="1" applyFont="1" applyAlignment="1">
      <alignment horizontal="left" vertical="center" indent="1"/>
    </xf>
    <xf numFmtId="0" fontId="5" fillId="5" borderId="10" xfId="0" applyFont="1" applyFill="1" applyBorder="1" applyAlignment="1">
      <alignment horizontal="left" vertical="center" indent="1"/>
    </xf>
    <xf numFmtId="10" fontId="5" fillId="5" borderId="10" xfId="0" applyNumberFormat="1" applyFont="1" applyFill="1" applyBorder="1" applyAlignment="1">
      <alignment horizontal="left" vertical="center" indent="1"/>
    </xf>
    <xf numFmtId="10" fontId="4" fillId="5" borderId="10" xfId="0" applyNumberFormat="1" applyFont="1" applyFill="1" applyBorder="1" applyAlignment="1">
      <alignment horizontal="left" vertical="center" indent="1"/>
    </xf>
    <xf numFmtId="0" fontId="3" fillId="0" borderId="10" xfId="0" applyFont="1" applyBorder="1" applyAlignment="1">
      <alignment horizontal="left" vertical="center" indent="1"/>
    </xf>
    <xf numFmtId="0" fontId="3" fillId="0" borderId="12" xfId="0" applyFont="1" applyBorder="1" applyAlignment="1">
      <alignment horizontal="left" vertical="center" indent="1"/>
    </xf>
    <xf numFmtId="4" fontId="1" fillId="0" borderId="12" xfId="0" applyNumberFormat="1" applyFont="1" applyBorder="1" applyAlignment="1">
      <alignment horizontal="left" vertical="center" indent="1"/>
    </xf>
    <xf numFmtId="164" fontId="1" fillId="0" borderId="12" xfId="0" applyNumberFormat="1" applyFont="1" applyBorder="1" applyAlignment="1">
      <alignment horizontal="left" vertical="center" indent="1"/>
    </xf>
    <xf numFmtId="164" fontId="1" fillId="6" borderId="12" xfId="0" applyNumberFormat="1" applyFont="1" applyFill="1" applyBorder="1" applyAlignment="1">
      <alignment horizontal="left" vertical="center" indent="1"/>
    </xf>
    <xf numFmtId="165" fontId="1" fillId="6" borderId="12" xfId="0" applyNumberFormat="1" applyFont="1" applyFill="1" applyBorder="1" applyAlignment="1">
      <alignment horizontal="left" vertical="center" indent="1"/>
    </xf>
    <xf numFmtId="165" fontId="1" fillId="0" borderId="12" xfId="0" applyNumberFormat="1" applyFont="1" applyBorder="1" applyAlignment="1">
      <alignment horizontal="left" vertical="center" indent="1"/>
    </xf>
    <xf numFmtId="166" fontId="1" fillId="0" borderId="12" xfId="0" applyNumberFormat="1" applyFont="1" applyBorder="1" applyAlignment="1">
      <alignment horizontal="left" vertical="center" indent="1"/>
    </xf>
    <xf numFmtId="10" fontId="3" fillId="0" borderId="12" xfId="0" applyNumberFormat="1" applyFont="1" applyBorder="1" applyAlignment="1">
      <alignment horizontal="left" vertical="center" indent="1"/>
    </xf>
    <xf numFmtId="3" fontId="1" fillId="0" borderId="12" xfId="0" applyNumberFormat="1" applyFont="1" applyBorder="1" applyAlignment="1">
      <alignment horizontal="left" vertical="center" indent="1"/>
    </xf>
    <xf numFmtId="3" fontId="4" fillId="8" borderId="12" xfId="0" applyNumberFormat="1" applyFont="1" applyFill="1" applyBorder="1" applyAlignment="1">
      <alignment horizontal="left" vertical="center" indent="1"/>
    </xf>
    <xf numFmtId="3" fontId="4" fillId="5" borderId="10" xfId="0" applyNumberFormat="1" applyFont="1" applyFill="1" applyBorder="1" applyAlignment="1">
      <alignment horizontal="left" vertical="center" indent="1"/>
    </xf>
    <xf numFmtId="3" fontId="4" fillId="8" borderId="10" xfId="0" applyNumberFormat="1" applyFont="1" applyFill="1" applyBorder="1" applyAlignment="1">
      <alignment horizontal="left" vertical="center" indent="1"/>
    </xf>
    <xf numFmtId="0" fontId="4" fillId="7" borderId="11" xfId="0" applyFont="1" applyFill="1" applyBorder="1" applyAlignment="1">
      <alignment horizontal="left" vertical="center" wrapText="1" indent="1"/>
    </xf>
    <xf numFmtId="0" fontId="4" fillId="4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wrapText="1" indent="1"/>
    </xf>
    <xf numFmtId="10" fontId="4" fillId="0" borderId="3" xfId="0" applyNumberFormat="1" applyFont="1" applyBorder="1" applyAlignment="1">
      <alignment horizontal="left" vertical="center" indent="1"/>
    </xf>
    <xf numFmtId="0" fontId="3" fillId="0" borderId="10" xfId="0" applyFont="1" applyBorder="1" applyAlignment="1">
      <alignment horizontal="left" vertical="center" wrapText="1" indent="1"/>
    </xf>
    <xf numFmtId="164" fontId="4" fillId="4" borderId="10" xfId="0" applyNumberFormat="1" applyFont="1" applyFill="1" applyBorder="1" applyAlignment="1">
      <alignment horizontal="left" vertical="center" wrapText="1" indent="1"/>
    </xf>
    <xf numFmtId="10" fontId="4" fillId="4" borderId="10" xfId="0" applyNumberFormat="1" applyFont="1" applyFill="1" applyBorder="1" applyAlignment="1">
      <alignment horizontal="left" vertical="center" wrapText="1" indent="1"/>
    </xf>
    <xf numFmtId="10" fontId="4" fillId="4" borderId="10" xfId="0" applyNumberFormat="1" applyFont="1" applyFill="1" applyBorder="1" applyAlignment="1">
      <alignment horizontal="left" vertical="center" indent="1"/>
    </xf>
    <xf numFmtId="10" fontId="5" fillId="4" borderId="10" xfId="0" applyNumberFormat="1" applyFont="1" applyFill="1" applyBorder="1" applyAlignment="1">
      <alignment horizontal="left" vertical="center" wrapText="1" indent="1"/>
    </xf>
    <xf numFmtId="10" fontId="5" fillId="6" borderId="10" xfId="0" applyNumberFormat="1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indent="1"/>
    </xf>
    <xf numFmtId="10" fontId="4" fillId="8" borderId="10" xfId="0" applyNumberFormat="1" applyFont="1" applyFill="1" applyBorder="1" applyAlignment="1">
      <alignment horizontal="left" vertical="center" indent="1"/>
    </xf>
    <xf numFmtId="10" fontId="4" fillId="7" borderId="11" xfId="0" applyNumberFormat="1" applyFont="1" applyFill="1" applyBorder="1" applyAlignment="1">
      <alignment horizontal="left" vertical="center" indent="1"/>
    </xf>
    <xf numFmtId="10" fontId="4" fillId="4" borderId="11" xfId="0" applyNumberFormat="1" applyFont="1" applyFill="1" applyBorder="1" applyAlignment="1">
      <alignment horizontal="left" vertical="center" indent="1"/>
    </xf>
    <xf numFmtId="10" fontId="4" fillId="3" borderId="11" xfId="0" applyNumberFormat="1" applyFont="1" applyFill="1" applyBorder="1" applyAlignment="1">
      <alignment horizontal="left" vertical="center" indent="1"/>
    </xf>
    <xf numFmtId="0" fontId="3" fillId="0" borderId="4" xfId="0" applyFont="1" applyBorder="1" applyAlignment="1">
      <alignment horizontal="left" vertical="center" indent="1"/>
    </xf>
    <xf numFmtId="10" fontId="4" fillId="8" borderId="11" xfId="0" applyNumberFormat="1" applyFont="1" applyFill="1" applyBorder="1" applyAlignment="1">
      <alignment horizontal="left" vertical="center" wrapText="1" indent="1"/>
    </xf>
    <xf numFmtId="10" fontId="4" fillId="8" borderId="20" xfId="0" applyNumberFormat="1" applyFont="1" applyFill="1" applyBorder="1" applyAlignment="1">
      <alignment horizontal="left" vertical="center" wrapText="1" indent="1"/>
    </xf>
    <xf numFmtId="3" fontId="4" fillId="8" borderId="10" xfId="0" applyNumberFormat="1" applyFont="1" applyFill="1" applyBorder="1" applyAlignment="1">
      <alignment horizontal="left" vertical="center" wrapText="1" indent="1"/>
    </xf>
    <xf numFmtId="3" fontId="4" fillId="8" borderId="11" xfId="0" applyNumberFormat="1" applyFont="1" applyFill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indent="1"/>
    </xf>
    <xf numFmtId="0" fontId="4" fillId="7" borderId="0" xfId="0" applyFont="1" applyFill="1" applyAlignment="1">
      <alignment horizontal="left" vertical="center" indent="1"/>
    </xf>
    <xf numFmtId="10" fontId="5" fillId="7" borderId="0" xfId="0" applyNumberFormat="1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10" fontId="5" fillId="4" borderId="0" xfId="0" applyNumberFormat="1" applyFont="1" applyFill="1" applyAlignment="1">
      <alignment horizontal="left" vertical="center" indent="1"/>
    </xf>
    <xf numFmtId="10" fontId="5" fillId="3" borderId="0" xfId="0" applyNumberFormat="1" applyFont="1" applyFill="1" applyAlignment="1">
      <alignment horizontal="left" vertical="center" indent="1"/>
    </xf>
    <xf numFmtId="0" fontId="3" fillId="0" borderId="15" xfId="0" applyFont="1" applyBorder="1" applyAlignment="1">
      <alignment horizontal="left" vertical="center" indent="1"/>
    </xf>
    <xf numFmtId="0" fontId="1" fillId="0" borderId="12" xfId="0" applyFont="1" applyBorder="1" applyAlignment="1">
      <alignment horizontal="left" vertical="center" indent="1"/>
    </xf>
    <xf numFmtId="0" fontId="1" fillId="0" borderId="6" xfId="0" applyFont="1" applyBorder="1" applyAlignment="1">
      <alignment horizontal="left" vertical="center" indent="1"/>
    </xf>
    <xf numFmtId="164" fontId="1" fillId="0" borderId="22" xfId="0" applyNumberFormat="1" applyFont="1" applyBorder="1" applyAlignment="1">
      <alignment horizontal="left" vertical="center" indent="1"/>
    </xf>
    <xf numFmtId="164" fontId="1" fillId="0" borderId="23" xfId="0" applyNumberFormat="1" applyFont="1" applyBorder="1" applyAlignment="1">
      <alignment horizontal="left" vertical="center" indent="1"/>
    </xf>
    <xf numFmtId="166" fontId="1" fillId="0" borderId="22" xfId="0" applyNumberFormat="1" applyFont="1" applyBorder="1" applyAlignment="1">
      <alignment horizontal="left" vertical="center" indent="1"/>
    </xf>
    <xf numFmtId="166" fontId="1" fillId="0" borderId="23" xfId="0" applyNumberFormat="1" applyFont="1" applyBorder="1" applyAlignment="1">
      <alignment horizontal="left" vertical="center" indent="1"/>
    </xf>
    <xf numFmtId="10" fontId="5" fillId="5" borderId="21" xfId="0" applyNumberFormat="1" applyFont="1" applyFill="1" applyBorder="1" applyAlignment="1">
      <alignment horizontal="left" vertical="center" indent="1"/>
    </xf>
    <xf numFmtId="10" fontId="5" fillId="8" borderId="21" xfId="0" applyNumberFormat="1" applyFont="1" applyFill="1" applyBorder="1" applyAlignment="1">
      <alignment horizontal="left" vertical="center" indent="1"/>
    </xf>
    <xf numFmtId="10" fontId="1" fillId="0" borderId="22" xfId="0" applyNumberFormat="1" applyFont="1" applyBorder="1" applyAlignment="1">
      <alignment horizontal="left" vertical="center" indent="1"/>
    </xf>
    <xf numFmtId="10" fontId="1" fillId="0" borderId="23" xfId="0" applyNumberFormat="1" applyFont="1" applyBorder="1" applyAlignment="1">
      <alignment horizontal="left" vertical="center" indent="1"/>
    </xf>
    <xf numFmtId="10" fontId="3" fillId="0" borderId="23" xfId="0" applyNumberFormat="1" applyFont="1" applyBorder="1" applyAlignment="1">
      <alignment horizontal="left" vertical="center" indent="1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5" fillId="5" borderId="25" xfId="0" applyFont="1" applyFill="1" applyBorder="1" applyAlignment="1">
      <alignment horizontal="left" vertical="center" indent="1"/>
    </xf>
    <xf numFmtId="0" fontId="3" fillId="0" borderId="12" xfId="0" applyFont="1" applyBorder="1" applyAlignment="1">
      <alignment horizontal="left" vertical="center" wrapText="1" indent="1"/>
    </xf>
    <xf numFmtId="10" fontId="4" fillId="7" borderId="12" xfId="0" applyNumberFormat="1" applyFont="1" applyFill="1" applyBorder="1" applyAlignment="1">
      <alignment vertical="center" wrapText="1"/>
    </xf>
    <xf numFmtId="10" fontId="4" fillId="6" borderId="12" xfId="0" applyNumberFormat="1" applyFont="1" applyFill="1" applyBorder="1" applyAlignment="1">
      <alignment horizontal="left" vertical="center" wrapText="1" indent="1"/>
    </xf>
    <xf numFmtId="10" fontId="4" fillId="6" borderId="0" xfId="0" applyNumberFormat="1" applyFont="1" applyFill="1" applyAlignment="1">
      <alignment horizontal="left" vertical="center" wrapText="1" indent="1"/>
    </xf>
    <xf numFmtId="0" fontId="1" fillId="0" borderId="27" xfId="0" applyFont="1" applyBorder="1" applyAlignment="1">
      <alignment horizontal="left" vertical="center" indent="1"/>
    </xf>
    <xf numFmtId="0" fontId="4" fillId="10" borderId="11" xfId="0" applyFont="1" applyFill="1" applyBorder="1" applyAlignment="1">
      <alignment horizontal="left" vertical="center" indent="1"/>
    </xf>
    <xf numFmtId="170" fontId="8" fillId="11" borderId="11" xfId="1" applyNumberFormat="1" applyFont="1" applyBorder="1" applyAlignment="1">
      <alignment horizontal="left" vertical="center" wrapText="1" indent="1"/>
    </xf>
    <xf numFmtId="0" fontId="3" fillId="0" borderId="13" xfId="0" applyFont="1" applyBorder="1" applyAlignment="1">
      <alignment horizontal="left" vertical="center" indent="1"/>
    </xf>
    <xf numFmtId="0" fontId="3" fillId="0" borderId="17" xfId="0" applyFont="1" applyBorder="1" applyAlignment="1">
      <alignment horizontal="left" vertical="center" indent="1"/>
    </xf>
    <xf numFmtId="0" fontId="3" fillId="0" borderId="15" xfId="0" applyFont="1" applyBorder="1" applyAlignment="1">
      <alignment horizontal="left" vertical="center" wrapText="1" indent="1"/>
    </xf>
    <xf numFmtId="168" fontId="3" fillId="0" borderId="12" xfId="0" applyNumberFormat="1" applyFont="1" applyBorder="1" applyAlignment="1">
      <alignment horizontal="left" vertical="center" wrapText="1" indent="1"/>
    </xf>
    <xf numFmtId="0" fontId="3" fillId="0" borderId="13" xfId="0" applyFont="1" applyBorder="1" applyAlignment="1">
      <alignment horizontal="left" vertical="center" wrapText="1" indent="1"/>
    </xf>
    <xf numFmtId="167" fontId="4" fillId="4" borderId="12" xfId="0" applyNumberFormat="1" applyFont="1" applyFill="1" applyBorder="1" applyAlignment="1">
      <alignment horizontal="left" vertical="center" indent="1"/>
    </xf>
    <xf numFmtId="14" fontId="4" fillId="4" borderId="12" xfId="0" applyNumberFormat="1" applyFont="1" applyFill="1" applyBorder="1" applyAlignment="1">
      <alignment horizontal="left" vertical="center" wrapText="1" indent="1"/>
    </xf>
    <xf numFmtId="10" fontId="4" fillId="10" borderId="9" xfId="0" applyNumberFormat="1" applyFont="1" applyFill="1" applyBorder="1" applyAlignment="1">
      <alignment horizontal="left" vertical="center" indent="1"/>
    </xf>
    <xf numFmtId="10" fontId="4" fillId="10" borderId="0" xfId="0" applyNumberFormat="1" applyFont="1" applyFill="1" applyAlignment="1">
      <alignment vertical="center"/>
    </xf>
    <xf numFmtId="169" fontId="3" fillId="0" borderId="4" xfId="0" applyNumberFormat="1" applyFont="1" applyBorder="1" applyAlignment="1">
      <alignment horizontal="left" vertical="center" wrapText="1" indent="1"/>
    </xf>
    <xf numFmtId="0" fontId="3" fillId="0" borderId="9" xfId="0" applyFont="1" applyBorder="1" applyAlignment="1">
      <alignment horizontal="left" vertical="center" indent="1"/>
    </xf>
    <xf numFmtId="0" fontId="5" fillId="0" borderId="15" xfId="0" applyFont="1" applyBorder="1" applyAlignment="1">
      <alignment horizontal="left" vertical="center" wrapText="1" indent="1"/>
    </xf>
    <xf numFmtId="0" fontId="5" fillId="0" borderId="13" xfId="0" applyFont="1" applyBorder="1" applyAlignment="1">
      <alignment horizontal="left" vertical="center" indent="1"/>
    </xf>
    <xf numFmtId="0" fontId="5" fillId="0" borderId="12" xfId="0" applyFont="1" applyBorder="1" applyAlignment="1">
      <alignment horizontal="left" vertical="center" indent="1"/>
    </xf>
    <xf numFmtId="169" fontId="5" fillId="0" borderId="12" xfId="0" applyNumberFormat="1" applyFont="1" applyBorder="1" applyAlignment="1">
      <alignment horizontal="left" vertical="center" wrapText="1" indent="1"/>
    </xf>
    <xf numFmtId="0" fontId="5" fillId="0" borderId="13" xfId="0" applyFont="1" applyBorder="1" applyAlignment="1">
      <alignment horizontal="left" vertical="center" wrapText="1" indent="1"/>
    </xf>
    <xf numFmtId="0" fontId="5" fillId="0" borderId="17" xfId="0" applyFont="1" applyBorder="1" applyAlignment="1">
      <alignment horizontal="left" vertical="center" indent="1"/>
    </xf>
    <xf numFmtId="10" fontId="1" fillId="0" borderId="12" xfId="0" applyNumberFormat="1" applyFont="1" applyBorder="1" applyAlignment="1">
      <alignment horizontal="left" vertical="center" indent="1"/>
    </xf>
    <xf numFmtId="10" fontId="4" fillId="12" borderId="11" xfId="0" applyNumberFormat="1" applyFont="1" applyFill="1" applyBorder="1" applyAlignment="1">
      <alignment horizontal="left" vertical="center" wrapText="1" indent="1"/>
    </xf>
    <xf numFmtId="10" fontId="4" fillId="12" borderId="20" xfId="0" applyNumberFormat="1" applyFont="1" applyFill="1" applyBorder="1" applyAlignment="1">
      <alignment horizontal="left" vertical="center" wrapText="1" indent="1"/>
    </xf>
    <xf numFmtId="10" fontId="4" fillId="12" borderId="10" xfId="0" applyNumberFormat="1" applyFont="1" applyFill="1" applyBorder="1" applyAlignment="1">
      <alignment horizontal="left" vertical="center" indent="1"/>
    </xf>
    <xf numFmtId="0" fontId="4" fillId="5" borderId="25" xfId="0" applyFont="1" applyFill="1" applyBorder="1" applyAlignment="1">
      <alignment horizontal="left" vertical="center" indent="1"/>
    </xf>
    <xf numFmtId="0" fontId="4" fillId="5" borderId="21" xfId="0" applyFont="1" applyFill="1" applyBorder="1" applyAlignment="1">
      <alignment horizontal="left" vertical="center" indent="1"/>
    </xf>
    <xf numFmtId="10" fontId="4" fillId="5" borderId="21" xfId="0" applyNumberFormat="1" applyFont="1" applyFill="1" applyBorder="1" applyAlignment="1">
      <alignment horizontal="left" vertical="center" indent="1"/>
    </xf>
    <xf numFmtId="10" fontId="4" fillId="5" borderId="22" xfId="0" applyNumberFormat="1" applyFont="1" applyFill="1" applyBorder="1" applyAlignment="1">
      <alignment horizontal="left" vertical="center" indent="1"/>
    </xf>
    <xf numFmtId="0" fontId="1" fillId="0" borderId="23" xfId="0" applyFont="1" applyBorder="1" applyAlignment="1">
      <alignment horizontal="left" vertical="center" indent="1"/>
    </xf>
    <xf numFmtId="10" fontId="1" fillId="0" borderId="3" xfId="0" applyNumberFormat="1" applyFont="1" applyBorder="1" applyAlignment="1">
      <alignment horizontal="left" vertical="center" indent="1"/>
    </xf>
    <xf numFmtId="0" fontId="4" fillId="13" borderId="25" xfId="0" applyFont="1" applyFill="1" applyBorder="1" applyAlignment="1">
      <alignment horizontal="left" vertical="center" indent="1"/>
    </xf>
    <xf numFmtId="0" fontId="4" fillId="13" borderId="21" xfId="0" applyFont="1" applyFill="1" applyBorder="1" applyAlignment="1">
      <alignment horizontal="left" vertical="center" indent="1"/>
    </xf>
    <xf numFmtId="0" fontId="4" fillId="13" borderId="22" xfId="0" applyFont="1" applyFill="1" applyBorder="1" applyAlignment="1">
      <alignment horizontal="left" vertical="center" indent="1"/>
    </xf>
    <xf numFmtId="10" fontId="1" fillId="0" borderId="21" xfId="0" applyNumberFormat="1" applyFont="1" applyBorder="1" applyAlignment="1">
      <alignment horizontal="left" vertical="center" indent="1"/>
    </xf>
    <xf numFmtId="0" fontId="4" fillId="4" borderId="30" xfId="0" applyFont="1" applyFill="1" applyBorder="1" applyAlignment="1">
      <alignment horizontal="left" vertical="center" indent="1"/>
    </xf>
    <xf numFmtId="0" fontId="4" fillId="7" borderId="30" xfId="0" applyFont="1" applyFill="1" applyBorder="1" applyAlignment="1">
      <alignment horizontal="left" vertical="center" indent="1"/>
    </xf>
    <xf numFmtId="0" fontId="4" fillId="4" borderId="31" xfId="0" applyFont="1" applyFill="1" applyBorder="1" applyAlignment="1">
      <alignment horizontal="left" vertical="center" indent="1"/>
    </xf>
    <xf numFmtId="0" fontId="4" fillId="4" borderId="32" xfId="0" applyFont="1" applyFill="1" applyBorder="1" applyAlignment="1">
      <alignment horizontal="left" vertical="center" indent="1"/>
    </xf>
    <xf numFmtId="0" fontId="4" fillId="7" borderId="32" xfId="0" applyFont="1" applyFill="1" applyBorder="1" applyAlignment="1">
      <alignment horizontal="left" vertical="center" indent="1"/>
    </xf>
    <xf numFmtId="0" fontId="4" fillId="4" borderId="33" xfId="0" applyFont="1" applyFill="1" applyBorder="1" applyAlignment="1">
      <alignment horizontal="left" vertical="center" indent="1"/>
    </xf>
    <xf numFmtId="0" fontId="6" fillId="2" borderId="19" xfId="0" applyFont="1" applyFill="1" applyBorder="1" applyAlignment="1">
      <alignment horizontal="left" vertical="center" wrapText="1" indent="1"/>
    </xf>
    <xf numFmtId="0" fontId="6" fillId="2" borderId="18" xfId="0" applyFont="1" applyFill="1" applyBorder="1" applyAlignment="1">
      <alignment horizontal="left" vertical="center" wrapText="1" indent="1"/>
    </xf>
    <xf numFmtId="0" fontId="6" fillId="2" borderId="9" xfId="0" applyFont="1" applyFill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2" borderId="26" xfId="0" applyFont="1" applyFill="1" applyBorder="1" applyAlignment="1">
      <alignment horizontal="left" vertical="center" wrapText="1" indent="1"/>
    </xf>
    <xf numFmtId="0" fontId="6" fillId="2" borderId="6" xfId="0" applyFont="1" applyFill="1" applyBorder="1" applyAlignment="1">
      <alignment horizontal="left" vertical="center" wrapText="1" indent="1"/>
    </xf>
    <xf numFmtId="0" fontId="5" fillId="10" borderId="18" xfId="0" applyFont="1" applyFill="1" applyBorder="1" applyAlignment="1">
      <alignment horizontal="left" vertical="center" wrapText="1" indent="1"/>
    </xf>
    <xf numFmtId="0" fontId="5" fillId="10" borderId="7" xfId="0" applyFont="1" applyFill="1" applyBorder="1" applyAlignment="1">
      <alignment horizontal="left" vertical="center" indent="1"/>
    </xf>
    <xf numFmtId="0" fontId="5" fillId="10" borderId="11" xfId="0" applyFont="1" applyFill="1" applyBorder="1" applyAlignment="1">
      <alignment horizontal="left" vertical="center" indent="1"/>
    </xf>
    <xf numFmtId="0" fontId="5" fillId="10" borderId="20" xfId="0" applyFont="1" applyFill="1" applyBorder="1" applyAlignment="1">
      <alignment horizontal="left" vertical="center" indent="1"/>
    </xf>
    <xf numFmtId="0" fontId="5" fillId="10" borderId="19" xfId="0" applyFont="1" applyFill="1" applyBorder="1" applyAlignment="1">
      <alignment horizontal="left" vertical="center" wrapText="1" indent="1"/>
    </xf>
    <xf numFmtId="0" fontId="5" fillId="10" borderId="17" xfId="0" applyFont="1" applyFill="1" applyBorder="1" applyAlignment="1">
      <alignment horizontal="left" vertical="center" wrapText="1" indent="1"/>
    </xf>
    <xf numFmtId="0" fontId="5" fillId="10" borderId="11" xfId="0" applyFont="1" applyFill="1" applyBorder="1" applyAlignment="1">
      <alignment horizontal="left" vertical="center" wrapText="1" indent="1"/>
    </xf>
    <xf numFmtId="0" fontId="5" fillId="10" borderId="0" xfId="0" applyFont="1" applyFill="1" applyAlignment="1">
      <alignment horizontal="left" vertical="center" wrapText="1" indent="1"/>
    </xf>
    <xf numFmtId="0" fontId="5" fillId="10" borderId="18" xfId="0" applyFont="1" applyFill="1" applyBorder="1" applyAlignment="1">
      <alignment horizontal="left" vertical="center" indent="1"/>
    </xf>
    <xf numFmtId="0" fontId="4" fillId="9" borderId="18" xfId="0" applyFont="1" applyFill="1" applyBorder="1" applyAlignment="1">
      <alignment horizontal="left" vertical="center" indent="1"/>
    </xf>
    <xf numFmtId="0" fontId="4" fillId="9" borderId="11" xfId="0" applyFont="1" applyFill="1" applyBorder="1" applyAlignment="1">
      <alignment horizontal="left" vertical="center" indent="1"/>
    </xf>
    <xf numFmtId="0" fontId="1" fillId="0" borderId="14" xfId="0" applyFont="1" applyBorder="1" applyAlignment="1">
      <alignment horizontal="left" vertical="center" indent="1"/>
    </xf>
    <xf numFmtId="0" fontId="1" fillId="0" borderId="4" xfId="0" applyFont="1" applyBorder="1" applyAlignment="1">
      <alignment horizontal="left" vertical="center" indent="1"/>
    </xf>
    <xf numFmtId="0" fontId="1" fillId="0" borderId="15" xfId="0" applyFont="1" applyBorder="1" applyAlignment="1">
      <alignment horizontal="left" vertical="center" indent="1"/>
    </xf>
    <xf numFmtId="0" fontId="1" fillId="0" borderId="16" xfId="0" applyFont="1" applyBorder="1" applyAlignment="1">
      <alignment horizontal="left" vertical="center" indent="1"/>
    </xf>
    <xf numFmtId="0" fontId="1" fillId="0" borderId="9" xfId="0" applyFont="1" applyBorder="1" applyAlignment="1">
      <alignment horizontal="left" vertical="center" indent="1"/>
    </xf>
    <xf numFmtId="0" fontId="1" fillId="0" borderId="17" xfId="0" applyFont="1" applyBorder="1" applyAlignment="1">
      <alignment horizontal="left" vertical="center" indent="1"/>
    </xf>
    <xf numFmtId="0" fontId="1" fillId="0" borderId="13" xfId="0" applyFont="1" applyBorder="1" applyAlignment="1">
      <alignment horizontal="left" vertical="center" indent="1"/>
    </xf>
    <xf numFmtId="0" fontId="1" fillId="0" borderId="12" xfId="0" applyFont="1" applyBorder="1" applyAlignment="1">
      <alignment horizontal="left" vertical="center" indent="1"/>
    </xf>
    <xf numFmtId="0" fontId="1" fillId="0" borderId="13" xfId="0" applyFont="1" applyBorder="1" applyAlignment="1">
      <alignment horizontal="left" vertical="center" wrapText="1" indent="1"/>
    </xf>
    <xf numFmtId="0" fontId="4" fillId="7" borderId="18" xfId="0" applyFont="1" applyFill="1" applyBorder="1" applyAlignment="1">
      <alignment horizontal="left" vertical="center" indent="1"/>
    </xf>
    <xf numFmtId="0" fontId="4" fillId="7" borderId="11" xfId="0" applyFont="1" applyFill="1" applyBorder="1" applyAlignment="1">
      <alignment horizontal="left" vertical="center" indent="1"/>
    </xf>
    <xf numFmtId="0" fontId="4" fillId="4" borderId="18" xfId="0" applyFont="1" applyFill="1" applyBorder="1" applyAlignment="1">
      <alignment horizontal="left" vertical="center" indent="1"/>
    </xf>
    <xf numFmtId="0" fontId="4" fillId="4" borderId="11" xfId="0" applyFont="1" applyFill="1" applyBorder="1" applyAlignment="1">
      <alignment horizontal="left" vertical="center" indent="1"/>
    </xf>
    <xf numFmtId="0" fontId="4" fillId="3" borderId="18" xfId="0" applyFont="1" applyFill="1" applyBorder="1" applyAlignment="1">
      <alignment horizontal="left" vertical="center" indent="1"/>
    </xf>
    <xf numFmtId="0" fontId="4" fillId="3" borderId="11" xfId="0" applyFont="1" applyFill="1" applyBorder="1" applyAlignment="1">
      <alignment horizontal="left" vertical="center" indent="1"/>
    </xf>
    <xf numFmtId="0" fontId="4" fillId="3" borderId="0" xfId="0" applyFont="1" applyFill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wrapText="1" indent="1"/>
    </xf>
    <xf numFmtId="168" fontId="1" fillId="0" borderId="15" xfId="0" applyNumberFormat="1" applyFont="1" applyBorder="1" applyAlignment="1">
      <alignment horizontal="left" vertical="center" indent="1"/>
    </xf>
    <xf numFmtId="168" fontId="1" fillId="0" borderId="12" xfId="0" applyNumberFormat="1" applyFont="1" applyBorder="1" applyAlignment="1">
      <alignment horizontal="left" vertical="center" indent="1"/>
    </xf>
    <xf numFmtId="169" fontId="4" fillId="5" borderId="10" xfId="0" applyNumberFormat="1" applyFont="1" applyFill="1" applyBorder="1" applyAlignment="1">
      <alignment horizontal="left" vertical="center" indent="1"/>
    </xf>
    <xf numFmtId="0" fontId="4" fillId="10" borderId="30" xfId="0" applyFont="1" applyFill="1" applyBorder="1" applyAlignment="1">
      <alignment horizontal="left" vertical="center" indent="1"/>
    </xf>
    <xf numFmtId="0" fontId="4" fillId="10" borderId="32" xfId="0" applyFont="1" applyFill="1" applyBorder="1" applyAlignment="1">
      <alignment horizontal="left" vertical="center" indent="1"/>
    </xf>
    <xf numFmtId="0" fontId="5" fillId="10" borderId="0" xfId="0" applyFont="1" applyFill="1" applyAlignment="1">
      <alignment horizontal="left" vertical="center" indent="1"/>
    </xf>
    <xf numFmtId="9" fontId="9" fillId="0" borderId="4" xfId="0" applyNumberFormat="1" applyFont="1" applyBorder="1" applyAlignment="1">
      <alignment horizontal="center" vertical="center"/>
    </xf>
    <xf numFmtId="9" fontId="9" fillId="0" borderId="24" xfId="0" applyNumberFormat="1" applyFont="1" applyBorder="1" applyAlignment="1">
      <alignment horizontal="center" vertical="center"/>
    </xf>
    <xf numFmtId="9" fontId="9" fillId="0" borderId="14" xfId="0" applyNumberFormat="1" applyFont="1" applyBorder="1" applyAlignment="1">
      <alignment horizontal="center" vertical="center"/>
    </xf>
    <xf numFmtId="9" fontId="9" fillId="0" borderId="15" xfId="0" applyNumberFormat="1" applyFont="1" applyBorder="1" applyAlignment="1">
      <alignment horizontal="center" vertical="center"/>
    </xf>
    <xf numFmtId="10" fontId="4" fillId="5" borderId="23" xfId="0" applyNumberFormat="1" applyFont="1" applyFill="1" applyBorder="1" applyAlignment="1">
      <alignment horizontal="left" vertical="center" indent="1"/>
    </xf>
    <xf numFmtId="0" fontId="4" fillId="5" borderId="23" xfId="0" applyFont="1" applyFill="1" applyBorder="1" applyAlignment="1">
      <alignment horizontal="left" vertical="center" indent="1"/>
    </xf>
    <xf numFmtId="0" fontId="1" fillId="0" borderId="25" xfId="0" applyFont="1" applyFill="1" applyBorder="1" applyAlignment="1">
      <alignment horizontal="left" vertical="center" indent="1"/>
    </xf>
    <xf numFmtId="0" fontId="4" fillId="13" borderId="30" xfId="0" applyFont="1" applyFill="1" applyBorder="1" applyAlignment="1">
      <alignment horizontal="left" vertical="center" indent="1"/>
    </xf>
    <xf numFmtId="0" fontId="4" fillId="13" borderId="32" xfId="0" applyFont="1" applyFill="1" applyBorder="1" applyAlignment="1">
      <alignment horizontal="left" vertical="center" indent="1"/>
    </xf>
    <xf numFmtId="0" fontId="4" fillId="13" borderId="28" xfId="0" applyFont="1" applyFill="1" applyBorder="1" applyAlignment="1">
      <alignment horizontal="left" vertical="center" wrapText="1" indent="1"/>
    </xf>
    <xf numFmtId="0" fontId="4" fillId="13" borderId="29" xfId="0" applyFont="1" applyFill="1" applyBorder="1" applyAlignment="1">
      <alignment horizontal="left" vertical="center" indent="1"/>
    </xf>
  </cellXfs>
  <cellStyles count="2">
    <cellStyle name="Good" xfId="1" builtinId="26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5DAA9"/>
      <color rgb="FFFFE4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2518-B1E3-498F-8277-B5D0DA9C220D}">
  <dimension ref="A1:R205"/>
  <sheetViews>
    <sheetView tabSelected="1" zoomScaleNormal="100" workbookViewId="0">
      <selection activeCell="B2" sqref="B2:C12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5.0664062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14.46484375" style="2" customWidth="1"/>
    <col min="17" max="17" width="1.53125" style="2" customWidth="1"/>
    <col min="18" max="18" width="14.86328125" style="2" bestFit="1" customWidth="1"/>
    <col min="19" max="19" width="9.06640625" style="2" customWidth="1"/>
    <col min="20" max="16384" width="9.06640625" style="2"/>
  </cols>
  <sheetData>
    <row r="1" spans="1:15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8"/>
      <c r="L1" s="78"/>
      <c r="M1" s="78"/>
      <c r="N1" s="78"/>
    </row>
    <row r="2" spans="1:15" ht="60" customHeight="1" x14ac:dyDescent="0.45">
      <c r="A2" s="9"/>
      <c r="B2" s="118" t="s">
        <v>110</v>
      </c>
      <c r="C2" s="119"/>
      <c r="D2" s="124" t="s">
        <v>75</v>
      </c>
      <c r="E2" s="125"/>
      <c r="F2" s="9"/>
      <c r="G2" s="128" t="s">
        <v>69</v>
      </c>
      <c r="H2" s="124"/>
      <c r="I2" s="124"/>
      <c r="J2" s="5"/>
      <c r="K2" s="131" t="s">
        <v>70</v>
      </c>
      <c r="L2" s="131"/>
      <c r="M2" s="131"/>
      <c r="N2" s="131"/>
    </row>
    <row r="3" spans="1:15" ht="15" customHeight="1" x14ac:dyDescent="0.45">
      <c r="A3" s="9"/>
      <c r="B3" s="120"/>
      <c r="C3" s="121"/>
      <c r="D3" s="126"/>
      <c r="E3" s="127"/>
      <c r="F3" s="9"/>
      <c r="G3" s="129"/>
      <c r="H3" s="130"/>
      <c r="I3" s="130"/>
      <c r="J3" s="5"/>
      <c r="K3" s="79" t="s">
        <v>65</v>
      </c>
      <c r="L3" s="79" t="s">
        <v>63</v>
      </c>
      <c r="M3" s="79" t="s">
        <v>41</v>
      </c>
      <c r="N3" s="79" t="s">
        <v>42</v>
      </c>
      <c r="O3" s="10"/>
    </row>
    <row r="4" spans="1:15" ht="15" customHeight="1" x14ac:dyDescent="0.45">
      <c r="A4" s="10"/>
      <c r="B4" s="120"/>
      <c r="C4" s="121"/>
      <c r="D4" s="37" t="s">
        <v>2</v>
      </c>
      <c r="E4" s="38">
        <v>100000</v>
      </c>
      <c r="F4" s="10"/>
      <c r="G4" s="94" t="s">
        <v>43</v>
      </c>
      <c r="H4" s="93" t="s">
        <v>50</v>
      </c>
      <c r="I4" s="49">
        <f>I43</f>
        <v>0.38309599999999999</v>
      </c>
      <c r="J4" s="10"/>
      <c r="K4" s="84">
        <f>C155</f>
        <v>20000</v>
      </c>
      <c r="L4" s="85" t="s">
        <v>51</v>
      </c>
      <c r="M4" s="52">
        <f>I192</f>
        <v>648.68983161777828</v>
      </c>
      <c r="N4" s="80">
        <f t="shared" ref="N4:N11" si="0">M4*$I$16</f>
        <v>348880960</v>
      </c>
      <c r="O4" s="10"/>
    </row>
    <row r="5" spans="1:15" ht="15" customHeight="1" x14ac:dyDescent="0.45">
      <c r="A5" s="43"/>
      <c r="B5" s="120"/>
      <c r="C5" s="121"/>
      <c r="D5" s="20" t="s">
        <v>76</v>
      </c>
      <c r="E5" s="39">
        <v>0.01</v>
      </c>
      <c r="F5" s="43"/>
      <c r="G5" s="60" t="s">
        <v>46</v>
      </c>
      <c r="H5" s="81" t="s">
        <v>50</v>
      </c>
      <c r="I5" s="99">
        <f>I51</f>
        <v>0.11193401558874279</v>
      </c>
      <c r="J5" s="43"/>
      <c r="K5" s="84">
        <f>C155</f>
        <v>20000</v>
      </c>
      <c r="L5" s="82" t="s">
        <v>52</v>
      </c>
      <c r="M5" s="52">
        <f>I193</f>
        <v>3243.4491580888916</v>
      </c>
      <c r="N5" s="80">
        <f t="shared" si="0"/>
        <v>1744404800</v>
      </c>
      <c r="O5" s="43"/>
    </row>
    <row r="6" spans="1:15" ht="15" customHeight="1" x14ac:dyDescent="0.45">
      <c r="A6" s="43"/>
      <c r="B6" s="120"/>
      <c r="C6" s="121"/>
      <c r="D6" s="20" t="s">
        <v>80</v>
      </c>
      <c r="E6" s="40">
        <v>0.4</v>
      </c>
      <c r="F6" s="43"/>
      <c r="G6" s="60" t="s">
        <v>74</v>
      </c>
      <c r="H6" s="81" t="s">
        <v>50</v>
      </c>
      <c r="I6" s="99">
        <f>I64</f>
        <v>1.4302745879692986E-2</v>
      </c>
      <c r="J6" s="43"/>
      <c r="K6" s="84">
        <f>C158</f>
        <v>400000</v>
      </c>
      <c r="L6" s="85" t="s">
        <v>51</v>
      </c>
      <c r="M6" s="32">
        <f>I195</f>
        <v>12973.796632355565</v>
      </c>
      <c r="N6" s="80">
        <f t="shared" si="0"/>
        <v>6977619199.999999</v>
      </c>
      <c r="O6" s="43"/>
    </row>
    <row r="7" spans="1:15" ht="15" customHeight="1" x14ac:dyDescent="0.45">
      <c r="A7" s="10"/>
      <c r="B7" s="120"/>
      <c r="C7" s="121"/>
      <c r="D7" s="37" t="s">
        <v>36</v>
      </c>
      <c r="E7" s="41">
        <v>0.17499999999999999</v>
      </c>
      <c r="F7" s="10"/>
      <c r="G7" s="60" t="s">
        <v>77</v>
      </c>
      <c r="H7" s="81" t="s">
        <v>50</v>
      </c>
      <c r="I7" s="99">
        <f>-I125</f>
        <v>-1.5263729398464926E-2</v>
      </c>
      <c r="J7" s="10"/>
      <c r="K7" s="84">
        <f>C158</f>
        <v>400000</v>
      </c>
      <c r="L7" s="82" t="s">
        <v>52</v>
      </c>
      <c r="M7" s="52">
        <f>I196</f>
        <v>77079.966680549769</v>
      </c>
      <c r="N7" s="80">
        <f t="shared" si="0"/>
        <v>41455456000</v>
      </c>
      <c r="O7" s="10"/>
    </row>
    <row r="8" spans="1:15" ht="15" customHeight="1" x14ac:dyDescent="0.45">
      <c r="A8" s="10"/>
      <c r="B8" s="120"/>
      <c r="C8" s="121"/>
      <c r="D8" s="37" t="s">
        <v>35</v>
      </c>
      <c r="E8" s="41">
        <v>0.75</v>
      </c>
      <c r="F8" s="10"/>
      <c r="G8" s="92" t="s">
        <v>47</v>
      </c>
      <c r="H8" s="93" t="s">
        <v>50</v>
      </c>
      <c r="I8" s="49">
        <f>I79</f>
        <v>0.11097303206997085</v>
      </c>
      <c r="J8" s="10"/>
      <c r="K8" s="95">
        <f>C197</f>
        <v>1000000</v>
      </c>
      <c r="L8" s="96" t="s">
        <v>51</v>
      </c>
      <c r="M8" s="52">
        <f>I198</f>
        <v>32434.491580888913</v>
      </c>
      <c r="N8" s="80">
        <f t="shared" si="0"/>
        <v>17444048000</v>
      </c>
      <c r="O8" s="10"/>
    </row>
    <row r="9" spans="1:15" ht="15" customHeight="1" x14ac:dyDescent="0.45">
      <c r="A9" s="10"/>
      <c r="B9" s="120"/>
      <c r="C9" s="121"/>
      <c r="D9" s="37" t="s">
        <v>34</v>
      </c>
      <c r="E9" s="41">
        <v>0.25</v>
      </c>
      <c r="F9" s="10"/>
      <c r="G9" s="60" t="s">
        <v>48</v>
      </c>
      <c r="H9" s="81" t="s">
        <v>50</v>
      </c>
      <c r="I9" s="100">
        <f>I97</f>
        <v>6.1054917593859705E-2</v>
      </c>
      <c r="J9" s="9"/>
      <c r="K9" s="95">
        <f>C161</f>
        <v>1000000</v>
      </c>
      <c r="L9" s="97" t="s">
        <v>52</v>
      </c>
      <c r="M9" s="51">
        <f>I199</f>
        <v>162172.4579044446</v>
      </c>
      <c r="N9" s="80">
        <f t="shared" si="0"/>
        <v>87220240000.000015</v>
      </c>
      <c r="O9" s="10"/>
    </row>
    <row r="10" spans="1:15" ht="15" customHeight="1" x14ac:dyDescent="0.45">
      <c r="A10" s="10"/>
      <c r="B10" s="120"/>
      <c r="C10" s="121"/>
      <c r="D10" s="37" t="s">
        <v>40</v>
      </c>
      <c r="E10" s="42">
        <f>SUM(E8:E9)</f>
        <v>1</v>
      </c>
      <c r="F10" s="4"/>
      <c r="G10" s="83" t="s">
        <v>73</v>
      </c>
      <c r="H10" s="81" t="s">
        <v>50</v>
      </c>
      <c r="I10" s="100">
        <f>I110</f>
        <v>4.7675819598976613E-3</v>
      </c>
      <c r="J10" s="9"/>
      <c r="K10" s="95">
        <f>C164</f>
        <v>2100000</v>
      </c>
      <c r="L10" s="96" t="s">
        <v>51</v>
      </c>
      <c r="M10" s="52">
        <f>I201</f>
        <v>68112.432319866712</v>
      </c>
      <c r="N10" s="80">
        <f t="shared" si="0"/>
        <v>36632500799.999992</v>
      </c>
      <c r="O10" s="10"/>
    </row>
    <row r="11" spans="1:15" ht="15" customHeight="1" x14ac:dyDescent="0.45">
      <c r="A11" s="10"/>
      <c r="B11" s="120"/>
      <c r="C11" s="121"/>
      <c r="D11" s="37" t="s">
        <v>78</v>
      </c>
      <c r="E11" s="41">
        <v>7.4999999999999997E-2</v>
      </c>
      <c r="F11" s="4"/>
      <c r="G11" s="83" t="s">
        <v>72</v>
      </c>
      <c r="H11" s="81" t="s">
        <v>50</v>
      </c>
      <c r="I11" s="100">
        <f>I125</f>
        <v>1.5263729398464926E-2</v>
      </c>
      <c r="J11" s="9"/>
      <c r="K11" s="95">
        <f>C164</f>
        <v>2100000</v>
      </c>
      <c r="L11" s="97" t="s">
        <v>52</v>
      </c>
      <c r="M11" s="52">
        <f>I202</f>
        <v>340562.16159933363</v>
      </c>
      <c r="N11" s="80">
        <f t="shared" si="0"/>
        <v>183162504000</v>
      </c>
      <c r="O11" s="10"/>
    </row>
    <row r="12" spans="1:15" ht="15" customHeight="1" x14ac:dyDescent="0.45">
      <c r="A12" s="10"/>
      <c r="B12" s="122"/>
      <c r="C12" s="123"/>
      <c r="D12" s="37" t="s">
        <v>79</v>
      </c>
      <c r="E12" s="41">
        <v>0.5</v>
      </c>
      <c r="F12" s="4"/>
      <c r="G12" s="92" t="s">
        <v>49</v>
      </c>
      <c r="H12" s="93" t="s">
        <v>50</v>
      </c>
      <c r="I12" s="50">
        <f>I138</f>
        <v>8.1086228952222283E-2</v>
      </c>
      <c r="J12" s="9"/>
      <c r="K12" s="90"/>
      <c r="L12" s="91"/>
      <c r="M12" s="90"/>
      <c r="N12" s="91"/>
      <c r="O12" s="90"/>
    </row>
    <row r="13" spans="1:15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</row>
    <row r="14" spans="1:15" ht="15" customHeight="1" x14ac:dyDescent="0.45">
      <c r="B14" s="132" t="s">
        <v>64</v>
      </c>
      <c r="C14" s="132" t="s">
        <v>62</v>
      </c>
      <c r="D14" s="132" t="s">
        <v>63</v>
      </c>
      <c r="E14" s="133" t="s">
        <v>3</v>
      </c>
      <c r="F14" s="133" t="s">
        <v>4</v>
      </c>
      <c r="G14" s="133" t="s">
        <v>5</v>
      </c>
      <c r="H14" s="133" t="s">
        <v>6</v>
      </c>
      <c r="I14" s="133" t="s">
        <v>7</v>
      </c>
      <c r="J14" s="133" t="s">
        <v>8</v>
      </c>
      <c r="K14" s="133" t="s">
        <v>9</v>
      </c>
      <c r="L14" s="133" t="s">
        <v>10</v>
      </c>
      <c r="M14" s="133" t="s">
        <v>11</v>
      </c>
      <c r="N14" s="133" t="s">
        <v>12</v>
      </c>
    </row>
    <row r="15" spans="1:15" ht="15" customHeight="1" x14ac:dyDescent="0.45">
      <c r="B15" s="126"/>
      <c r="C15" s="126"/>
      <c r="D15" s="126"/>
      <c r="E15" s="134"/>
      <c r="F15" s="134"/>
      <c r="G15" s="134"/>
      <c r="H15" s="134"/>
      <c r="I15" s="134"/>
      <c r="J15" s="134"/>
      <c r="K15" s="134"/>
      <c r="L15" s="134"/>
      <c r="M15" s="134"/>
      <c r="N15" s="134"/>
    </row>
    <row r="16" spans="1:15" ht="15" customHeight="1" x14ac:dyDescent="0.45">
      <c r="B16" s="135" t="s">
        <v>20</v>
      </c>
      <c r="C16" s="135" t="s">
        <v>42</v>
      </c>
      <c r="D16" s="21" t="s">
        <v>60</v>
      </c>
      <c r="E16" s="23">
        <f>($E$4 * $E$6) + $E$4</f>
        <v>140000</v>
      </c>
      <c r="F16" s="23">
        <f t="shared" ref="F16:N16" si="1">(E16 * $E$6) + E16</f>
        <v>196000</v>
      </c>
      <c r="G16" s="23">
        <f t="shared" si="1"/>
        <v>274400</v>
      </c>
      <c r="H16" s="23">
        <f t="shared" si="1"/>
        <v>384160</v>
      </c>
      <c r="I16" s="23">
        <f t="shared" si="1"/>
        <v>537824</v>
      </c>
      <c r="J16" s="23">
        <f t="shared" si="1"/>
        <v>752953.6</v>
      </c>
      <c r="K16" s="23">
        <f t="shared" si="1"/>
        <v>1054135.04</v>
      </c>
      <c r="L16" s="23">
        <f t="shared" si="1"/>
        <v>1475789.0560000001</v>
      </c>
      <c r="M16" s="23">
        <f t="shared" si="1"/>
        <v>2066104.6784000001</v>
      </c>
      <c r="N16" s="23">
        <f t="shared" si="1"/>
        <v>2892546.5497600003</v>
      </c>
    </row>
    <row r="17" spans="1:15" ht="15" customHeight="1" x14ac:dyDescent="0.45">
      <c r="B17" s="137"/>
      <c r="C17" s="137"/>
      <c r="D17" s="21" t="s">
        <v>61</v>
      </c>
      <c r="E17" s="27">
        <f>E16*21000000</f>
        <v>2940000000000</v>
      </c>
      <c r="F17" s="27">
        <f t="shared" ref="F17:N17" si="2">F16*21000000</f>
        <v>4116000000000</v>
      </c>
      <c r="G17" s="27">
        <f t="shared" si="2"/>
        <v>5762400000000</v>
      </c>
      <c r="H17" s="27">
        <f t="shared" si="2"/>
        <v>8067360000000</v>
      </c>
      <c r="I17" s="27">
        <f t="shared" si="2"/>
        <v>11294304000000</v>
      </c>
      <c r="J17" s="27">
        <f t="shared" si="2"/>
        <v>15812025600000</v>
      </c>
      <c r="K17" s="27">
        <f t="shared" si="2"/>
        <v>22136835840000</v>
      </c>
      <c r="L17" s="27">
        <f t="shared" si="2"/>
        <v>30991570176000.004</v>
      </c>
      <c r="M17" s="27">
        <f t="shared" si="2"/>
        <v>43388198246400</v>
      </c>
      <c r="N17" s="27">
        <f t="shared" si="2"/>
        <v>60743477544960.008</v>
      </c>
    </row>
    <row r="18" spans="1:15" ht="15" customHeight="1" x14ac:dyDescent="0.45">
      <c r="B18" s="135" t="s">
        <v>16</v>
      </c>
      <c r="C18" s="138" t="s">
        <v>41</v>
      </c>
      <c r="D18" s="21" t="s">
        <v>53</v>
      </c>
      <c r="E18" s="28">
        <f t="shared" ref="E18:N18" si="3">(E16-$E$4)/E16</f>
        <v>0.2857142857142857</v>
      </c>
      <c r="F18" s="28">
        <f t="shared" si="3"/>
        <v>0.48979591836734693</v>
      </c>
      <c r="G18" s="28">
        <f t="shared" si="3"/>
        <v>0.63556851311953355</v>
      </c>
      <c r="H18" s="28">
        <f t="shared" si="3"/>
        <v>0.73969179508538108</v>
      </c>
      <c r="I18" s="28">
        <f t="shared" si="3"/>
        <v>0.81406556791812934</v>
      </c>
      <c r="J18" s="28">
        <f t="shared" si="3"/>
        <v>0.86718969137009239</v>
      </c>
      <c r="K18" s="28">
        <f t="shared" si="3"/>
        <v>0.90513549383578029</v>
      </c>
      <c r="L18" s="28">
        <f t="shared" si="3"/>
        <v>0.93223963845412883</v>
      </c>
      <c r="M18" s="28">
        <f t="shared" si="3"/>
        <v>0.95159974175294915</v>
      </c>
      <c r="N18" s="28">
        <f t="shared" si="3"/>
        <v>0.96542838696639222</v>
      </c>
    </row>
    <row r="19" spans="1:15" ht="15" customHeight="1" x14ac:dyDescent="0.45">
      <c r="B19" s="136"/>
      <c r="C19" s="139"/>
      <c r="D19" s="21" t="s">
        <v>54</v>
      </c>
      <c r="E19" s="28">
        <f>1-E18</f>
        <v>0.7142857142857143</v>
      </c>
      <c r="F19" s="28">
        <f t="shared" ref="F19:N19" si="4">1-F18</f>
        <v>0.51020408163265307</v>
      </c>
      <c r="G19" s="28">
        <f t="shared" si="4"/>
        <v>0.36443148688046645</v>
      </c>
      <c r="H19" s="28">
        <f t="shared" si="4"/>
        <v>0.26030820491461892</v>
      </c>
      <c r="I19" s="28">
        <f t="shared" si="4"/>
        <v>0.18593443208187066</v>
      </c>
      <c r="J19" s="28">
        <f t="shared" si="4"/>
        <v>0.13281030862990761</v>
      </c>
      <c r="K19" s="28">
        <f t="shared" si="4"/>
        <v>9.4864506164219708E-2</v>
      </c>
      <c r="L19" s="28">
        <f t="shared" si="4"/>
        <v>6.7760361545871173E-2</v>
      </c>
      <c r="M19" s="28">
        <f t="shared" si="4"/>
        <v>4.8400258247050854E-2</v>
      </c>
      <c r="N19" s="28">
        <f t="shared" si="4"/>
        <v>3.4571613033607784E-2</v>
      </c>
    </row>
    <row r="20" spans="1:15" ht="15" customHeight="1" x14ac:dyDescent="0.45">
      <c r="B20" s="136"/>
      <c r="C20" s="139"/>
      <c r="D20" s="21" t="s">
        <v>55</v>
      </c>
      <c r="E20" s="98">
        <f>E18</f>
        <v>0.2857142857142857</v>
      </c>
      <c r="F20" s="98">
        <f t="shared" ref="F20:N20" si="5">F18-E18</f>
        <v>0.20408163265306123</v>
      </c>
      <c r="G20" s="98">
        <f t="shared" si="5"/>
        <v>0.14577259475218662</v>
      </c>
      <c r="H20" s="98">
        <f t="shared" si="5"/>
        <v>0.10412328196584753</v>
      </c>
      <c r="I20" s="98">
        <f t="shared" si="5"/>
        <v>7.4373772832748264E-2</v>
      </c>
      <c r="J20" s="98">
        <f t="shared" si="5"/>
        <v>5.3124123451963046E-2</v>
      </c>
      <c r="K20" s="98">
        <f t="shared" si="5"/>
        <v>3.7945802465687906E-2</v>
      </c>
      <c r="L20" s="98">
        <f t="shared" si="5"/>
        <v>2.7104144618348536E-2</v>
      </c>
      <c r="M20" s="98">
        <f t="shared" si="5"/>
        <v>1.9360103298820319E-2</v>
      </c>
      <c r="N20" s="98">
        <f t="shared" si="5"/>
        <v>1.3828645213443069E-2</v>
      </c>
    </row>
    <row r="21" spans="1:15" ht="15" customHeight="1" x14ac:dyDescent="0.45">
      <c r="B21" s="136"/>
      <c r="C21" s="139"/>
      <c r="D21" s="21" t="s">
        <v>56</v>
      </c>
      <c r="E21" s="98"/>
      <c r="F21" s="98"/>
      <c r="G21" s="98"/>
      <c r="H21" s="98"/>
      <c r="I21" s="98">
        <f>SUM(E20:I20)/5</f>
        <v>0.16281311358362588</v>
      </c>
      <c r="J21" s="28"/>
      <c r="K21" s="28"/>
      <c r="L21" s="28"/>
      <c r="M21" s="28"/>
      <c r="N21" s="98">
        <f>SUM(E20:N20)/10</f>
        <v>9.6542838696639224E-2</v>
      </c>
    </row>
    <row r="22" spans="1:15" ht="15" customHeight="1" x14ac:dyDescent="0.45">
      <c r="B22" s="136"/>
      <c r="C22" s="139"/>
      <c r="D22" s="21" t="s">
        <v>81</v>
      </c>
      <c r="E22" s="98">
        <f>$E$12*E20</f>
        <v>0.14285714285714285</v>
      </c>
      <c r="F22" s="98">
        <f t="shared" ref="F22:N22" si="6">$E$12*F20</f>
        <v>0.10204081632653061</v>
      </c>
      <c r="G22" s="98">
        <f t="shared" si="6"/>
        <v>7.2886297376093312E-2</v>
      </c>
      <c r="H22" s="98">
        <f t="shared" si="6"/>
        <v>5.2061640982923763E-2</v>
      </c>
      <c r="I22" s="98">
        <f t="shared" si="6"/>
        <v>3.7186886416374132E-2</v>
      </c>
      <c r="J22" s="98">
        <f t="shared" si="6"/>
        <v>2.6562061725981523E-2</v>
      </c>
      <c r="K22" s="98">
        <f t="shared" si="6"/>
        <v>1.8972901232843953E-2</v>
      </c>
      <c r="L22" s="98">
        <f t="shared" si="6"/>
        <v>1.3552072309174268E-2</v>
      </c>
      <c r="M22" s="98">
        <f t="shared" si="6"/>
        <v>9.6800516494101596E-3</v>
      </c>
      <c r="N22" s="98">
        <f t="shared" si="6"/>
        <v>6.9143226067215346E-3</v>
      </c>
    </row>
    <row r="23" spans="1:15" ht="15" customHeight="1" x14ac:dyDescent="0.45">
      <c r="B23" s="136"/>
      <c r="C23" s="139"/>
      <c r="D23" s="21" t="s">
        <v>82</v>
      </c>
      <c r="E23" s="98"/>
      <c r="F23" s="98"/>
      <c r="G23" s="98"/>
      <c r="H23" s="98"/>
      <c r="I23" s="98">
        <f>SUM(E22:I22)/5</f>
        <v>8.140655679181294E-2</v>
      </c>
      <c r="J23" s="28"/>
      <c r="K23" s="28"/>
      <c r="L23" s="28"/>
      <c r="M23" s="28"/>
      <c r="N23" s="98">
        <f>SUM(E22:N22)/10</f>
        <v>4.8271419348319612E-2</v>
      </c>
    </row>
    <row r="24" spans="1:15" ht="15" customHeight="1" x14ac:dyDescent="0.45">
      <c r="B24" s="136"/>
      <c r="C24" s="139"/>
      <c r="D24" s="17" t="s">
        <v>83</v>
      </c>
      <c r="E24" s="19">
        <f>E20+E22</f>
        <v>0.42857142857142855</v>
      </c>
      <c r="F24" s="19">
        <f t="shared" ref="F24:N24" si="7">F20+F22</f>
        <v>0.30612244897959184</v>
      </c>
      <c r="G24" s="19">
        <f t="shared" si="7"/>
        <v>0.21865889212827994</v>
      </c>
      <c r="H24" s="19">
        <f t="shared" si="7"/>
        <v>0.15618492294877129</v>
      </c>
      <c r="I24" s="19">
        <f t="shared" si="7"/>
        <v>0.1115606592491224</v>
      </c>
      <c r="J24" s="19">
        <f t="shared" si="7"/>
        <v>7.9686185177944568E-2</v>
      </c>
      <c r="K24" s="19">
        <f t="shared" si="7"/>
        <v>5.6918703698531858E-2</v>
      </c>
      <c r="L24" s="19">
        <f t="shared" si="7"/>
        <v>4.0656216927522804E-2</v>
      </c>
      <c r="M24" s="19">
        <f t="shared" si="7"/>
        <v>2.9040154948230479E-2</v>
      </c>
      <c r="N24" s="19">
        <f t="shared" si="7"/>
        <v>2.0742967820164604E-2</v>
      </c>
    </row>
    <row r="25" spans="1:15" ht="15" customHeight="1" x14ac:dyDescent="0.45">
      <c r="B25" s="137"/>
      <c r="C25" s="140"/>
      <c r="D25" s="17" t="s">
        <v>84</v>
      </c>
      <c r="E25" s="19"/>
      <c r="F25" s="19"/>
      <c r="G25" s="19"/>
      <c r="H25" s="19"/>
      <c r="I25" s="19">
        <f>SUM(E24:I24)/5</f>
        <v>0.24421967037543882</v>
      </c>
      <c r="J25" s="18"/>
      <c r="K25" s="18"/>
      <c r="L25" s="18"/>
      <c r="M25" s="18"/>
      <c r="N25" s="19">
        <f>SUM(E24:N24)/10</f>
        <v>0.14481425804495887</v>
      </c>
    </row>
    <row r="26" spans="1:15" ht="15" customHeight="1" x14ac:dyDescent="0.45">
      <c r="B26" s="135" t="s">
        <v>17</v>
      </c>
      <c r="C26" s="138" t="s">
        <v>41</v>
      </c>
      <c r="D26" s="17" t="s">
        <v>55</v>
      </c>
      <c r="E26" s="19">
        <f>((1+$E$12)*$E$5)+($E$5*E19)</f>
        <v>2.2142857142857145E-2</v>
      </c>
      <c r="F26" s="19">
        <f>((1+$E$12)*$E$5)+($E$5*F19)</f>
        <v>2.0102040816326529E-2</v>
      </c>
      <c r="G26" s="19">
        <f t="shared" ref="G26:N26" si="8">((1+$E$12)*$E$5)+($E$5*G19)</f>
        <v>1.8644314868804662E-2</v>
      </c>
      <c r="H26" s="19">
        <f t="shared" si="8"/>
        <v>1.760308204914619E-2</v>
      </c>
      <c r="I26" s="19">
        <f t="shared" si="8"/>
        <v>1.6859344320818707E-2</v>
      </c>
      <c r="J26" s="19">
        <f t="shared" si="8"/>
        <v>1.6328103086299076E-2</v>
      </c>
      <c r="K26" s="19">
        <f t="shared" si="8"/>
        <v>1.5948645061642196E-2</v>
      </c>
      <c r="L26" s="19">
        <f t="shared" si="8"/>
        <v>1.567760361545871E-2</v>
      </c>
      <c r="M26" s="19">
        <f t="shared" si="8"/>
        <v>1.5484002582470508E-2</v>
      </c>
      <c r="N26" s="19">
        <f t="shared" si="8"/>
        <v>1.5345716130336078E-2</v>
      </c>
    </row>
    <row r="27" spans="1:15" ht="15" customHeight="1" x14ac:dyDescent="0.45">
      <c r="B27" s="136"/>
      <c r="C27" s="139"/>
      <c r="D27" s="17" t="s">
        <v>56</v>
      </c>
      <c r="E27" s="19"/>
      <c r="F27" s="19"/>
      <c r="G27" s="19"/>
      <c r="H27" s="19"/>
      <c r="I27" s="19">
        <f>SUM(E26:I26)/5</f>
        <v>1.9070327839590645E-2</v>
      </c>
      <c r="J27" s="18"/>
      <c r="K27" s="18"/>
      <c r="L27" s="18"/>
      <c r="M27" s="18"/>
      <c r="N27" s="19">
        <f>SUM(E26:N26)/10</f>
        <v>1.741357096741598E-2</v>
      </c>
    </row>
    <row r="28" spans="1:15" ht="15" customHeight="1" x14ac:dyDescent="0.45">
      <c r="B28" s="136"/>
      <c r="C28" s="139"/>
      <c r="D28" s="21" t="s">
        <v>53</v>
      </c>
      <c r="E28" s="98">
        <f>E26</f>
        <v>2.2142857142857145E-2</v>
      </c>
      <c r="F28" s="98">
        <f t="shared" ref="F28:N28" si="9">E28+F26</f>
        <v>4.2244897959183673E-2</v>
      </c>
      <c r="G28" s="98">
        <f t="shared" si="9"/>
        <v>6.0889212827988336E-2</v>
      </c>
      <c r="H28" s="98">
        <f t="shared" si="9"/>
        <v>7.8492294877134522E-2</v>
      </c>
      <c r="I28" s="98">
        <f t="shared" si="9"/>
        <v>9.5351639197953225E-2</v>
      </c>
      <c r="J28" s="98">
        <f t="shared" si="9"/>
        <v>0.1116797422842523</v>
      </c>
      <c r="K28" s="98">
        <f t="shared" si="9"/>
        <v>0.12762838734589449</v>
      </c>
      <c r="L28" s="98">
        <f t="shared" si="9"/>
        <v>0.14330599096135321</v>
      </c>
      <c r="M28" s="98">
        <f t="shared" si="9"/>
        <v>0.15878999354382373</v>
      </c>
      <c r="N28" s="98">
        <f t="shared" si="9"/>
        <v>0.17413570967415981</v>
      </c>
    </row>
    <row r="29" spans="1:15" ht="15" customHeight="1" x14ac:dyDescent="0.45">
      <c r="B29" s="136"/>
      <c r="C29" s="139"/>
      <c r="D29" s="21" t="s">
        <v>107</v>
      </c>
      <c r="E29" s="98">
        <f>((1+$E$12)*$E$5)+$E$5</f>
        <v>2.5000000000000001E-2</v>
      </c>
      <c r="F29" s="98">
        <f t="shared" ref="F29:N29" si="10">((1+$E$12)*$E$5)+$E$5</f>
        <v>2.5000000000000001E-2</v>
      </c>
      <c r="G29" s="98">
        <f t="shared" si="10"/>
        <v>2.5000000000000001E-2</v>
      </c>
      <c r="H29" s="98">
        <f t="shared" si="10"/>
        <v>2.5000000000000001E-2</v>
      </c>
      <c r="I29" s="98">
        <f t="shared" si="10"/>
        <v>2.5000000000000001E-2</v>
      </c>
      <c r="J29" s="98">
        <f t="shared" si="10"/>
        <v>2.5000000000000001E-2</v>
      </c>
      <c r="K29" s="98">
        <f t="shared" si="10"/>
        <v>2.5000000000000001E-2</v>
      </c>
      <c r="L29" s="98">
        <f t="shared" si="10"/>
        <v>2.5000000000000001E-2</v>
      </c>
      <c r="M29" s="98">
        <f t="shared" si="10"/>
        <v>2.5000000000000001E-2</v>
      </c>
      <c r="N29" s="98">
        <f t="shared" si="10"/>
        <v>2.5000000000000001E-2</v>
      </c>
      <c r="O29" s="12"/>
    </row>
    <row r="30" spans="1:15" ht="15" customHeight="1" x14ac:dyDescent="0.45">
      <c r="B30" s="137"/>
      <c r="C30" s="140"/>
      <c r="D30" s="21" t="s">
        <v>108</v>
      </c>
      <c r="E30" s="98">
        <f>E29</f>
        <v>2.5000000000000001E-2</v>
      </c>
      <c r="F30" s="98">
        <f>E30+F29</f>
        <v>0.05</v>
      </c>
      <c r="G30" s="98">
        <f t="shared" ref="G30:N30" si="11">F30+G29</f>
        <v>7.5000000000000011E-2</v>
      </c>
      <c r="H30" s="98">
        <f t="shared" si="11"/>
        <v>0.1</v>
      </c>
      <c r="I30" s="98">
        <f t="shared" si="11"/>
        <v>0.125</v>
      </c>
      <c r="J30" s="98">
        <f t="shared" si="11"/>
        <v>0.15</v>
      </c>
      <c r="K30" s="98">
        <f t="shared" si="11"/>
        <v>0.17499999999999999</v>
      </c>
      <c r="L30" s="98">
        <f t="shared" si="11"/>
        <v>0.19999999999999998</v>
      </c>
      <c r="M30" s="98">
        <f t="shared" si="11"/>
        <v>0.22499999999999998</v>
      </c>
      <c r="N30" s="98">
        <f t="shared" si="11"/>
        <v>0.24999999999999997</v>
      </c>
      <c r="O30" s="12"/>
    </row>
    <row r="31" spans="1:15" ht="15" customHeight="1" x14ac:dyDescent="0.45">
      <c r="B31" s="4"/>
      <c r="C31" s="1"/>
      <c r="D31" s="53"/>
      <c r="E31" s="36"/>
      <c r="F31" s="36"/>
      <c r="G31" s="36"/>
      <c r="H31" s="36"/>
      <c r="I31" s="36"/>
      <c r="J31" s="36"/>
      <c r="K31" s="36"/>
      <c r="L31" s="36"/>
      <c r="M31" s="36"/>
      <c r="N31" s="36"/>
    </row>
    <row r="32" spans="1:15" ht="15" customHeight="1" x14ac:dyDescent="0.45">
      <c r="A32" s="9"/>
      <c r="B32" s="144" t="s">
        <v>37</v>
      </c>
      <c r="C32" s="54" t="s">
        <v>32</v>
      </c>
      <c r="D32" s="55">
        <f>E7</f>
        <v>0.17499999999999999</v>
      </c>
      <c r="E32" s="133" t="s">
        <v>3</v>
      </c>
      <c r="F32" s="133" t="s">
        <v>4</v>
      </c>
      <c r="G32" s="133" t="s">
        <v>5</v>
      </c>
      <c r="H32" s="133" t="s">
        <v>6</v>
      </c>
      <c r="I32" s="133" t="s">
        <v>7</v>
      </c>
      <c r="J32" s="133" t="s">
        <v>8</v>
      </c>
      <c r="K32" s="133" t="s">
        <v>9</v>
      </c>
      <c r="L32" s="133" t="s">
        <v>10</v>
      </c>
      <c r="M32" s="133" t="s">
        <v>11</v>
      </c>
      <c r="N32" s="133" t="s">
        <v>12</v>
      </c>
      <c r="O32" s="9"/>
    </row>
    <row r="33" spans="1:18" ht="15" customHeight="1" x14ac:dyDescent="0.45">
      <c r="B33" s="145"/>
      <c r="C33" s="45" t="s">
        <v>21</v>
      </c>
      <c r="D33" s="33" t="str">
        <f>"10 BTC / "&amp;TEXT($E$4*10, "$###0.00,,")&amp;"M USD"</f>
        <v>10 BTC / $1.00M USD</v>
      </c>
      <c r="E33" s="134"/>
      <c r="F33" s="134"/>
      <c r="G33" s="134"/>
      <c r="H33" s="134"/>
      <c r="I33" s="134"/>
      <c r="J33" s="134"/>
      <c r="K33" s="134"/>
      <c r="L33" s="134"/>
      <c r="M33" s="134"/>
      <c r="N33" s="134"/>
    </row>
    <row r="34" spans="1:18" ht="15" customHeight="1" x14ac:dyDescent="0.45">
      <c r="B34" s="135" t="s">
        <v>16</v>
      </c>
      <c r="C34" s="141" t="s">
        <v>41</v>
      </c>
      <c r="D34" s="17" t="s">
        <v>83</v>
      </c>
      <c r="E34" s="18">
        <f>E39*$E$4/E$16</f>
        <v>0.125</v>
      </c>
      <c r="F34" s="18">
        <f t="shared" ref="F34:N34" si="12">F39*$E$4/F$16</f>
        <v>8.9285714285714288E-2</v>
      </c>
      <c r="G34" s="18">
        <f t="shared" si="12"/>
        <v>6.3775510204081634E-2</v>
      </c>
      <c r="H34" s="18">
        <f t="shared" si="12"/>
        <v>4.5553935860058306E-2</v>
      </c>
      <c r="I34" s="18">
        <f t="shared" si="12"/>
        <v>3.2538525614327365E-2</v>
      </c>
      <c r="J34" s="18">
        <f t="shared" si="12"/>
        <v>2.3241804010233832E-2</v>
      </c>
      <c r="K34" s="18">
        <f t="shared" si="12"/>
        <v>1.6601288578738452E-2</v>
      </c>
      <c r="L34" s="18">
        <f t="shared" si="12"/>
        <v>1.1858063270527464E-2</v>
      </c>
      <c r="M34" s="18">
        <f t="shared" si="12"/>
        <v>8.4700451932339035E-3</v>
      </c>
      <c r="N34" s="18">
        <f t="shared" si="12"/>
        <v>6.0500322808813593E-3</v>
      </c>
    </row>
    <row r="35" spans="1:18" ht="15" customHeight="1" x14ac:dyDescent="0.45">
      <c r="B35" s="136"/>
      <c r="C35" s="141"/>
      <c r="D35" s="17" t="s">
        <v>84</v>
      </c>
      <c r="E35" s="18"/>
      <c r="F35" s="18"/>
      <c r="G35" s="18"/>
      <c r="H35" s="18"/>
      <c r="I35" s="19">
        <f>SUM(E34:I34)/5</f>
        <v>7.1230737192836319E-2</v>
      </c>
      <c r="J35" s="18"/>
      <c r="K35" s="18"/>
      <c r="L35" s="18"/>
      <c r="M35" s="18"/>
      <c r="N35" s="19">
        <f>SUM(E34:N34)/10</f>
        <v>4.2237491929779658E-2</v>
      </c>
    </row>
    <row r="36" spans="1:18" ht="15" customHeight="1" x14ac:dyDescent="0.45">
      <c r="B36" s="136"/>
      <c r="C36" s="141"/>
      <c r="D36" s="17" t="s">
        <v>53</v>
      </c>
      <c r="E36" s="18">
        <f t="shared" ref="E36:N36" si="13">E$18*(E34/E$20)</f>
        <v>0.125</v>
      </c>
      <c r="F36" s="18">
        <f t="shared" si="13"/>
        <v>0.21428571428571427</v>
      </c>
      <c r="G36" s="18">
        <f t="shared" si="13"/>
        <v>0.27806122448979587</v>
      </c>
      <c r="H36" s="18">
        <f t="shared" si="13"/>
        <v>0.32361516034985432</v>
      </c>
      <c r="I36" s="18">
        <f t="shared" si="13"/>
        <v>0.35615368596418157</v>
      </c>
      <c r="J36" s="18">
        <f t="shared" si="13"/>
        <v>0.37939548997441541</v>
      </c>
      <c r="K36" s="18">
        <f t="shared" si="13"/>
        <v>0.39599677855315374</v>
      </c>
      <c r="L36" s="18">
        <f t="shared" si="13"/>
        <v>0.40785484182368065</v>
      </c>
      <c r="M36" s="18">
        <f t="shared" si="13"/>
        <v>0.41632488701691595</v>
      </c>
      <c r="N36" s="18">
        <f t="shared" si="13"/>
        <v>0.42237491929779775</v>
      </c>
    </row>
    <row r="37" spans="1:18" ht="15" customHeight="1" x14ac:dyDescent="0.45">
      <c r="B37" s="136"/>
      <c r="C37" s="142"/>
      <c r="D37" s="21" t="s">
        <v>57</v>
      </c>
      <c r="E37" s="22">
        <f t="shared" ref="E37:N37" si="14">10*E34</f>
        <v>1.25</v>
      </c>
      <c r="F37" s="22">
        <f t="shared" si="14"/>
        <v>0.8928571428571429</v>
      </c>
      <c r="G37" s="22">
        <f t="shared" si="14"/>
        <v>0.63775510204081631</v>
      </c>
      <c r="H37" s="22">
        <f t="shared" si="14"/>
        <v>0.45553935860058303</v>
      </c>
      <c r="I37" s="22">
        <f t="shared" si="14"/>
        <v>0.32538525614327363</v>
      </c>
      <c r="J37" s="22">
        <f t="shared" si="14"/>
        <v>0.23241804010233832</v>
      </c>
      <c r="K37" s="22">
        <f t="shared" si="14"/>
        <v>0.16601288578738452</v>
      </c>
      <c r="L37" s="22">
        <f t="shared" si="14"/>
        <v>0.11858063270527464</v>
      </c>
      <c r="M37" s="22">
        <f t="shared" si="14"/>
        <v>8.4700451932339035E-2</v>
      </c>
      <c r="N37" s="22">
        <f t="shared" si="14"/>
        <v>6.0500322808813595E-2</v>
      </c>
      <c r="R37" s="13"/>
    </row>
    <row r="38" spans="1:18" ht="15" customHeight="1" x14ac:dyDescent="0.45">
      <c r="B38" s="136"/>
      <c r="C38" s="142"/>
      <c r="D38" s="21" t="s">
        <v>58</v>
      </c>
      <c r="E38" s="22">
        <f>10*E36</f>
        <v>1.25</v>
      </c>
      <c r="F38" s="22">
        <f>10*F36</f>
        <v>2.1428571428571428</v>
      </c>
      <c r="G38" s="22">
        <f>10*G36</f>
        <v>2.7806122448979584</v>
      </c>
      <c r="H38" s="22">
        <f t="shared" ref="H38:N38" si="15">10*H36</f>
        <v>3.2361516034985431</v>
      </c>
      <c r="I38" s="22">
        <f t="shared" si="15"/>
        <v>3.5615368596418158</v>
      </c>
      <c r="J38" s="22">
        <f t="shared" si="15"/>
        <v>3.7939548997441541</v>
      </c>
      <c r="K38" s="22">
        <f t="shared" si="15"/>
        <v>3.9599677855315374</v>
      </c>
      <c r="L38" s="22">
        <f t="shared" si="15"/>
        <v>4.0785484182368066</v>
      </c>
      <c r="M38" s="22">
        <f t="shared" si="15"/>
        <v>4.1632488701691592</v>
      </c>
      <c r="N38" s="22">
        <f t="shared" si="15"/>
        <v>4.2237491929779774</v>
      </c>
      <c r="R38" s="13"/>
    </row>
    <row r="39" spans="1:18" ht="15" customHeight="1" x14ac:dyDescent="0.45">
      <c r="B39" s="136"/>
      <c r="C39" s="143" t="s">
        <v>45</v>
      </c>
      <c r="D39" s="17" t="s">
        <v>55</v>
      </c>
      <c r="E39" s="18">
        <f>$D$32</f>
        <v>0.17499999999999999</v>
      </c>
      <c r="F39" s="18">
        <f t="shared" ref="F39:N39" si="16">$D$32</f>
        <v>0.17499999999999999</v>
      </c>
      <c r="G39" s="18">
        <f t="shared" si="16"/>
        <v>0.17499999999999999</v>
      </c>
      <c r="H39" s="18">
        <f t="shared" si="16"/>
        <v>0.17499999999999999</v>
      </c>
      <c r="I39" s="18">
        <f t="shared" si="16"/>
        <v>0.17499999999999999</v>
      </c>
      <c r="J39" s="18">
        <f t="shared" si="16"/>
        <v>0.17499999999999999</v>
      </c>
      <c r="K39" s="18">
        <f t="shared" si="16"/>
        <v>0.17499999999999999</v>
      </c>
      <c r="L39" s="18">
        <f t="shared" si="16"/>
        <v>0.17499999999999999</v>
      </c>
      <c r="M39" s="18">
        <f t="shared" si="16"/>
        <v>0.17499999999999999</v>
      </c>
      <c r="N39" s="18">
        <f t="shared" si="16"/>
        <v>0.17499999999999999</v>
      </c>
    </row>
    <row r="40" spans="1:18" ht="15" customHeight="1" x14ac:dyDescent="0.45">
      <c r="B40" s="136"/>
      <c r="C40" s="142"/>
      <c r="D40" s="21" t="s">
        <v>57</v>
      </c>
      <c r="E40" s="23">
        <f>E37*E$16</f>
        <v>175000</v>
      </c>
      <c r="F40" s="23">
        <f t="shared" ref="F40:N40" si="17">F37*F$16</f>
        <v>175000</v>
      </c>
      <c r="G40" s="23">
        <f t="shared" si="17"/>
        <v>175000</v>
      </c>
      <c r="H40" s="23">
        <f t="shared" si="17"/>
        <v>174999.99999999997</v>
      </c>
      <c r="I40" s="23">
        <f t="shared" si="17"/>
        <v>175000</v>
      </c>
      <c r="J40" s="23">
        <f t="shared" si="17"/>
        <v>175000</v>
      </c>
      <c r="K40" s="23">
        <f t="shared" si="17"/>
        <v>175000.00000000003</v>
      </c>
      <c r="L40" s="23">
        <f t="shared" si="17"/>
        <v>175000</v>
      </c>
      <c r="M40" s="23">
        <f t="shared" si="17"/>
        <v>175000</v>
      </c>
      <c r="N40" s="23">
        <f t="shared" si="17"/>
        <v>175000</v>
      </c>
    </row>
    <row r="41" spans="1:18" ht="15" customHeight="1" x14ac:dyDescent="0.45">
      <c r="B41" s="136"/>
      <c r="C41" s="142"/>
      <c r="D41" s="21" t="s">
        <v>58</v>
      </c>
      <c r="E41" s="23">
        <f>E40</f>
        <v>175000</v>
      </c>
      <c r="F41" s="23">
        <f>E41+F40</f>
        <v>350000</v>
      </c>
      <c r="G41" s="23">
        <f t="shared" ref="G41:N41" si="18">F41+G40</f>
        <v>525000</v>
      </c>
      <c r="H41" s="23">
        <f t="shared" si="18"/>
        <v>700000</v>
      </c>
      <c r="I41" s="23">
        <f t="shared" si="18"/>
        <v>875000</v>
      </c>
      <c r="J41" s="23">
        <f t="shared" si="18"/>
        <v>1050000</v>
      </c>
      <c r="K41" s="23">
        <f t="shared" si="18"/>
        <v>1225000</v>
      </c>
      <c r="L41" s="23">
        <f t="shared" si="18"/>
        <v>1400000</v>
      </c>
      <c r="M41" s="23">
        <f t="shared" si="18"/>
        <v>1575000</v>
      </c>
      <c r="N41" s="23">
        <f t="shared" si="18"/>
        <v>1750000</v>
      </c>
    </row>
    <row r="42" spans="1:18" ht="15" customHeight="1" x14ac:dyDescent="0.45">
      <c r="B42" s="136"/>
      <c r="C42" s="143" t="s">
        <v>44</v>
      </c>
      <c r="D42" s="17" t="s">
        <v>55</v>
      </c>
      <c r="E42" s="18">
        <f>E36*E$16/$E$4</f>
        <v>0.17499999999999999</v>
      </c>
      <c r="F42" s="18">
        <f>F36*F$16/$E$4-E42</f>
        <v>0.245</v>
      </c>
      <c r="G42" s="18">
        <f>G36*G$16/$E$4-F42-E42</f>
        <v>0.34299999999999992</v>
      </c>
      <c r="H42" s="18">
        <f>H36*H$16/$E$4-G42-F42-E42</f>
        <v>0.48020000000000057</v>
      </c>
      <c r="I42" s="18">
        <f>I36*I$16/$E$4-H42-G42-F42-E42</f>
        <v>0.67227999999999954</v>
      </c>
      <c r="J42" s="18">
        <f>J36*J$16/$E$4-I42-H42-G42-F42-E42</f>
        <v>0.94119200000000025</v>
      </c>
      <c r="K42" s="18">
        <f>K36*K$16/$E$4-J42-I42-H42-G42-F42-E42</f>
        <v>1.3176687999999983</v>
      </c>
      <c r="L42" s="18">
        <f>L36*L$16/$E$4-K42-J42-I42-H42-G42-F42-E42</f>
        <v>1.8447363199999913</v>
      </c>
      <c r="M42" s="18">
        <f>M36*M$16/$E$4-L42-K42-J42-I42-H42-G42-F42-E42</f>
        <v>2.5826308480000262</v>
      </c>
      <c r="N42" s="18">
        <f>N36*N$16/$E$4-M42-L42-K42-J42-I42-H42-G42-F42-E42</f>
        <v>3.6156831872000197</v>
      </c>
      <c r="R42" s="16"/>
    </row>
    <row r="43" spans="1:18" ht="15" customHeight="1" x14ac:dyDescent="0.45">
      <c r="B43" s="136"/>
      <c r="C43" s="141"/>
      <c r="D43" s="17" t="s">
        <v>56</v>
      </c>
      <c r="E43" s="19"/>
      <c r="F43" s="19"/>
      <c r="G43" s="19"/>
      <c r="H43" s="19"/>
      <c r="I43" s="44">
        <f>SUM(E42:I42)/5</f>
        <v>0.38309599999999999</v>
      </c>
      <c r="J43" s="19"/>
      <c r="K43" s="19"/>
      <c r="L43" s="19"/>
      <c r="M43" s="19"/>
      <c r="N43" s="19">
        <f>SUM(E42:N42)/10</f>
        <v>1.2217391155200035</v>
      </c>
      <c r="R43" s="13"/>
    </row>
    <row r="44" spans="1:18" ht="15" customHeight="1" x14ac:dyDescent="0.45">
      <c r="B44" s="136"/>
      <c r="C44" s="142"/>
      <c r="D44" s="21" t="s">
        <v>57</v>
      </c>
      <c r="E44" s="24">
        <f>E46</f>
        <v>175000</v>
      </c>
      <c r="F44" s="24">
        <f>F46-E46</f>
        <v>245000</v>
      </c>
      <c r="G44" s="24">
        <f t="shared" ref="G44:N44" si="19">G46-F46</f>
        <v>342999.99999999977</v>
      </c>
      <c r="H44" s="24">
        <f t="shared" si="19"/>
        <v>480200.00000000047</v>
      </c>
      <c r="I44" s="24">
        <f t="shared" si="19"/>
        <v>672279.99999999977</v>
      </c>
      <c r="J44" s="24">
        <f t="shared" si="19"/>
        <v>941192</v>
      </c>
      <c r="K44" s="24">
        <f t="shared" si="19"/>
        <v>1317668.7999999989</v>
      </c>
      <c r="L44" s="24">
        <f t="shared" si="19"/>
        <v>1844736.3199999919</v>
      </c>
      <c r="M44" s="24">
        <f t="shared" si="19"/>
        <v>2582630.8480000244</v>
      </c>
      <c r="N44" s="24">
        <f t="shared" si="19"/>
        <v>3615683.1872000191</v>
      </c>
    </row>
    <row r="45" spans="1:18" ht="15" customHeight="1" x14ac:dyDescent="0.45">
      <c r="B45" s="136"/>
      <c r="C45" s="142"/>
      <c r="D45" s="21" t="s">
        <v>59</v>
      </c>
      <c r="E45" s="24"/>
      <c r="F45" s="24"/>
      <c r="G45" s="24"/>
      <c r="H45" s="24"/>
      <c r="I45" s="24">
        <f>SUM(E44:I44)/5</f>
        <v>383096</v>
      </c>
      <c r="J45" s="24"/>
      <c r="K45" s="24"/>
      <c r="L45" s="24"/>
      <c r="M45" s="24"/>
      <c r="N45" s="24">
        <f>SUM(E44:N44)/10</f>
        <v>1221739.1155200035</v>
      </c>
    </row>
    <row r="46" spans="1:18" ht="15" customHeight="1" x14ac:dyDescent="0.45">
      <c r="B46" s="137"/>
      <c r="C46" s="142"/>
      <c r="D46" s="21" t="s">
        <v>58</v>
      </c>
      <c r="E46" s="23">
        <f t="shared" ref="E46:N46" si="20">E38*E$16</f>
        <v>175000</v>
      </c>
      <c r="F46" s="23">
        <f t="shared" si="20"/>
        <v>420000</v>
      </c>
      <c r="G46" s="23">
        <f t="shared" si="20"/>
        <v>762999.99999999977</v>
      </c>
      <c r="H46" s="23">
        <f t="shared" si="20"/>
        <v>1243200.0000000002</v>
      </c>
      <c r="I46" s="23">
        <f t="shared" si="20"/>
        <v>1915480</v>
      </c>
      <c r="J46" s="23">
        <f t="shared" si="20"/>
        <v>2856672</v>
      </c>
      <c r="K46" s="23">
        <f t="shared" si="20"/>
        <v>4174340.7999999989</v>
      </c>
      <c r="L46" s="23">
        <f t="shared" si="20"/>
        <v>6019077.1199999908</v>
      </c>
      <c r="M46" s="23">
        <f t="shared" si="20"/>
        <v>8601707.9680000152</v>
      </c>
      <c r="N46" s="23">
        <f t="shared" si="20"/>
        <v>12217391.155200034</v>
      </c>
    </row>
    <row r="47" spans="1:18" ht="15" customHeight="1" x14ac:dyDescent="0.45">
      <c r="A47" s="9"/>
      <c r="B47" s="4"/>
      <c r="C47" s="1"/>
      <c r="D47" s="53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9"/>
    </row>
    <row r="48" spans="1:18" ht="15" customHeight="1" x14ac:dyDescent="0.45">
      <c r="B48" s="146" t="s">
        <v>38</v>
      </c>
      <c r="C48" s="56" t="s">
        <v>33</v>
      </c>
      <c r="D48" s="57">
        <f>E8</f>
        <v>0.75</v>
      </c>
      <c r="E48" s="133" t="s">
        <v>3</v>
      </c>
      <c r="F48" s="133" t="s">
        <v>4</v>
      </c>
      <c r="G48" s="133" t="s">
        <v>5</v>
      </c>
      <c r="H48" s="133" t="s">
        <v>6</v>
      </c>
      <c r="I48" s="133" t="s">
        <v>7</v>
      </c>
      <c r="J48" s="133" t="s">
        <v>8</v>
      </c>
      <c r="K48" s="133" t="s">
        <v>9</v>
      </c>
      <c r="L48" s="133" t="s">
        <v>10</v>
      </c>
      <c r="M48" s="133" t="s">
        <v>11</v>
      </c>
      <c r="N48" s="133" t="s">
        <v>12</v>
      </c>
    </row>
    <row r="49" spans="2:18" ht="15" customHeight="1" x14ac:dyDescent="0.45">
      <c r="B49" s="147"/>
      <c r="C49" s="46" t="s">
        <v>21</v>
      </c>
      <c r="D49" s="34" t="str">
        <f>"10 BTC / "&amp;TEXT($E$4*10, "$###0.00,,")&amp;"M USD"</f>
        <v>10 BTC / $1.00M USD</v>
      </c>
      <c r="E49" s="134"/>
      <c r="F49" s="134"/>
      <c r="G49" s="134"/>
      <c r="H49" s="134"/>
      <c r="I49" s="134"/>
      <c r="J49" s="134"/>
      <c r="K49" s="134"/>
      <c r="L49" s="134"/>
      <c r="M49" s="134"/>
      <c r="N49" s="134"/>
    </row>
    <row r="50" spans="2:18" ht="15" customHeight="1" x14ac:dyDescent="0.45">
      <c r="B50" s="142" t="s">
        <v>16</v>
      </c>
      <c r="C50" s="141" t="s">
        <v>41</v>
      </c>
      <c r="D50" s="17" t="s">
        <v>83</v>
      </c>
      <c r="E50" s="18">
        <f>E$24*$D48-E34</f>
        <v>0.1964285714285714</v>
      </c>
      <c r="F50" s="18">
        <f t="shared" ref="F50:N50" si="21">F$24*$D48-F34</f>
        <v>0.14030612244897961</v>
      </c>
      <c r="G50" s="18">
        <f t="shared" si="21"/>
        <v>0.10021865889212832</v>
      </c>
      <c r="H50" s="18">
        <f t="shared" si="21"/>
        <v>7.158475635152016E-2</v>
      </c>
      <c r="I50" s="18">
        <f t="shared" si="21"/>
        <v>5.1131968822514431E-2</v>
      </c>
      <c r="J50" s="18">
        <f t="shared" si="21"/>
        <v>3.6522834873224594E-2</v>
      </c>
      <c r="K50" s="18">
        <f t="shared" si="21"/>
        <v>2.6087739195160442E-2</v>
      </c>
      <c r="L50" s="18">
        <f t="shared" si="21"/>
        <v>1.8634099425114639E-2</v>
      </c>
      <c r="M50" s="18">
        <f t="shared" si="21"/>
        <v>1.3310071017938956E-2</v>
      </c>
      <c r="N50" s="18">
        <f t="shared" si="21"/>
        <v>9.5071935842420928E-3</v>
      </c>
      <c r="R50" s="13"/>
    </row>
    <row r="51" spans="2:18" ht="15" customHeight="1" x14ac:dyDescent="0.45">
      <c r="B51" s="142"/>
      <c r="C51" s="141"/>
      <c r="D51" s="17" t="s">
        <v>84</v>
      </c>
      <c r="E51" s="18"/>
      <c r="F51" s="18"/>
      <c r="G51" s="18"/>
      <c r="H51" s="18"/>
      <c r="I51" s="101">
        <f>SUM(E50:I50)/5</f>
        <v>0.11193401558874279</v>
      </c>
      <c r="J51" s="18"/>
      <c r="K51" s="18"/>
      <c r="L51" s="18"/>
      <c r="M51" s="18"/>
      <c r="N51" s="19">
        <f>SUM(E50:N50)/10</f>
        <v>6.6373201603939461E-2</v>
      </c>
      <c r="R51" s="13"/>
    </row>
    <row r="52" spans="2:18" ht="15" customHeight="1" x14ac:dyDescent="0.45">
      <c r="B52" s="142"/>
      <c r="C52" s="141"/>
      <c r="D52" s="17" t="s">
        <v>53</v>
      </c>
      <c r="E52" s="18">
        <f>E$18*(E50/E$20)</f>
        <v>0.1964285714285714</v>
      </c>
      <c r="F52" s="18">
        <f t="shared" ref="F52:N52" si="22">F$18*(F50/F$20)</f>
        <v>0.33673469387755106</v>
      </c>
      <c r="G52" s="18">
        <f t="shared" si="22"/>
        <v>0.43695335276967939</v>
      </c>
      <c r="H52" s="18">
        <f t="shared" si="22"/>
        <v>0.50853810912119946</v>
      </c>
      <c r="I52" s="18">
        <f t="shared" si="22"/>
        <v>0.55967007794371393</v>
      </c>
      <c r="J52" s="18">
        <f t="shared" si="22"/>
        <v>0.59619291281693854</v>
      </c>
      <c r="K52" s="18">
        <f t="shared" si="22"/>
        <v>0.62228065201209914</v>
      </c>
      <c r="L52" s="18">
        <f t="shared" si="22"/>
        <v>0.64091475143721433</v>
      </c>
      <c r="M52" s="18">
        <f t="shared" si="22"/>
        <v>0.6542248224551519</v>
      </c>
      <c r="N52" s="18">
        <f t="shared" si="22"/>
        <v>0.66373201603939347</v>
      </c>
    </row>
    <row r="53" spans="2:18" ht="15" customHeight="1" x14ac:dyDescent="0.45">
      <c r="B53" s="142"/>
      <c r="C53" s="142"/>
      <c r="D53" s="21" t="s">
        <v>57</v>
      </c>
      <c r="E53" s="22">
        <f>10*E50</f>
        <v>1.964285714285714</v>
      </c>
      <c r="F53" s="22">
        <f t="shared" ref="F53:N53" si="23">10*F50</f>
        <v>1.4030612244897962</v>
      </c>
      <c r="G53" s="22">
        <f t="shared" si="23"/>
        <v>1.0021865889212831</v>
      </c>
      <c r="H53" s="22">
        <f t="shared" si="23"/>
        <v>0.71584756351520162</v>
      </c>
      <c r="I53" s="22">
        <f t="shared" si="23"/>
        <v>0.51131968822514429</v>
      </c>
      <c r="J53" s="22">
        <f t="shared" si="23"/>
        <v>0.36522834873224597</v>
      </c>
      <c r="K53" s="22">
        <f t="shared" si="23"/>
        <v>0.26087739195160442</v>
      </c>
      <c r="L53" s="22">
        <f t="shared" si="23"/>
        <v>0.18634099425114639</v>
      </c>
      <c r="M53" s="22">
        <f t="shared" si="23"/>
        <v>0.13310071017938957</v>
      </c>
      <c r="N53" s="22">
        <f t="shared" si="23"/>
        <v>9.5071935842420935E-2</v>
      </c>
      <c r="R53" s="13"/>
    </row>
    <row r="54" spans="2:18" ht="15" customHeight="1" x14ac:dyDescent="0.45">
      <c r="B54" s="142"/>
      <c r="C54" s="142"/>
      <c r="D54" s="21" t="s">
        <v>58</v>
      </c>
      <c r="E54" s="22">
        <f>10*E52</f>
        <v>1.964285714285714</v>
      </c>
      <c r="F54" s="22">
        <f>10*F52</f>
        <v>3.3673469387755106</v>
      </c>
      <c r="G54" s="22">
        <f>10*G52</f>
        <v>4.3695335276967935</v>
      </c>
      <c r="H54" s="22">
        <f t="shared" ref="H54:N54" si="24">10*H52</f>
        <v>5.0853810912119943</v>
      </c>
      <c r="I54" s="22">
        <f t="shared" si="24"/>
        <v>5.5967007794371391</v>
      </c>
      <c r="J54" s="22">
        <f t="shared" si="24"/>
        <v>5.9619291281693858</v>
      </c>
      <c r="K54" s="22">
        <f t="shared" si="24"/>
        <v>6.2228065201209919</v>
      </c>
      <c r="L54" s="22">
        <f t="shared" si="24"/>
        <v>6.409147514372143</v>
      </c>
      <c r="M54" s="22">
        <f t="shared" si="24"/>
        <v>6.5422482245515194</v>
      </c>
      <c r="N54" s="22">
        <f t="shared" si="24"/>
        <v>6.6373201603939345</v>
      </c>
    </row>
    <row r="55" spans="2:18" ht="15" customHeight="1" x14ac:dyDescent="0.45">
      <c r="B55" s="142"/>
      <c r="C55" s="143" t="s">
        <v>45</v>
      </c>
      <c r="D55" s="17" t="s">
        <v>55</v>
      </c>
      <c r="E55" s="18">
        <f>E50*E$16/$E$4</f>
        <v>0.27499999999999997</v>
      </c>
      <c r="F55" s="18">
        <f t="shared" ref="F55:N55" si="25">F50*F$16/$E$4</f>
        <v>0.27500000000000002</v>
      </c>
      <c r="G55" s="18">
        <f t="shared" si="25"/>
        <v>0.27500000000000013</v>
      </c>
      <c r="H55" s="18">
        <f t="shared" si="25"/>
        <v>0.27499999999999986</v>
      </c>
      <c r="I55" s="18">
        <f t="shared" si="25"/>
        <v>0.27500000000000002</v>
      </c>
      <c r="J55" s="18">
        <f t="shared" si="25"/>
        <v>0.27500000000000002</v>
      </c>
      <c r="K55" s="18">
        <f t="shared" si="25"/>
        <v>0.27500000000000024</v>
      </c>
      <c r="L55" s="18">
        <f t="shared" si="25"/>
        <v>0.27500000000000074</v>
      </c>
      <c r="M55" s="18">
        <f t="shared" si="25"/>
        <v>0.27499999999999925</v>
      </c>
      <c r="N55" s="18">
        <f t="shared" si="25"/>
        <v>0.27499999999999875</v>
      </c>
      <c r="R55" s="13"/>
    </row>
    <row r="56" spans="2:18" ht="15" customHeight="1" x14ac:dyDescent="0.45">
      <c r="B56" s="142"/>
      <c r="C56" s="142"/>
      <c r="D56" s="21" t="s">
        <v>57</v>
      </c>
      <c r="E56" s="23">
        <f t="shared" ref="E56:N56" si="26">E53*E$16</f>
        <v>274999.99999999994</v>
      </c>
      <c r="F56" s="23">
        <f t="shared" si="26"/>
        <v>275000.00000000006</v>
      </c>
      <c r="G56" s="23">
        <f t="shared" si="26"/>
        <v>275000.00000000006</v>
      </c>
      <c r="H56" s="23">
        <f t="shared" si="26"/>
        <v>274999.99999999988</v>
      </c>
      <c r="I56" s="23">
        <f t="shared" si="26"/>
        <v>275000</v>
      </c>
      <c r="J56" s="23">
        <f t="shared" si="26"/>
        <v>275000</v>
      </c>
      <c r="K56" s="23">
        <f t="shared" si="26"/>
        <v>275000.00000000023</v>
      </c>
      <c r="L56" s="23">
        <f t="shared" si="26"/>
        <v>275000.00000000076</v>
      </c>
      <c r="M56" s="23">
        <f t="shared" si="26"/>
        <v>274999.9999999993</v>
      </c>
      <c r="N56" s="23">
        <f t="shared" si="26"/>
        <v>274999.99999999878</v>
      </c>
      <c r="R56" s="13"/>
    </row>
    <row r="57" spans="2:18" ht="15" customHeight="1" x14ac:dyDescent="0.45">
      <c r="B57" s="142"/>
      <c r="C57" s="142"/>
      <c r="D57" s="21" t="s">
        <v>58</v>
      </c>
      <c r="E57" s="23">
        <f>E56</f>
        <v>274999.99999999994</v>
      </c>
      <c r="F57" s="23">
        <f>E57+F56</f>
        <v>550000</v>
      </c>
      <c r="G57" s="23">
        <f t="shared" ref="G57:N57" si="27">F57+G56</f>
        <v>825000</v>
      </c>
      <c r="H57" s="23">
        <f t="shared" si="27"/>
        <v>1100000</v>
      </c>
      <c r="I57" s="23">
        <f t="shared" si="27"/>
        <v>1375000</v>
      </c>
      <c r="J57" s="23">
        <f t="shared" si="27"/>
        <v>1650000</v>
      </c>
      <c r="K57" s="23">
        <f t="shared" si="27"/>
        <v>1925000.0000000002</v>
      </c>
      <c r="L57" s="23">
        <f t="shared" si="27"/>
        <v>2200000.0000000009</v>
      </c>
      <c r="M57" s="23">
        <f t="shared" si="27"/>
        <v>2475000</v>
      </c>
      <c r="N57" s="23">
        <f t="shared" si="27"/>
        <v>2749999.9999999986</v>
      </c>
      <c r="R57" s="13"/>
    </row>
    <row r="58" spans="2:18" ht="15" customHeight="1" x14ac:dyDescent="0.45">
      <c r="B58" s="142"/>
      <c r="C58" s="143" t="s">
        <v>44</v>
      </c>
      <c r="D58" s="17" t="s">
        <v>55</v>
      </c>
      <c r="E58" s="18">
        <f>E52*E$16/$E$4</f>
        <v>0.27499999999999997</v>
      </c>
      <c r="F58" s="18">
        <f>F52*F$16/$E$4-E58</f>
        <v>0.38500000000000018</v>
      </c>
      <c r="G58" s="18">
        <f>G52*G$16/$E$4-F58-E58</f>
        <v>0.53900000000000015</v>
      </c>
      <c r="H58" s="18">
        <f>H52*H$16/$E$4-G58-F58-E58</f>
        <v>0.75459999999999949</v>
      </c>
      <c r="I58" s="18">
        <f>I52*I$16/$E$4-H58-G58-F58-E58</f>
        <v>1.0564400000000003</v>
      </c>
      <c r="J58" s="18">
        <f>J52*J$16/$E$4-I58-H58-G58-F58-E58</f>
        <v>1.4790159999999997</v>
      </c>
      <c r="K58" s="18">
        <f>K52*K$16/$E$4-J58-I58-H58-G58-F58-E58</f>
        <v>2.0706224000000022</v>
      </c>
      <c r="L58" s="18">
        <f>L52*L$16/$E$4-K58-J58-I58-H58-G58-F58-E58</f>
        <v>2.8988713600000096</v>
      </c>
      <c r="M58" s="18">
        <f>M52*M$16/$E$4-L58-K58-J58-I58-H58-G58-F58-E58</f>
        <v>4.0584199039999778</v>
      </c>
      <c r="N58" s="18">
        <f>N52*N$16/$E$4-M58-L58-K58-J58-I58-H58-G58-F58-E58</f>
        <v>5.6817878655999774</v>
      </c>
      <c r="R58" s="13"/>
    </row>
    <row r="59" spans="2:18" ht="15" customHeight="1" x14ac:dyDescent="0.45">
      <c r="B59" s="142"/>
      <c r="C59" s="141"/>
      <c r="D59" s="17" t="s">
        <v>56</v>
      </c>
      <c r="E59" s="19"/>
      <c r="F59" s="19"/>
      <c r="G59" s="19"/>
      <c r="H59" s="19"/>
      <c r="I59" s="19">
        <f>SUM(E58:I58)/5</f>
        <v>0.60200799999999999</v>
      </c>
      <c r="J59" s="19"/>
      <c r="K59" s="19"/>
      <c r="L59" s="19"/>
      <c r="M59" s="19"/>
      <c r="N59" s="19">
        <f>SUM(E58:N58)/10</f>
        <v>1.9198757529599966</v>
      </c>
      <c r="R59" s="13"/>
    </row>
    <row r="60" spans="2:18" ht="15" customHeight="1" x14ac:dyDescent="0.45">
      <c r="B60" s="142"/>
      <c r="C60" s="142"/>
      <c r="D60" s="21" t="s">
        <v>57</v>
      </c>
      <c r="E60" s="24">
        <f>E62</f>
        <v>274999.99999999994</v>
      </c>
      <c r="F60" s="24">
        <f>F62-E62</f>
        <v>385000.00000000017</v>
      </c>
      <c r="G60" s="24">
        <f t="shared" ref="G60:N60" si="28">G62-F62</f>
        <v>539000.00000000012</v>
      </c>
      <c r="H60" s="24">
        <f t="shared" si="28"/>
        <v>754599.99999999953</v>
      </c>
      <c r="I60" s="24">
        <f t="shared" si="28"/>
        <v>1056440.0000000002</v>
      </c>
      <c r="J60" s="24">
        <f t="shared" si="28"/>
        <v>1479016</v>
      </c>
      <c r="K60" s="24">
        <f t="shared" si="28"/>
        <v>2070622.4000000032</v>
      </c>
      <c r="L60" s="24">
        <f t="shared" si="28"/>
        <v>2898871.3600000096</v>
      </c>
      <c r="M60" s="24">
        <f t="shared" si="28"/>
        <v>4058419.903999975</v>
      </c>
      <c r="N60" s="24">
        <f t="shared" si="28"/>
        <v>5681787.8655999806</v>
      </c>
      <c r="R60" s="13"/>
    </row>
    <row r="61" spans="2:18" ht="15" customHeight="1" x14ac:dyDescent="0.45">
      <c r="B61" s="142"/>
      <c r="C61" s="142"/>
      <c r="D61" s="21" t="s">
        <v>59</v>
      </c>
      <c r="E61" s="24"/>
      <c r="F61" s="24"/>
      <c r="G61" s="24"/>
      <c r="H61" s="24"/>
      <c r="I61" s="24">
        <f>SUM(E60:I60)/5</f>
        <v>602008</v>
      </c>
      <c r="J61" s="24"/>
      <c r="K61" s="24"/>
      <c r="L61" s="24"/>
      <c r="M61" s="24"/>
      <c r="N61" s="24">
        <f>SUM(E60:N60)/10</f>
        <v>1919875.7529599969</v>
      </c>
      <c r="R61" s="13"/>
    </row>
    <row r="62" spans="2:18" ht="15" customHeight="1" x14ac:dyDescent="0.45">
      <c r="B62" s="142"/>
      <c r="C62" s="142"/>
      <c r="D62" s="21" t="s">
        <v>58</v>
      </c>
      <c r="E62" s="23">
        <f t="shared" ref="E62:N62" si="29">E54*E$16</f>
        <v>274999.99999999994</v>
      </c>
      <c r="F62" s="23">
        <f t="shared" si="29"/>
        <v>660000.00000000012</v>
      </c>
      <c r="G62" s="23">
        <f t="shared" si="29"/>
        <v>1199000.0000000002</v>
      </c>
      <c r="H62" s="23">
        <f t="shared" si="29"/>
        <v>1953599.9999999998</v>
      </c>
      <c r="I62" s="23">
        <f t="shared" si="29"/>
        <v>3010040</v>
      </c>
      <c r="J62" s="23">
        <f t="shared" si="29"/>
        <v>4489056</v>
      </c>
      <c r="K62" s="23">
        <f t="shared" si="29"/>
        <v>6559678.4000000032</v>
      </c>
      <c r="L62" s="23">
        <f t="shared" si="29"/>
        <v>9458549.7600000128</v>
      </c>
      <c r="M62" s="23">
        <f t="shared" si="29"/>
        <v>13516969.663999988</v>
      </c>
      <c r="N62" s="23">
        <f t="shared" si="29"/>
        <v>19198757.529599968</v>
      </c>
      <c r="R62" s="13"/>
    </row>
    <row r="63" spans="2:18" ht="15" customHeight="1" x14ac:dyDescent="0.45">
      <c r="B63" s="142" t="s">
        <v>17</v>
      </c>
      <c r="C63" s="141" t="s">
        <v>41</v>
      </c>
      <c r="D63" s="17" t="s">
        <v>55</v>
      </c>
      <c r="E63" s="18">
        <f>E$26*$D48</f>
        <v>1.6607142857142859E-2</v>
      </c>
      <c r="F63" s="18">
        <f t="shared" ref="F63:N63" si="30">F$26*$D48</f>
        <v>1.5076530612244897E-2</v>
      </c>
      <c r="G63" s="18">
        <f t="shared" si="30"/>
        <v>1.3983236151603497E-2</v>
      </c>
      <c r="H63" s="18">
        <f t="shared" si="30"/>
        <v>1.3202311536859641E-2</v>
      </c>
      <c r="I63" s="18">
        <f t="shared" si="30"/>
        <v>1.2644508240614031E-2</v>
      </c>
      <c r="J63" s="18">
        <f t="shared" si="30"/>
        <v>1.2246077314724307E-2</v>
      </c>
      <c r="K63" s="18">
        <f t="shared" si="30"/>
        <v>1.1961483796231647E-2</v>
      </c>
      <c r="L63" s="18">
        <f t="shared" si="30"/>
        <v>1.1758202711594033E-2</v>
      </c>
      <c r="M63" s="18">
        <f t="shared" si="30"/>
        <v>1.1613001936852881E-2</v>
      </c>
      <c r="N63" s="18">
        <f t="shared" si="30"/>
        <v>1.1509287097752058E-2</v>
      </c>
      <c r="R63" s="13"/>
    </row>
    <row r="64" spans="2:18" ht="15" customHeight="1" x14ac:dyDescent="0.45">
      <c r="B64" s="142"/>
      <c r="C64" s="141"/>
      <c r="D64" s="17" t="s">
        <v>56</v>
      </c>
      <c r="E64" s="18"/>
      <c r="F64" s="18"/>
      <c r="G64" s="18"/>
      <c r="H64" s="18"/>
      <c r="I64" s="101">
        <f>SUM(E63:I63)/5</f>
        <v>1.4302745879692986E-2</v>
      </c>
      <c r="J64" s="19"/>
      <c r="K64" s="19"/>
      <c r="L64" s="19"/>
      <c r="M64" s="19"/>
      <c r="N64" s="19">
        <f>SUM(E63:N63)/10</f>
        <v>1.3060178225561986E-2</v>
      </c>
      <c r="R64" s="13"/>
    </row>
    <row r="65" spans="2:18" ht="15" customHeight="1" x14ac:dyDescent="0.45">
      <c r="B65" s="142"/>
      <c r="C65" s="141"/>
      <c r="D65" s="17" t="s">
        <v>53</v>
      </c>
      <c r="E65" s="18">
        <f t="shared" ref="E65:N65" si="31">E$28*$D48</f>
        <v>1.6607142857142859E-2</v>
      </c>
      <c r="F65" s="18">
        <f t="shared" si="31"/>
        <v>3.1683673469387753E-2</v>
      </c>
      <c r="G65" s="18">
        <f t="shared" si="31"/>
        <v>4.566690962099125E-2</v>
      </c>
      <c r="H65" s="18">
        <f t="shared" si="31"/>
        <v>5.8869221157850891E-2</v>
      </c>
      <c r="I65" s="18">
        <f t="shared" si="31"/>
        <v>7.1513729398464926E-2</v>
      </c>
      <c r="J65" s="18">
        <f t="shared" si="31"/>
        <v>8.3759806713189222E-2</v>
      </c>
      <c r="K65" s="18">
        <f t="shared" si="31"/>
        <v>9.5721290509420867E-2</v>
      </c>
      <c r="L65" s="18">
        <f t="shared" si="31"/>
        <v>0.10747949322101491</v>
      </c>
      <c r="M65" s="18">
        <f t="shared" si="31"/>
        <v>0.11909249515786779</v>
      </c>
      <c r="N65" s="18">
        <f t="shared" si="31"/>
        <v>0.13060178225561986</v>
      </c>
      <c r="R65" s="13"/>
    </row>
    <row r="66" spans="2:18" ht="15" customHeight="1" x14ac:dyDescent="0.45">
      <c r="B66" s="142"/>
      <c r="C66" s="142"/>
      <c r="D66" s="21" t="s">
        <v>57</v>
      </c>
      <c r="E66" s="22">
        <f t="shared" ref="E66:N66" si="32">10*E63</f>
        <v>0.16607142857142859</v>
      </c>
      <c r="F66" s="22">
        <f t="shared" si="32"/>
        <v>0.15076530612244896</v>
      </c>
      <c r="G66" s="22">
        <f t="shared" si="32"/>
        <v>0.13983236151603495</v>
      </c>
      <c r="H66" s="22">
        <f t="shared" si="32"/>
        <v>0.1320231153685964</v>
      </c>
      <c r="I66" s="22">
        <f t="shared" si="32"/>
        <v>0.1264450824061403</v>
      </c>
      <c r="J66" s="22">
        <f t="shared" si="32"/>
        <v>0.12246077314724307</v>
      </c>
      <c r="K66" s="22">
        <f t="shared" si="32"/>
        <v>0.11961483796231646</v>
      </c>
      <c r="L66" s="22">
        <f t="shared" si="32"/>
        <v>0.11758202711594032</v>
      </c>
      <c r="M66" s="22">
        <f t="shared" si="32"/>
        <v>0.11613001936852882</v>
      </c>
      <c r="N66" s="22">
        <f t="shared" si="32"/>
        <v>0.11509287097752058</v>
      </c>
      <c r="R66" s="13"/>
    </row>
    <row r="67" spans="2:18" ht="15" customHeight="1" x14ac:dyDescent="0.45">
      <c r="B67" s="142"/>
      <c r="C67" s="142"/>
      <c r="D67" s="21" t="s">
        <v>58</v>
      </c>
      <c r="E67" s="22">
        <f>10*E65</f>
        <v>0.16607142857142859</v>
      </c>
      <c r="F67" s="22">
        <f t="shared" ref="F67:N67" si="33">10*F65</f>
        <v>0.31683673469387752</v>
      </c>
      <c r="G67" s="22">
        <f t="shared" si="33"/>
        <v>0.45666909620991247</v>
      </c>
      <c r="H67" s="22">
        <f t="shared" si="33"/>
        <v>0.58869221157850893</v>
      </c>
      <c r="I67" s="22">
        <f t="shared" si="33"/>
        <v>0.7151372939846492</v>
      </c>
      <c r="J67" s="22">
        <f t="shared" si="33"/>
        <v>0.83759806713189222</v>
      </c>
      <c r="K67" s="22">
        <f t="shared" si="33"/>
        <v>0.95721290509420864</v>
      </c>
      <c r="L67" s="22">
        <f t="shared" si="33"/>
        <v>1.0747949322101491</v>
      </c>
      <c r="M67" s="22">
        <f t="shared" si="33"/>
        <v>1.1909249515786779</v>
      </c>
      <c r="N67" s="22">
        <f t="shared" si="33"/>
        <v>1.3060178225561985</v>
      </c>
    </row>
    <row r="68" spans="2:18" ht="15" customHeight="1" x14ac:dyDescent="0.45">
      <c r="B68" s="142"/>
      <c r="C68" s="143" t="s">
        <v>45</v>
      </c>
      <c r="D68" s="17" t="s">
        <v>55</v>
      </c>
      <c r="E68" s="18">
        <f>E63*E$16/$E$4</f>
        <v>2.325E-2</v>
      </c>
      <c r="F68" s="18">
        <f t="shared" ref="F68:N68" si="34">F63*F$16/$E$4</f>
        <v>2.9549999999999996E-2</v>
      </c>
      <c r="G68" s="18">
        <f t="shared" si="34"/>
        <v>3.8369999999999994E-2</v>
      </c>
      <c r="H68" s="18">
        <f t="shared" si="34"/>
        <v>5.0717999999999999E-2</v>
      </c>
      <c r="I68" s="18">
        <f t="shared" si="34"/>
        <v>6.8005200000000002E-2</v>
      </c>
      <c r="J68" s="18">
        <f t="shared" si="34"/>
        <v>9.2207279999999989E-2</v>
      </c>
      <c r="K68" s="18">
        <f t="shared" si="34"/>
        <v>0.12609019199999999</v>
      </c>
      <c r="L68" s="18">
        <f t="shared" si="34"/>
        <v>0.17352626879999999</v>
      </c>
      <c r="M68" s="18">
        <f t="shared" si="34"/>
        <v>0.23993677631999999</v>
      </c>
      <c r="N68" s="18">
        <f t="shared" si="34"/>
        <v>0.33291148684800004</v>
      </c>
    </row>
    <row r="69" spans="2:18" ht="15" customHeight="1" x14ac:dyDescent="0.45">
      <c r="B69" s="142"/>
      <c r="C69" s="141"/>
      <c r="D69" s="17" t="s">
        <v>56</v>
      </c>
      <c r="E69" s="18"/>
      <c r="F69" s="18"/>
      <c r="G69" s="18"/>
      <c r="H69" s="18"/>
      <c r="I69" s="19">
        <f>SUM(E68:I68)/5</f>
        <v>4.1978639999999998E-2</v>
      </c>
      <c r="J69" s="19"/>
      <c r="K69" s="19"/>
      <c r="L69" s="19"/>
      <c r="M69" s="19"/>
      <c r="N69" s="19">
        <f>SUM(E68:N68)/10</f>
        <v>0.11745652039680002</v>
      </c>
    </row>
    <row r="70" spans="2:18" ht="15" customHeight="1" x14ac:dyDescent="0.45">
      <c r="B70" s="142"/>
      <c r="C70" s="142"/>
      <c r="D70" s="21" t="s">
        <v>57</v>
      </c>
      <c r="E70" s="25">
        <f t="shared" ref="E70:N70" si="35">E66*E$16</f>
        <v>23250.000000000004</v>
      </c>
      <c r="F70" s="25">
        <f t="shared" si="35"/>
        <v>29549.999999999996</v>
      </c>
      <c r="G70" s="25">
        <f t="shared" si="35"/>
        <v>38369.999999999993</v>
      </c>
      <c r="H70" s="25">
        <f t="shared" si="35"/>
        <v>50717.999999999993</v>
      </c>
      <c r="I70" s="25">
        <f t="shared" si="35"/>
        <v>68005.2</v>
      </c>
      <c r="J70" s="25">
        <f t="shared" si="35"/>
        <v>92207.28</v>
      </c>
      <c r="K70" s="25">
        <f t="shared" si="35"/>
        <v>126090.192</v>
      </c>
      <c r="L70" s="25">
        <f t="shared" si="35"/>
        <v>173526.26879999999</v>
      </c>
      <c r="M70" s="25">
        <f t="shared" si="35"/>
        <v>239936.77632</v>
      </c>
      <c r="N70" s="25">
        <f t="shared" si="35"/>
        <v>332911.48684800003</v>
      </c>
    </row>
    <row r="71" spans="2:18" ht="15" customHeight="1" x14ac:dyDescent="0.45">
      <c r="B71" s="142"/>
      <c r="C71" s="142"/>
      <c r="D71" s="21" t="s">
        <v>59</v>
      </c>
      <c r="E71" s="26"/>
      <c r="F71" s="26"/>
      <c r="G71" s="26"/>
      <c r="H71" s="26"/>
      <c r="I71" s="25">
        <f>SUM(E70:I70)/5</f>
        <v>41978.64</v>
      </c>
      <c r="J71" s="25"/>
      <c r="K71" s="25"/>
      <c r="L71" s="25"/>
      <c r="M71" s="25"/>
      <c r="N71" s="25">
        <f>SUM(E70:N70)/10</f>
        <v>117456.52039679998</v>
      </c>
    </row>
    <row r="72" spans="2:18" ht="15" customHeight="1" x14ac:dyDescent="0.45">
      <c r="B72" s="142"/>
      <c r="C72" s="142"/>
      <c r="D72" s="21" t="s">
        <v>58</v>
      </c>
      <c r="E72" s="26">
        <f>E70</f>
        <v>23250.000000000004</v>
      </c>
      <c r="F72" s="26">
        <f t="shared" ref="F72:N72" si="36">E72+F70</f>
        <v>52800</v>
      </c>
      <c r="G72" s="26">
        <f t="shared" si="36"/>
        <v>91170</v>
      </c>
      <c r="H72" s="26">
        <f t="shared" si="36"/>
        <v>141888</v>
      </c>
      <c r="I72" s="26">
        <f t="shared" si="36"/>
        <v>209893.2</v>
      </c>
      <c r="J72" s="26">
        <f t="shared" si="36"/>
        <v>302100.47999999998</v>
      </c>
      <c r="K72" s="26">
        <f t="shared" si="36"/>
        <v>428190.67199999996</v>
      </c>
      <c r="L72" s="26">
        <f t="shared" si="36"/>
        <v>601716.94079999998</v>
      </c>
      <c r="M72" s="26">
        <f t="shared" si="36"/>
        <v>841653.71711999993</v>
      </c>
      <c r="N72" s="26">
        <f t="shared" si="36"/>
        <v>1174565.2039679999</v>
      </c>
    </row>
    <row r="73" spans="2:18" ht="15" customHeight="1" x14ac:dyDescent="0.45">
      <c r="B73" s="142"/>
      <c r="C73" s="143" t="s">
        <v>44</v>
      </c>
      <c r="D73" s="17" t="s">
        <v>55</v>
      </c>
      <c r="E73" s="18">
        <f>E65*E$16/$E$4</f>
        <v>2.325E-2</v>
      </c>
      <c r="F73" s="18">
        <f>F65*F$16/$E$4-E73</f>
        <v>3.8850000000000003E-2</v>
      </c>
      <c r="G73" s="18">
        <f>G65*G$16/$E$4-F73-E73</f>
        <v>6.3209999999999988E-2</v>
      </c>
      <c r="H73" s="18">
        <f>H65*H$16/$E$4-G73-F73-E73</f>
        <v>0.10084199999999999</v>
      </c>
      <c r="I73" s="18">
        <f>I65*I$16/$E$4-H73-G73-F73-E73</f>
        <v>0.15846600000000005</v>
      </c>
      <c r="J73" s="18">
        <f>J65*J$16/$E$4-I73-H73-G73-F73-E73</f>
        <v>0.24605447999999985</v>
      </c>
      <c r="K73" s="18">
        <f>K65*K$16/$E$4-J73-I73-H73-G73-F73-E73</f>
        <v>0.37835918399999996</v>
      </c>
      <c r="L73" s="18">
        <f>L65*L$16/$E$4-K73-J73-I73-H73-G73-F73-E73</f>
        <v>0.57713893440000008</v>
      </c>
      <c r="M73" s="18">
        <f>M65*M$16/$E$4-L73-K73-J73-I73-H73-G73-F73-E73</f>
        <v>0.87440501567999995</v>
      </c>
      <c r="N73" s="18">
        <f>N65*N$16/$E$4-M73-L73-K73-J73-I73-H73-G73-F73-E73</f>
        <v>1.3171417324800003</v>
      </c>
    </row>
    <row r="74" spans="2:18" ht="15" customHeight="1" x14ac:dyDescent="0.45">
      <c r="B74" s="142"/>
      <c r="C74" s="141"/>
      <c r="D74" s="17" t="s">
        <v>56</v>
      </c>
      <c r="E74" s="19"/>
      <c r="F74" s="19"/>
      <c r="G74" s="19"/>
      <c r="H74" s="19"/>
      <c r="I74" s="19">
        <f>SUM(E73:I73)/5</f>
        <v>7.6923600000000009E-2</v>
      </c>
      <c r="J74" s="19"/>
      <c r="K74" s="19"/>
      <c r="L74" s="19"/>
      <c r="M74" s="19"/>
      <c r="N74" s="19">
        <f>SUM(E73:N73)/10</f>
        <v>0.377771734656</v>
      </c>
    </row>
    <row r="75" spans="2:18" ht="15" customHeight="1" x14ac:dyDescent="0.45">
      <c r="B75" s="142"/>
      <c r="C75" s="142"/>
      <c r="D75" s="21" t="s">
        <v>57</v>
      </c>
      <c r="E75" s="25">
        <f>E77</f>
        <v>23250.000000000004</v>
      </c>
      <c r="F75" s="25">
        <f>F77-E77</f>
        <v>38849.999999999985</v>
      </c>
      <c r="G75" s="25">
        <f>G77-F77</f>
        <v>63209.999999999993</v>
      </c>
      <c r="H75" s="25">
        <f t="shared" ref="H75:N75" si="37">H77-G77</f>
        <v>100842.00000000001</v>
      </c>
      <c r="I75" s="25">
        <f t="shared" si="37"/>
        <v>158466</v>
      </c>
      <c r="J75" s="25">
        <f t="shared" si="37"/>
        <v>246054.47999999986</v>
      </c>
      <c r="K75" s="25">
        <f t="shared" si="37"/>
        <v>378359.18400000001</v>
      </c>
      <c r="L75" s="25">
        <f t="shared" si="37"/>
        <v>577138.93440000014</v>
      </c>
      <c r="M75" s="25">
        <f t="shared" si="37"/>
        <v>874405.01568000019</v>
      </c>
      <c r="N75" s="25">
        <f t="shared" si="37"/>
        <v>1317141.7324799998</v>
      </c>
    </row>
    <row r="76" spans="2:18" ht="15" customHeight="1" x14ac:dyDescent="0.45">
      <c r="B76" s="142"/>
      <c r="C76" s="142"/>
      <c r="D76" s="21" t="s">
        <v>59</v>
      </c>
      <c r="E76" s="25"/>
      <c r="F76" s="25"/>
      <c r="G76" s="25"/>
      <c r="H76" s="25"/>
      <c r="I76" s="25">
        <f>SUM(E75:I75)/5</f>
        <v>76923.600000000006</v>
      </c>
      <c r="J76" s="25"/>
      <c r="K76" s="25"/>
      <c r="L76" s="25"/>
      <c r="M76" s="25"/>
      <c r="N76" s="25">
        <f>SUM(E75:N75)/10</f>
        <v>377771.73465599999</v>
      </c>
    </row>
    <row r="77" spans="2:18" ht="15" customHeight="1" x14ac:dyDescent="0.45">
      <c r="B77" s="142"/>
      <c r="C77" s="142"/>
      <c r="D77" s="21" t="s">
        <v>58</v>
      </c>
      <c r="E77" s="26">
        <f t="shared" ref="E77:N77" si="38">E67*E$16</f>
        <v>23250.000000000004</v>
      </c>
      <c r="F77" s="26">
        <f t="shared" si="38"/>
        <v>62099.999999999993</v>
      </c>
      <c r="G77" s="26">
        <f t="shared" si="38"/>
        <v>125309.99999999999</v>
      </c>
      <c r="H77" s="26">
        <f t="shared" si="38"/>
        <v>226152</v>
      </c>
      <c r="I77" s="26">
        <f t="shared" si="38"/>
        <v>384618</v>
      </c>
      <c r="J77" s="26">
        <f t="shared" si="38"/>
        <v>630672.47999999986</v>
      </c>
      <c r="K77" s="26">
        <f t="shared" si="38"/>
        <v>1009031.6639999999</v>
      </c>
      <c r="L77" s="26">
        <f t="shared" si="38"/>
        <v>1586170.5984</v>
      </c>
      <c r="M77" s="26">
        <f t="shared" si="38"/>
        <v>2460575.6140800002</v>
      </c>
      <c r="N77" s="26">
        <f t="shared" si="38"/>
        <v>3777717.34656</v>
      </c>
    </row>
    <row r="78" spans="2:18" ht="15" customHeight="1" x14ac:dyDescent="0.45">
      <c r="B78" s="142" t="s">
        <v>18</v>
      </c>
      <c r="C78" s="141" t="s">
        <v>41</v>
      </c>
      <c r="D78" s="17" t="s">
        <v>55</v>
      </c>
      <c r="E78" s="18">
        <f t="shared" ref="E78:N78" si="39">E50+E63-E124</f>
        <v>0.18624999999999997</v>
      </c>
      <c r="F78" s="18">
        <f t="shared" si="39"/>
        <v>0.13625000000000001</v>
      </c>
      <c r="G78" s="18">
        <f t="shared" si="39"/>
        <v>0.10053571428571433</v>
      </c>
      <c r="H78" s="18">
        <f t="shared" si="39"/>
        <v>7.5025510204081602E-2</v>
      </c>
      <c r="I78" s="18">
        <f t="shared" si="39"/>
        <v>5.6803935860058309E-2</v>
      </c>
      <c r="J78" s="18">
        <f t="shared" si="39"/>
        <v>4.3788525614327369E-2</v>
      </c>
      <c r="K78" s="18">
        <f t="shared" si="39"/>
        <v>3.4491804010233849E-2</v>
      </c>
      <c r="L78" s="18">
        <f t="shared" si="39"/>
        <v>2.78512885787385E-2</v>
      </c>
      <c r="M78" s="18">
        <f t="shared" si="39"/>
        <v>2.3108063270527428E-2</v>
      </c>
      <c r="N78" s="18">
        <f t="shared" si="39"/>
        <v>1.9720045193233861E-2</v>
      </c>
    </row>
    <row r="79" spans="2:18" ht="15" customHeight="1" x14ac:dyDescent="0.45">
      <c r="B79" s="142"/>
      <c r="C79" s="141"/>
      <c r="D79" s="17" t="s">
        <v>56</v>
      </c>
      <c r="E79" s="18"/>
      <c r="F79" s="18"/>
      <c r="G79" s="18"/>
      <c r="H79" s="18"/>
      <c r="I79" s="44">
        <f>SUM(E78:I78)/5</f>
        <v>0.11097303206997085</v>
      </c>
      <c r="J79" s="18"/>
      <c r="K79" s="18"/>
      <c r="L79" s="18"/>
      <c r="M79" s="18"/>
      <c r="N79" s="19">
        <f>SUM(E78:N78)/10</f>
        <v>7.0382488701691531E-2</v>
      </c>
    </row>
    <row r="80" spans="2:18" ht="15" customHeight="1" x14ac:dyDescent="0.45">
      <c r="B80" s="142"/>
      <c r="C80" s="141"/>
      <c r="D80" s="17" t="s">
        <v>53</v>
      </c>
      <c r="E80" s="18">
        <f t="shared" ref="E80:N80" si="40">E52+E65-E126</f>
        <v>0.18624999999999997</v>
      </c>
      <c r="F80" s="18">
        <f t="shared" si="40"/>
        <v>0.32250000000000006</v>
      </c>
      <c r="G80" s="18">
        <f t="shared" si="40"/>
        <v>0.4230357142857144</v>
      </c>
      <c r="H80" s="18">
        <f t="shared" si="40"/>
        <v>0.49806122448979584</v>
      </c>
      <c r="I80" s="18">
        <f t="shared" si="40"/>
        <v>0.55486516034985423</v>
      </c>
      <c r="J80" s="18">
        <f t="shared" si="40"/>
        <v>0.59865368596418167</v>
      </c>
      <c r="K80" s="18">
        <f t="shared" si="40"/>
        <v>0.63314548997441567</v>
      </c>
      <c r="L80" s="18">
        <f t="shared" si="40"/>
        <v>0.66099677855315475</v>
      </c>
      <c r="M80" s="18">
        <f t="shared" si="40"/>
        <v>0.68410484182368059</v>
      </c>
      <c r="N80" s="18">
        <f t="shared" si="40"/>
        <v>0.70382488701691392</v>
      </c>
    </row>
    <row r="81" spans="1:18" ht="15" customHeight="1" x14ac:dyDescent="0.45">
      <c r="B81" s="142"/>
      <c r="C81" s="142"/>
      <c r="D81" s="21" t="s">
        <v>57</v>
      </c>
      <c r="E81" s="22">
        <f>10*E78</f>
        <v>1.8624999999999998</v>
      </c>
      <c r="F81" s="22">
        <f t="shared" ref="F81:N81" si="41">10*F78</f>
        <v>1.3625</v>
      </c>
      <c r="G81" s="22">
        <f t="shared" si="41"/>
        <v>1.0053571428571433</v>
      </c>
      <c r="H81" s="22">
        <f t="shared" si="41"/>
        <v>0.75025510204081602</v>
      </c>
      <c r="I81" s="22">
        <f t="shared" si="41"/>
        <v>0.56803935860058308</v>
      </c>
      <c r="J81" s="22">
        <f t="shared" si="41"/>
        <v>0.43788525614327367</v>
      </c>
      <c r="K81" s="22">
        <f t="shared" si="41"/>
        <v>0.34491804010233851</v>
      </c>
      <c r="L81" s="22">
        <f t="shared" si="41"/>
        <v>0.27851288578738498</v>
      </c>
      <c r="M81" s="22">
        <f t="shared" si="41"/>
        <v>0.23108063270527429</v>
      </c>
      <c r="N81" s="22">
        <f t="shared" si="41"/>
        <v>0.19720045193233862</v>
      </c>
    </row>
    <row r="82" spans="1:18" ht="15" customHeight="1" x14ac:dyDescent="0.45">
      <c r="B82" s="142"/>
      <c r="C82" s="142"/>
      <c r="D82" s="21" t="s">
        <v>58</v>
      </c>
      <c r="E82" s="22">
        <f>10*E80</f>
        <v>1.8624999999999998</v>
      </c>
      <c r="F82" s="22">
        <f>10*F80</f>
        <v>3.2250000000000005</v>
      </c>
      <c r="G82" s="22">
        <f>10*G80</f>
        <v>4.2303571428571445</v>
      </c>
      <c r="H82" s="22">
        <f t="shared" ref="H82:N82" si="42">10*H80</f>
        <v>4.9806122448979586</v>
      </c>
      <c r="I82" s="22">
        <f t="shared" si="42"/>
        <v>5.5486516034985423</v>
      </c>
      <c r="J82" s="22">
        <f t="shared" si="42"/>
        <v>5.9865368596418165</v>
      </c>
      <c r="K82" s="22">
        <f t="shared" si="42"/>
        <v>6.3314548997441564</v>
      </c>
      <c r="L82" s="22">
        <f t="shared" si="42"/>
        <v>6.6099677855315475</v>
      </c>
      <c r="M82" s="22">
        <f t="shared" si="42"/>
        <v>6.8410484182368059</v>
      </c>
      <c r="N82" s="22">
        <f t="shared" si="42"/>
        <v>7.0382488701691397</v>
      </c>
    </row>
    <row r="83" spans="1:18" ht="15" customHeight="1" x14ac:dyDescent="0.45">
      <c r="B83" s="142"/>
      <c r="C83" s="143" t="s">
        <v>45</v>
      </c>
      <c r="D83" s="17" t="s">
        <v>55</v>
      </c>
      <c r="E83" s="18">
        <f t="shared" ref="E83:N83" si="43">E55+E68-E129</f>
        <v>0.26074999999999998</v>
      </c>
      <c r="F83" s="18">
        <f t="shared" si="43"/>
        <v>0.26705000000000007</v>
      </c>
      <c r="G83" s="18">
        <f t="shared" si="43"/>
        <v>0.27587000000000017</v>
      </c>
      <c r="H83" s="18">
        <f t="shared" si="43"/>
        <v>0.28821799999999986</v>
      </c>
      <c r="I83" s="18">
        <f t="shared" si="43"/>
        <v>0.30550520000000003</v>
      </c>
      <c r="J83" s="18">
        <f t="shared" si="43"/>
        <v>0.32970728000000005</v>
      </c>
      <c r="K83" s="18">
        <f t="shared" si="43"/>
        <v>0.36359019200000026</v>
      </c>
      <c r="L83" s="18">
        <f t="shared" si="43"/>
        <v>0.41102626880000076</v>
      </c>
      <c r="M83" s="18">
        <f t="shared" si="43"/>
        <v>0.47743677631999926</v>
      </c>
      <c r="N83" s="18">
        <f t="shared" si="43"/>
        <v>0.57041148684799881</v>
      </c>
    </row>
    <row r="84" spans="1:18" ht="15" customHeight="1" x14ac:dyDescent="0.45">
      <c r="B84" s="142"/>
      <c r="C84" s="141"/>
      <c r="D84" s="17" t="s">
        <v>56</v>
      </c>
      <c r="E84" s="18"/>
      <c r="F84" s="18"/>
      <c r="G84" s="18"/>
      <c r="H84" s="18"/>
      <c r="I84" s="19">
        <f>SUM(E83:I83)/5</f>
        <v>0.27947864</v>
      </c>
      <c r="J84" s="19"/>
      <c r="K84" s="19"/>
      <c r="L84" s="19"/>
      <c r="M84" s="19"/>
      <c r="N84" s="19">
        <f>SUM(E83:N83)/10</f>
        <v>0.35495652039679992</v>
      </c>
    </row>
    <row r="85" spans="1:18" ht="15" customHeight="1" x14ac:dyDescent="0.45">
      <c r="B85" s="142"/>
      <c r="C85" s="142"/>
      <c r="D85" s="21" t="s">
        <v>57</v>
      </c>
      <c r="E85" s="24">
        <f t="shared" ref="E85:N85" si="44">E81*E$16</f>
        <v>260749.99999999997</v>
      </c>
      <c r="F85" s="24">
        <f t="shared" si="44"/>
        <v>267050</v>
      </c>
      <c r="G85" s="24">
        <f t="shared" si="44"/>
        <v>275870.00000000012</v>
      </c>
      <c r="H85" s="24">
        <f t="shared" si="44"/>
        <v>288217.99999999988</v>
      </c>
      <c r="I85" s="24">
        <f t="shared" si="44"/>
        <v>305505.2</v>
      </c>
      <c r="J85" s="24">
        <f t="shared" si="44"/>
        <v>329707.28000000003</v>
      </c>
      <c r="K85" s="24">
        <f t="shared" si="44"/>
        <v>363590.19200000021</v>
      </c>
      <c r="L85" s="24">
        <f t="shared" si="44"/>
        <v>411026.26880000072</v>
      </c>
      <c r="M85" s="24">
        <f t="shared" si="44"/>
        <v>477436.77631999931</v>
      </c>
      <c r="N85" s="24">
        <f t="shared" si="44"/>
        <v>570411.48684799892</v>
      </c>
    </row>
    <row r="86" spans="1:18" ht="15" customHeight="1" x14ac:dyDescent="0.45">
      <c r="B86" s="142"/>
      <c r="C86" s="142"/>
      <c r="D86" s="21" t="s">
        <v>59</v>
      </c>
      <c r="E86" s="23"/>
      <c r="F86" s="23"/>
      <c r="G86" s="23"/>
      <c r="H86" s="23"/>
      <c r="I86" s="24">
        <f>SUM(E85:I85)/5</f>
        <v>279478.64</v>
      </c>
      <c r="J86" s="24"/>
      <c r="K86" s="24"/>
      <c r="L86" s="24"/>
      <c r="M86" s="24"/>
      <c r="N86" s="24">
        <f>SUM(E85:N85)/10</f>
        <v>354956.5203967999</v>
      </c>
    </row>
    <row r="87" spans="1:18" ht="15" customHeight="1" x14ac:dyDescent="0.45">
      <c r="B87" s="142"/>
      <c r="C87" s="142"/>
      <c r="D87" s="21" t="s">
        <v>58</v>
      </c>
      <c r="E87" s="23">
        <f>E85</f>
        <v>260749.99999999997</v>
      </c>
      <c r="F87" s="23">
        <f t="shared" ref="F87:N87" si="45">E87+F85</f>
        <v>527800</v>
      </c>
      <c r="G87" s="23">
        <f t="shared" si="45"/>
        <v>803670.00000000012</v>
      </c>
      <c r="H87" s="23">
        <f t="shared" si="45"/>
        <v>1091888</v>
      </c>
      <c r="I87" s="23">
        <f t="shared" si="45"/>
        <v>1397393.2</v>
      </c>
      <c r="J87" s="23">
        <f t="shared" si="45"/>
        <v>1727100.48</v>
      </c>
      <c r="K87" s="23">
        <f t="shared" si="45"/>
        <v>2090690.6720000003</v>
      </c>
      <c r="L87" s="23">
        <f t="shared" si="45"/>
        <v>2501716.9408000009</v>
      </c>
      <c r="M87" s="23">
        <f t="shared" si="45"/>
        <v>2979153.7171200002</v>
      </c>
      <c r="N87" s="23">
        <f t="shared" si="45"/>
        <v>3549565.2039679992</v>
      </c>
    </row>
    <row r="88" spans="1:18" ht="15" customHeight="1" x14ac:dyDescent="0.45">
      <c r="B88" s="142"/>
      <c r="C88" s="143" t="s">
        <v>44</v>
      </c>
      <c r="D88" s="17" t="s">
        <v>55</v>
      </c>
      <c r="E88" s="18">
        <f t="shared" ref="E88:N88" si="46">E58+E73-E132</f>
        <v>0.26074999999999998</v>
      </c>
      <c r="F88" s="18">
        <f t="shared" si="46"/>
        <v>0.37135000000000018</v>
      </c>
      <c r="G88" s="18">
        <f t="shared" si="46"/>
        <v>0.52871000000000024</v>
      </c>
      <c r="H88" s="18">
        <f t="shared" si="46"/>
        <v>0.75254199999999938</v>
      </c>
      <c r="I88" s="18">
        <f t="shared" si="46"/>
        <v>1.0708460000000004</v>
      </c>
      <c r="J88" s="18">
        <f t="shared" si="46"/>
        <v>1.5233864799999994</v>
      </c>
      <c r="K88" s="18">
        <f t="shared" si="46"/>
        <v>2.1666239840000023</v>
      </c>
      <c r="L88" s="18">
        <f t="shared" si="46"/>
        <v>3.0807096544000112</v>
      </c>
      <c r="M88" s="18">
        <f t="shared" si="46"/>
        <v>4.3794040236799727</v>
      </c>
      <c r="N88" s="18">
        <f t="shared" si="46"/>
        <v>6.2241403436799736</v>
      </c>
    </row>
    <row r="89" spans="1:18" ht="15" customHeight="1" x14ac:dyDescent="0.45">
      <c r="B89" s="142"/>
      <c r="C89" s="141"/>
      <c r="D89" s="17" t="s">
        <v>56</v>
      </c>
      <c r="E89" s="19"/>
      <c r="F89" s="19"/>
      <c r="G89" s="19"/>
      <c r="H89" s="19"/>
      <c r="I89" s="19">
        <f>SUM(E88:I88)/5</f>
        <v>0.59683960000000003</v>
      </c>
      <c r="J89" s="19"/>
      <c r="K89" s="19"/>
      <c r="L89" s="19"/>
      <c r="M89" s="19"/>
      <c r="N89" s="19">
        <f>SUM(E88:N88)/10</f>
        <v>2.0358462485759956</v>
      </c>
    </row>
    <row r="90" spans="1:18" ht="15" customHeight="1" x14ac:dyDescent="0.45">
      <c r="B90" s="142"/>
      <c r="C90" s="142"/>
      <c r="D90" s="21" t="s">
        <v>57</v>
      </c>
      <c r="E90" s="24">
        <f>E92</f>
        <v>260749.99999999997</v>
      </c>
      <c r="F90" s="24">
        <f>F92-E92</f>
        <v>371350.00000000012</v>
      </c>
      <c r="G90" s="24">
        <f>G92-F92</f>
        <v>528710.00000000035</v>
      </c>
      <c r="H90" s="24">
        <f t="shared" ref="H90:N90" si="47">H92-G92</f>
        <v>752541.9999999993</v>
      </c>
      <c r="I90" s="24">
        <f t="shared" si="47"/>
        <v>1070846.0000000002</v>
      </c>
      <c r="J90" s="24">
        <f t="shared" si="47"/>
        <v>1523386.4800000004</v>
      </c>
      <c r="K90" s="24">
        <f t="shared" si="47"/>
        <v>2166623.984000002</v>
      </c>
      <c r="L90" s="24">
        <f t="shared" si="47"/>
        <v>3080709.6544000106</v>
      </c>
      <c r="M90" s="24">
        <f t="shared" si="47"/>
        <v>4379404.0236799717</v>
      </c>
      <c r="N90" s="24">
        <f t="shared" si="47"/>
        <v>6224140.3436799813</v>
      </c>
    </row>
    <row r="91" spans="1:18" ht="15" customHeight="1" x14ac:dyDescent="0.45">
      <c r="A91" s="9"/>
      <c r="B91" s="142"/>
      <c r="C91" s="142"/>
      <c r="D91" s="21" t="s">
        <v>59</v>
      </c>
      <c r="E91" s="24"/>
      <c r="F91" s="24"/>
      <c r="G91" s="24"/>
      <c r="H91" s="24"/>
      <c r="I91" s="24">
        <f>SUM(E90:I90)/5</f>
        <v>596839.6</v>
      </c>
      <c r="J91" s="24"/>
      <c r="K91" s="24"/>
      <c r="L91" s="24"/>
      <c r="M91" s="24"/>
      <c r="N91" s="24">
        <f>SUM(E90:N90)/10</f>
        <v>2035846.2485759966</v>
      </c>
      <c r="O91" s="9"/>
    </row>
    <row r="92" spans="1:18" ht="15" customHeight="1" x14ac:dyDescent="0.45">
      <c r="B92" s="142"/>
      <c r="C92" s="142"/>
      <c r="D92" s="21" t="s">
        <v>58</v>
      </c>
      <c r="E92" s="23">
        <f t="shared" ref="E92:N92" si="48">E82*E$16</f>
        <v>260749.99999999997</v>
      </c>
      <c r="F92" s="23">
        <f t="shared" si="48"/>
        <v>632100.00000000012</v>
      </c>
      <c r="G92" s="23">
        <f t="shared" si="48"/>
        <v>1160810.0000000005</v>
      </c>
      <c r="H92" s="23">
        <f t="shared" si="48"/>
        <v>1913351.9999999998</v>
      </c>
      <c r="I92" s="23">
        <f t="shared" si="48"/>
        <v>2984198</v>
      </c>
      <c r="J92" s="23">
        <f t="shared" si="48"/>
        <v>4507584.4800000004</v>
      </c>
      <c r="K92" s="23">
        <f t="shared" si="48"/>
        <v>6674208.4640000025</v>
      </c>
      <c r="L92" s="23">
        <f t="shared" si="48"/>
        <v>9754918.1184000131</v>
      </c>
      <c r="M92" s="23">
        <f t="shared" si="48"/>
        <v>14134322.142079985</v>
      </c>
      <c r="N92" s="23">
        <f t="shared" si="48"/>
        <v>20358462.485759966</v>
      </c>
    </row>
    <row r="93" spans="1:18" s="5" customFormat="1" ht="15" customHeight="1" x14ac:dyDescent="0.45">
      <c r="B93" s="4"/>
      <c r="C93" s="1"/>
      <c r="D93" s="53"/>
      <c r="E93" s="36"/>
      <c r="F93" s="36"/>
      <c r="G93" s="36"/>
      <c r="H93" s="36"/>
      <c r="I93" s="36"/>
      <c r="J93" s="36"/>
      <c r="K93" s="36"/>
      <c r="L93" s="36"/>
      <c r="M93" s="36"/>
      <c r="N93" s="36"/>
      <c r="P93" s="2"/>
      <c r="Q93" s="2"/>
      <c r="R93" s="2"/>
    </row>
    <row r="94" spans="1:18" s="5" customFormat="1" ht="15" customHeight="1" x14ac:dyDescent="0.45">
      <c r="B94" s="148" t="s">
        <v>39</v>
      </c>
      <c r="C94" s="3" t="s">
        <v>33</v>
      </c>
      <c r="D94" s="58">
        <f>E9</f>
        <v>0.25</v>
      </c>
      <c r="E94" s="133" t="s">
        <v>3</v>
      </c>
      <c r="F94" s="133" t="s">
        <v>4</v>
      </c>
      <c r="G94" s="133" t="s">
        <v>5</v>
      </c>
      <c r="H94" s="133" t="s">
        <v>6</v>
      </c>
      <c r="I94" s="133" t="s">
        <v>7</v>
      </c>
      <c r="J94" s="133" t="s">
        <v>8</v>
      </c>
      <c r="K94" s="133" t="s">
        <v>9</v>
      </c>
      <c r="L94" s="133" t="s">
        <v>10</v>
      </c>
      <c r="M94" s="133" t="s">
        <v>11</v>
      </c>
      <c r="N94" s="133" t="s">
        <v>12</v>
      </c>
      <c r="P94" s="2"/>
      <c r="Q94" s="2"/>
      <c r="R94" s="2"/>
    </row>
    <row r="95" spans="1:18" s="5" customFormat="1" ht="15" customHeight="1" x14ac:dyDescent="0.45">
      <c r="B95" s="149"/>
      <c r="C95" s="47" t="s">
        <v>21</v>
      </c>
      <c r="D95" s="35" t="str">
        <f>"10 BTC / "&amp;TEXT($E$4*10, "$###0.00,,")&amp;"M USD"</f>
        <v>10 BTC / $1.00M USD</v>
      </c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P95" s="2"/>
      <c r="Q95" s="2"/>
      <c r="R95" s="2"/>
    </row>
    <row r="96" spans="1:18" s="5" customFormat="1" ht="15" customHeight="1" x14ac:dyDescent="0.45">
      <c r="B96" s="142" t="s">
        <v>16</v>
      </c>
      <c r="C96" s="141" t="s">
        <v>41</v>
      </c>
      <c r="D96" s="17" t="s">
        <v>83</v>
      </c>
      <c r="E96" s="18">
        <f>E$24*$D94</f>
        <v>0.10714285714285714</v>
      </c>
      <c r="F96" s="18">
        <f t="shared" ref="F96:N96" si="49">F$24*$D94</f>
        <v>7.6530612244897961E-2</v>
      </c>
      <c r="G96" s="18">
        <f t="shared" si="49"/>
        <v>5.4664723032069984E-2</v>
      </c>
      <c r="H96" s="18">
        <f t="shared" si="49"/>
        <v>3.9046230737192822E-2</v>
      </c>
      <c r="I96" s="18">
        <f t="shared" si="49"/>
        <v>2.7890164812280599E-2</v>
      </c>
      <c r="J96" s="18">
        <f t="shared" si="49"/>
        <v>1.9921546294486142E-2</v>
      </c>
      <c r="K96" s="18">
        <f t="shared" si="49"/>
        <v>1.4229675924632965E-2</v>
      </c>
      <c r="L96" s="18">
        <f t="shared" si="49"/>
        <v>1.0164054231880701E-2</v>
      </c>
      <c r="M96" s="18">
        <f t="shared" si="49"/>
        <v>7.2600387370576197E-3</v>
      </c>
      <c r="N96" s="18">
        <f t="shared" si="49"/>
        <v>5.185741955041151E-3</v>
      </c>
      <c r="P96" s="2"/>
      <c r="Q96" s="2"/>
      <c r="R96" s="2"/>
    </row>
    <row r="97" spans="2:18" s="5" customFormat="1" ht="15" customHeight="1" x14ac:dyDescent="0.45">
      <c r="B97" s="142"/>
      <c r="C97" s="141"/>
      <c r="D97" s="17" t="s">
        <v>84</v>
      </c>
      <c r="E97" s="18"/>
      <c r="F97" s="18"/>
      <c r="G97" s="18"/>
      <c r="H97" s="18"/>
      <c r="I97" s="101">
        <f>SUM(E96:I96)/5</f>
        <v>6.1054917593859705E-2</v>
      </c>
      <c r="J97" s="18"/>
      <c r="K97" s="18"/>
      <c r="L97" s="18"/>
      <c r="M97" s="18"/>
      <c r="N97" s="19">
        <f>SUM(E96:N96)/10</f>
        <v>3.6203564511239718E-2</v>
      </c>
      <c r="P97" s="2"/>
      <c r="Q97" s="2"/>
      <c r="R97" s="2"/>
    </row>
    <row r="98" spans="2:18" s="5" customFormat="1" ht="15" customHeight="1" x14ac:dyDescent="0.45">
      <c r="B98" s="142"/>
      <c r="C98" s="141"/>
      <c r="D98" s="17" t="s">
        <v>53</v>
      </c>
      <c r="E98" s="18">
        <f>E$18*(E96/E$20)</f>
        <v>0.10714285714285714</v>
      </c>
      <c r="F98" s="18">
        <f t="shared" ref="F98:N98" si="50">F$18*(F96/F$20)</f>
        <v>0.18367346938775508</v>
      </c>
      <c r="G98" s="18">
        <f t="shared" si="50"/>
        <v>0.23833819241982507</v>
      </c>
      <c r="H98" s="18">
        <f t="shared" si="50"/>
        <v>0.27738442315701789</v>
      </c>
      <c r="I98" s="18">
        <f t="shared" si="50"/>
        <v>0.30527458796929852</v>
      </c>
      <c r="J98" s="18">
        <f t="shared" si="50"/>
        <v>0.32519613426378463</v>
      </c>
      <c r="K98" s="18">
        <f t="shared" si="50"/>
        <v>0.33942581018841761</v>
      </c>
      <c r="L98" s="18">
        <f t="shared" si="50"/>
        <v>0.34958986442029832</v>
      </c>
      <c r="M98" s="18">
        <f t="shared" si="50"/>
        <v>0.35684990315735593</v>
      </c>
      <c r="N98" s="18">
        <f t="shared" si="50"/>
        <v>0.36203564511239705</v>
      </c>
      <c r="P98" s="2"/>
      <c r="Q98" s="2"/>
      <c r="R98" s="2"/>
    </row>
    <row r="99" spans="2:18" s="5" customFormat="1" ht="15" customHeight="1" x14ac:dyDescent="0.45">
      <c r="B99" s="142"/>
      <c r="C99" s="142"/>
      <c r="D99" s="21" t="s">
        <v>57</v>
      </c>
      <c r="E99" s="22">
        <f>10*E96</f>
        <v>1.0714285714285714</v>
      </c>
      <c r="F99" s="22">
        <f t="shared" ref="F99:N99" si="51">10*F96</f>
        <v>0.76530612244897966</v>
      </c>
      <c r="G99" s="22">
        <f t="shared" si="51"/>
        <v>0.54664723032069984</v>
      </c>
      <c r="H99" s="22">
        <f t="shared" si="51"/>
        <v>0.39046230737192822</v>
      </c>
      <c r="I99" s="22">
        <f t="shared" si="51"/>
        <v>0.27890164812280599</v>
      </c>
      <c r="J99" s="22">
        <f t="shared" si="51"/>
        <v>0.19921546294486142</v>
      </c>
      <c r="K99" s="22">
        <f t="shared" si="51"/>
        <v>0.14229675924632965</v>
      </c>
      <c r="L99" s="22">
        <f t="shared" si="51"/>
        <v>0.10164054231880701</v>
      </c>
      <c r="M99" s="22">
        <f t="shared" si="51"/>
        <v>7.2600387370576197E-2</v>
      </c>
      <c r="N99" s="22">
        <f t="shared" si="51"/>
        <v>5.185741955041151E-2</v>
      </c>
      <c r="P99" s="2"/>
      <c r="Q99" s="2"/>
      <c r="R99" s="2"/>
    </row>
    <row r="100" spans="2:18" s="5" customFormat="1" ht="15" customHeight="1" x14ac:dyDescent="0.45">
      <c r="B100" s="142"/>
      <c r="C100" s="142"/>
      <c r="D100" s="21" t="s">
        <v>58</v>
      </c>
      <c r="E100" s="22">
        <f>10*E98</f>
        <v>1.0714285714285714</v>
      </c>
      <c r="F100" s="22">
        <f>10*F98</f>
        <v>1.8367346938775508</v>
      </c>
      <c r="G100" s="22">
        <f>10*G98</f>
        <v>2.3833819241982508</v>
      </c>
      <c r="H100" s="22">
        <f t="shared" ref="H100:N100" si="52">10*H98</f>
        <v>2.773844231570179</v>
      </c>
      <c r="I100" s="22">
        <f t="shared" si="52"/>
        <v>3.0527458796929849</v>
      </c>
      <c r="J100" s="22">
        <f t="shared" si="52"/>
        <v>3.2519613426378462</v>
      </c>
      <c r="K100" s="22">
        <f t="shared" si="52"/>
        <v>3.394258101884176</v>
      </c>
      <c r="L100" s="22">
        <f t="shared" si="52"/>
        <v>3.4958986442029834</v>
      </c>
      <c r="M100" s="22">
        <f t="shared" si="52"/>
        <v>3.5684990315735594</v>
      </c>
      <c r="N100" s="22">
        <f t="shared" si="52"/>
        <v>3.6203564511239703</v>
      </c>
      <c r="P100" s="2"/>
      <c r="Q100" s="2"/>
      <c r="R100" s="2"/>
    </row>
    <row r="101" spans="2:18" s="5" customFormat="1" ht="15" customHeight="1" x14ac:dyDescent="0.45">
      <c r="B101" s="142"/>
      <c r="C101" s="143" t="s">
        <v>45</v>
      </c>
      <c r="D101" s="17" t="s">
        <v>55</v>
      </c>
      <c r="E101" s="18">
        <f>E96*E$16/$E$4</f>
        <v>0.15</v>
      </c>
      <c r="F101" s="18">
        <f t="shared" ref="F101:N101" si="53">F96*F$16/$E$4</f>
        <v>0.15</v>
      </c>
      <c r="G101" s="18">
        <f t="shared" si="53"/>
        <v>0.15000000000000005</v>
      </c>
      <c r="H101" s="18">
        <f t="shared" si="53"/>
        <v>0.14999999999999994</v>
      </c>
      <c r="I101" s="18">
        <f t="shared" si="53"/>
        <v>0.15</v>
      </c>
      <c r="J101" s="18">
        <f t="shared" si="53"/>
        <v>0.15</v>
      </c>
      <c r="K101" s="18">
        <f t="shared" si="53"/>
        <v>0.15000000000000008</v>
      </c>
      <c r="L101" s="18">
        <f t="shared" si="53"/>
        <v>0.15000000000000024</v>
      </c>
      <c r="M101" s="18">
        <f t="shared" si="53"/>
        <v>0.14999999999999977</v>
      </c>
      <c r="N101" s="18">
        <f t="shared" si="53"/>
        <v>0.14999999999999961</v>
      </c>
      <c r="P101" s="2"/>
      <c r="Q101" s="2"/>
      <c r="R101" s="2"/>
    </row>
    <row r="102" spans="2:18" s="5" customFormat="1" ht="15" customHeight="1" x14ac:dyDescent="0.45">
      <c r="B102" s="142"/>
      <c r="C102" s="142"/>
      <c r="D102" s="21" t="s">
        <v>57</v>
      </c>
      <c r="E102" s="23">
        <f t="shared" ref="E102:N102" si="54">E99*E$16</f>
        <v>150000</v>
      </c>
      <c r="F102" s="23">
        <f t="shared" si="54"/>
        <v>150000</v>
      </c>
      <c r="G102" s="23">
        <f t="shared" si="54"/>
        <v>150000.00000000003</v>
      </c>
      <c r="H102" s="23">
        <f t="shared" si="54"/>
        <v>149999.99999999994</v>
      </c>
      <c r="I102" s="23">
        <f t="shared" si="54"/>
        <v>150000</v>
      </c>
      <c r="J102" s="23">
        <f t="shared" si="54"/>
        <v>150000</v>
      </c>
      <c r="K102" s="23">
        <f t="shared" si="54"/>
        <v>150000.00000000009</v>
      </c>
      <c r="L102" s="23">
        <f t="shared" si="54"/>
        <v>150000.00000000026</v>
      </c>
      <c r="M102" s="23">
        <f t="shared" si="54"/>
        <v>149999.99999999977</v>
      </c>
      <c r="N102" s="23">
        <f t="shared" si="54"/>
        <v>149999.99999999959</v>
      </c>
      <c r="P102" s="2"/>
      <c r="Q102" s="2"/>
      <c r="R102" s="2"/>
    </row>
    <row r="103" spans="2:18" s="5" customFormat="1" ht="15" customHeight="1" x14ac:dyDescent="0.45">
      <c r="B103" s="142"/>
      <c r="C103" s="142"/>
      <c r="D103" s="21" t="s">
        <v>58</v>
      </c>
      <c r="E103" s="23">
        <f>E102</f>
        <v>150000</v>
      </c>
      <c r="F103" s="23">
        <f>E103+F102</f>
        <v>300000</v>
      </c>
      <c r="G103" s="23">
        <f t="shared" ref="G103:N103" si="55">F103+G102</f>
        <v>450000</v>
      </c>
      <c r="H103" s="23">
        <f t="shared" si="55"/>
        <v>600000</v>
      </c>
      <c r="I103" s="23">
        <f t="shared" si="55"/>
        <v>750000</v>
      </c>
      <c r="J103" s="23">
        <f t="shared" si="55"/>
        <v>900000</v>
      </c>
      <c r="K103" s="23">
        <f t="shared" si="55"/>
        <v>1050000</v>
      </c>
      <c r="L103" s="23">
        <f t="shared" si="55"/>
        <v>1200000.0000000002</v>
      </c>
      <c r="M103" s="23">
        <f t="shared" si="55"/>
        <v>1350000</v>
      </c>
      <c r="N103" s="23">
        <f t="shared" si="55"/>
        <v>1499999.9999999995</v>
      </c>
      <c r="P103" s="2"/>
      <c r="Q103" s="2"/>
      <c r="R103" s="2"/>
    </row>
    <row r="104" spans="2:18" s="5" customFormat="1" ht="15" customHeight="1" x14ac:dyDescent="0.45">
      <c r="B104" s="142"/>
      <c r="C104" s="143" t="s">
        <v>44</v>
      </c>
      <c r="D104" s="17" t="s">
        <v>55</v>
      </c>
      <c r="E104" s="18">
        <f>E98*E$16/$E$4</f>
        <v>0.15</v>
      </c>
      <c r="F104" s="18">
        <f>F98*F$16/$E$4-E104</f>
        <v>0.21</v>
      </c>
      <c r="G104" s="18">
        <f>G98*G$16/$E$4-F104-E104</f>
        <v>0.29400000000000004</v>
      </c>
      <c r="H104" s="18">
        <f>H98*H$16/$E$4-G104-F104-E104</f>
        <v>0.41159999999999985</v>
      </c>
      <c r="I104" s="18">
        <f>I98*I$16/$E$4-H104-G104-F104-E104</f>
        <v>0.5762400000000002</v>
      </c>
      <c r="J104" s="18">
        <f>J98*J$16/$E$4-I104-H104-G104-F104-E104</f>
        <v>0.80673599999999934</v>
      </c>
      <c r="K104" s="18">
        <f>K98*K$16/$E$4-J104-I104-H104-G104-F104-E104</f>
        <v>1.1294304000000004</v>
      </c>
      <c r="L104" s="18">
        <f>L98*L$16/$E$4-K104-J104-I104-H104-G104-F104-E104</f>
        <v>1.5812025600000008</v>
      </c>
      <c r="M104" s="18">
        <f>M98*M$16/$E$4-L104-K104-J104-I104-H104-G104-F104-E104</f>
        <v>2.2136835839999995</v>
      </c>
      <c r="N104" s="18">
        <f>N98*N$16/$E$4-M104-L104-K104-J104-I104-H104-G104-F104-E104</f>
        <v>3.0991570175999996</v>
      </c>
      <c r="P104" s="2"/>
      <c r="Q104" s="2"/>
      <c r="R104" s="2"/>
    </row>
    <row r="105" spans="2:18" s="5" customFormat="1" ht="15" customHeight="1" x14ac:dyDescent="0.45">
      <c r="B105" s="142"/>
      <c r="C105" s="141"/>
      <c r="D105" s="17" t="s">
        <v>56</v>
      </c>
      <c r="E105" s="19"/>
      <c r="F105" s="19"/>
      <c r="G105" s="19"/>
      <c r="H105" s="19"/>
      <c r="I105" s="19">
        <f>SUM(E104:I104)/5</f>
        <v>0.32836800000000005</v>
      </c>
      <c r="J105" s="19"/>
      <c r="K105" s="19"/>
      <c r="L105" s="19"/>
      <c r="M105" s="19"/>
      <c r="N105" s="19">
        <f>SUM(E104:N104)/10</f>
        <v>1.0472049561600001</v>
      </c>
      <c r="P105" s="2"/>
      <c r="Q105" s="2"/>
      <c r="R105" s="2"/>
    </row>
    <row r="106" spans="2:18" s="5" customFormat="1" ht="15" customHeight="1" x14ac:dyDescent="0.45">
      <c r="B106" s="142"/>
      <c r="C106" s="142"/>
      <c r="D106" s="21" t="s">
        <v>57</v>
      </c>
      <c r="E106" s="24">
        <f>E108</f>
        <v>150000</v>
      </c>
      <c r="F106" s="24">
        <f>F108-E108</f>
        <v>209999.99999999994</v>
      </c>
      <c r="G106" s="24">
        <f t="shared" ref="G106:N106" si="56">G108-F108</f>
        <v>294000.00000000006</v>
      </c>
      <c r="H106" s="24">
        <f t="shared" si="56"/>
        <v>411600</v>
      </c>
      <c r="I106" s="24">
        <f t="shared" si="56"/>
        <v>576240</v>
      </c>
      <c r="J106" s="24">
        <f t="shared" si="56"/>
        <v>806735.99999999953</v>
      </c>
      <c r="K106" s="24">
        <f t="shared" si="56"/>
        <v>1129430.4000000004</v>
      </c>
      <c r="L106" s="24">
        <f t="shared" si="56"/>
        <v>1581202.560000001</v>
      </c>
      <c r="M106" s="24">
        <f t="shared" si="56"/>
        <v>2213683.5839999998</v>
      </c>
      <c r="N106" s="24">
        <f t="shared" si="56"/>
        <v>3099157.017599999</v>
      </c>
      <c r="P106" s="2"/>
      <c r="Q106" s="2"/>
      <c r="R106" s="2"/>
    </row>
    <row r="107" spans="2:18" s="5" customFormat="1" ht="15" customHeight="1" x14ac:dyDescent="0.45">
      <c r="B107" s="142"/>
      <c r="C107" s="142"/>
      <c r="D107" s="21" t="s">
        <v>59</v>
      </c>
      <c r="E107" s="24"/>
      <c r="F107" s="24"/>
      <c r="G107" s="24"/>
      <c r="H107" s="24"/>
      <c r="I107" s="24">
        <f>SUM(E106:I106)/5</f>
        <v>328368</v>
      </c>
      <c r="J107" s="24"/>
      <c r="K107" s="24"/>
      <c r="L107" s="24"/>
      <c r="M107" s="24"/>
      <c r="N107" s="24">
        <f>SUM(E106:N106)/10</f>
        <v>1047204.9561599999</v>
      </c>
      <c r="P107" s="2"/>
      <c r="Q107" s="2"/>
      <c r="R107" s="2"/>
    </row>
    <row r="108" spans="2:18" s="5" customFormat="1" ht="15" customHeight="1" x14ac:dyDescent="0.45">
      <c r="B108" s="142"/>
      <c r="C108" s="142"/>
      <c r="D108" s="21" t="s">
        <v>58</v>
      </c>
      <c r="E108" s="23">
        <f>E100*E$16</f>
        <v>150000</v>
      </c>
      <c r="F108" s="23">
        <f t="shared" ref="F108:N108" si="57">F100*F$16</f>
        <v>359999.99999999994</v>
      </c>
      <c r="G108" s="23">
        <f t="shared" si="57"/>
        <v>654000</v>
      </c>
      <c r="H108" s="23">
        <f t="shared" si="57"/>
        <v>1065600</v>
      </c>
      <c r="I108" s="23">
        <f t="shared" si="57"/>
        <v>1641840</v>
      </c>
      <c r="J108" s="23">
        <f t="shared" si="57"/>
        <v>2448575.9999999995</v>
      </c>
      <c r="K108" s="23">
        <f t="shared" si="57"/>
        <v>3578006.4</v>
      </c>
      <c r="L108" s="23">
        <f t="shared" si="57"/>
        <v>5159208.9600000009</v>
      </c>
      <c r="M108" s="23">
        <f t="shared" si="57"/>
        <v>7372892.5440000007</v>
      </c>
      <c r="N108" s="23">
        <f t="shared" si="57"/>
        <v>10472049.5616</v>
      </c>
      <c r="P108" s="2"/>
      <c r="Q108" s="2"/>
      <c r="R108" s="2"/>
    </row>
    <row r="109" spans="2:18" s="5" customFormat="1" ht="15" customHeight="1" x14ac:dyDescent="0.45">
      <c r="B109" s="142" t="s">
        <v>17</v>
      </c>
      <c r="C109" s="141" t="s">
        <v>41</v>
      </c>
      <c r="D109" s="17" t="s">
        <v>55</v>
      </c>
      <c r="E109" s="18">
        <f>E$26*$D94</f>
        <v>5.5357142857142862E-3</v>
      </c>
      <c r="F109" s="18">
        <f t="shared" ref="F109:N109" si="58">F$26*$D94</f>
        <v>5.0255102040816322E-3</v>
      </c>
      <c r="G109" s="18">
        <f t="shared" si="58"/>
        <v>4.6610787172011656E-3</v>
      </c>
      <c r="H109" s="18">
        <f t="shared" si="58"/>
        <v>4.4007705122865474E-3</v>
      </c>
      <c r="I109" s="18">
        <f t="shared" si="58"/>
        <v>4.2148360802046767E-3</v>
      </c>
      <c r="J109" s="18">
        <f t="shared" si="58"/>
        <v>4.0820257715747689E-3</v>
      </c>
      <c r="K109" s="18">
        <f t="shared" si="58"/>
        <v>3.9871612654105489E-3</v>
      </c>
      <c r="L109" s="18">
        <f t="shared" si="58"/>
        <v>3.9194009038646775E-3</v>
      </c>
      <c r="M109" s="18">
        <f t="shared" si="58"/>
        <v>3.8710006456176269E-3</v>
      </c>
      <c r="N109" s="18">
        <f t="shared" si="58"/>
        <v>3.8364290325840194E-3</v>
      </c>
      <c r="P109" s="2"/>
      <c r="Q109" s="2"/>
      <c r="R109" s="2"/>
    </row>
    <row r="110" spans="2:18" s="5" customFormat="1" ht="15" customHeight="1" x14ac:dyDescent="0.45">
      <c r="B110" s="142"/>
      <c r="C110" s="141"/>
      <c r="D110" s="17" t="s">
        <v>56</v>
      </c>
      <c r="E110" s="18"/>
      <c r="F110" s="18"/>
      <c r="G110" s="18"/>
      <c r="H110" s="18"/>
      <c r="I110" s="101">
        <f>SUM(E109:I109)/5</f>
        <v>4.7675819598976613E-3</v>
      </c>
      <c r="J110" s="19"/>
      <c r="K110" s="19"/>
      <c r="L110" s="19"/>
      <c r="M110" s="19"/>
      <c r="N110" s="19">
        <f>SUM(E109:N109)/10</f>
        <v>4.3533927418539951E-3</v>
      </c>
      <c r="P110" s="2"/>
      <c r="Q110" s="2"/>
      <c r="R110" s="2"/>
    </row>
    <row r="111" spans="2:18" s="5" customFormat="1" ht="15" customHeight="1" x14ac:dyDescent="0.45">
      <c r="B111" s="142"/>
      <c r="C111" s="141"/>
      <c r="D111" s="17" t="s">
        <v>53</v>
      </c>
      <c r="E111" s="18">
        <f t="shared" ref="E111:N111" si="59">E$28*$D94</f>
        <v>5.5357142857142862E-3</v>
      </c>
      <c r="F111" s="18">
        <f t="shared" si="59"/>
        <v>1.0561224489795918E-2</v>
      </c>
      <c r="G111" s="18">
        <f t="shared" si="59"/>
        <v>1.5222303206997084E-2</v>
      </c>
      <c r="H111" s="18">
        <f t="shared" si="59"/>
        <v>1.962307371928363E-2</v>
      </c>
      <c r="I111" s="18">
        <f t="shared" si="59"/>
        <v>2.3837909799488306E-2</v>
      </c>
      <c r="J111" s="18">
        <f t="shared" si="59"/>
        <v>2.7919935571063075E-2</v>
      </c>
      <c r="K111" s="18">
        <f t="shared" si="59"/>
        <v>3.1907096836473622E-2</v>
      </c>
      <c r="L111" s="18">
        <f t="shared" si="59"/>
        <v>3.5826497740338303E-2</v>
      </c>
      <c r="M111" s="18">
        <f t="shared" si="59"/>
        <v>3.9697498385955932E-2</v>
      </c>
      <c r="N111" s="18">
        <f t="shared" si="59"/>
        <v>4.3533927418539953E-2</v>
      </c>
      <c r="P111" s="2"/>
      <c r="Q111" s="2"/>
      <c r="R111" s="2"/>
    </row>
    <row r="112" spans="2:18" s="5" customFormat="1" ht="15" customHeight="1" x14ac:dyDescent="0.45">
      <c r="B112" s="142"/>
      <c r="C112" s="142"/>
      <c r="D112" s="21" t="s">
        <v>57</v>
      </c>
      <c r="E112" s="22">
        <f t="shared" ref="E112:N112" si="60">10*E109</f>
        <v>5.5357142857142862E-2</v>
      </c>
      <c r="F112" s="22">
        <f t="shared" si="60"/>
        <v>5.0255102040816318E-2</v>
      </c>
      <c r="G112" s="22">
        <f t="shared" si="60"/>
        <v>4.6610787172011656E-2</v>
      </c>
      <c r="H112" s="22">
        <f t="shared" si="60"/>
        <v>4.4007705122865476E-2</v>
      </c>
      <c r="I112" s="22">
        <f t="shared" si="60"/>
        <v>4.2148360802046765E-2</v>
      </c>
      <c r="J112" s="22">
        <f t="shared" si="60"/>
        <v>4.0820257715747689E-2</v>
      </c>
      <c r="K112" s="22">
        <f t="shared" si="60"/>
        <v>3.9871612654105493E-2</v>
      </c>
      <c r="L112" s="22">
        <f t="shared" si="60"/>
        <v>3.9194009038646775E-2</v>
      </c>
      <c r="M112" s="22">
        <f t="shared" si="60"/>
        <v>3.8710006456176269E-2</v>
      </c>
      <c r="N112" s="22">
        <f t="shared" si="60"/>
        <v>3.8364290325840197E-2</v>
      </c>
      <c r="P112" s="2"/>
      <c r="Q112" s="2"/>
      <c r="R112" s="2"/>
    </row>
    <row r="113" spans="2:18" s="5" customFormat="1" ht="15" customHeight="1" x14ac:dyDescent="0.45">
      <c r="B113" s="142"/>
      <c r="C113" s="142"/>
      <c r="D113" s="21" t="s">
        <v>58</v>
      </c>
      <c r="E113" s="22">
        <f>10*E111</f>
        <v>5.5357142857142862E-2</v>
      </c>
      <c r="F113" s="22">
        <f t="shared" ref="F113:N113" si="61">10*F111</f>
        <v>0.10561224489795919</v>
      </c>
      <c r="G113" s="22">
        <f t="shared" si="61"/>
        <v>0.15222303206997084</v>
      </c>
      <c r="H113" s="22">
        <f t="shared" si="61"/>
        <v>0.19623073719283629</v>
      </c>
      <c r="I113" s="22">
        <f t="shared" si="61"/>
        <v>0.23837909799488305</v>
      </c>
      <c r="J113" s="22">
        <f t="shared" si="61"/>
        <v>0.27919935571063076</v>
      </c>
      <c r="K113" s="22">
        <f t="shared" si="61"/>
        <v>0.31907096836473625</v>
      </c>
      <c r="L113" s="22">
        <f t="shared" si="61"/>
        <v>0.35826497740338303</v>
      </c>
      <c r="M113" s="22">
        <f t="shared" si="61"/>
        <v>0.39697498385955932</v>
      </c>
      <c r="N113" s="22">
        <f t="shared" si="61"/>
        <v>0.43533927418539953</v>
      </c>
      <c r="P113" s="2"/>
      <c r="Q113" s="2"/>
      <c r="R113" s="2"/>
    </row>
    <row r="114" spans="2:18" s="5" customFormat="1" ht="15" customHeight="1" x14ac:dyDescent="0.45">
      <c r="B114" s="142"/>
      <c r="C114" s="143" t="s">
        <v>45</v>
      </c>
      <c r="D114" s="17" t="s">
        <v>55</v>
      </c>
      <c r="E114" s="18">
        <f t="shared" ref="E114:N114" si="62">E109*E$16/$E$4</f>
        <v>7.7500000000000008E-3</v>
      </c>
      <c r="F114" s="18">
        <f t="shared" si="62"/>
        <v>9.8499999999999994E-3</v>
      </c>
      <c r="G114" s="18">
        <f t="shared" si="62"/>
        <v>1.2789999999999998E-2</v>
      </c>
      <c r="H114" s="18">
        <f t="shared" si="62"/>
        <v>1.6906000000000001E-2</v>
      </c>
      <c r="I114" s="18">
        <f t="shared" si="62"/>
        <v>2.2668400000000002E-2</v>
      </c>
      <c r="J114" s="18">
        <f t="shared" si="62"/>
        <v>3.0735760000000001E-2</v>
      </c>
      <c r="K114" s="18">
        <f t="shared" si="62"/>
        <v>4.2030063999999992E-2</v>
      </c>
      <c r="L114" s="18">
        <f t="shared" si="62"/>
        <v>5.78420896E-2</v>
      </c>
      <c r="M114" s="18">
        <f t="shared" si="62"/>
        <v>7.9978925440000001E-2</v>
      </c>
      <c r="N114" s="18">
        <f t="shared" si="62"/>
        <v>0.110970495616</v>
      </c>
      <c r="P114" s="2"/>
      <c r="Q114" s="2"/>
      <c r="R114" s="2"/>
    </row>
    <row r="115" spans="2:18" s="5" customFormat="1" ht="15" customHeight="1" x14ac:dyDescent="0.45">
      <c r="B115" s="142"/>
      <c r="C115" s="141"/>
      <c r="D115" s="17" t="s">
        <v>56</v>
      </c>
      <c r="E115" s="18"/>
      <c r="F115" s="18"/>
      <c r="G115" s="18"/>
      <c r="H115" s="18"/>
      <c r="I115" s="19">
        <f>SUM(E114:I114)/5</f>
        <v>1.3992880000000003E-2</v>
      </c>
      <c r="J115" s="19"/>
      <c r="K115" s="19"/>
      <c r="L115" s="19"/>
      <c r="M115" s="19"/>
      <c r="N115" s="19">
        <f>SUM(E114:N114)/10</f>
        <v>3.9152173465600001E-2</v>
      </c>
      <c r="P115" s="2"/>
      <c r="Q115" s="2"/>
      <c r="R115" s="2"/>
    </row>
    <row r="116" spans="2:18" s="5" customFormat="1" ht="15" customHeight="1" x14ac:dyDescent="0.45">
      <c r="B116" s="142"/>
      <c r="C116" s="142"/>
      <c r="D116" s="21" t="s">
        <v>57</v>
      </c>
      <c r="E116" s="25">
        <f t="shared" ref="E116:N116" si="63">E112*E$16</f>
        <v>7750.0000000000009</v>
      </c>
      <c r="F116" s="25">
        <f t="shared" si="63"/>
        <v>9849.9999999999982</v>
      </c>
      <c r="G116" s="25">
        <f t="shared" si="63"/>
        <v>12789.999999999998</v>
      </c>
      <c r="H116" s="25">
        <f t="shared" si="63"/>
        <v>16906</v>
      </c>
      <c r="I116" s="25">
        <f t="shared" si="63"/>
        <v>22668.399999999998</v>
      </c>
      <c r="J116" s="25">
        <f t="shared" si="63"/>
        <v>30735.759999999998</v>
      </c>
      <c r="K116" s="25">
        <f t="shared" si="63"/>
        <v>42030.063999999998</v>
      </c>
      <c r="L116" s="25">
        <f t="shared" si="63"/>
        <v>57842.089599999992</v>
      </c>
      <c r="M116" s="25">
        <f t="shared" si="63"/>
        <v>79978.925439999992</v>
      </c>
      <c r="N116" s="25">
        <f t="shared" si="63"/>
        <v>110970.49561600001</v>
      </c>
      <c r="P116" s="2"/>
      <c r="Q116" s="2"/>
      <c r="R116" s="2"/>
    </row>
    <row r="117" spans="2:18" s="5" customFormat="1" ht="15" customHeight="1" x14ac:dyDescent="0.45">
      <c r="B117" s="142"/>
      <c r="C117" s="142"/>
      <c r="D117" s="21" t="s">
        <v>59</v>
      </c>
      <c r="E117" s="26"/>
      <c r="F117" s="26"/>
      <c r="G117" s="26"/>
      <c r="H117" s="26"/>
      <c r="I117" s="25">
        <f>SUM(E116:I116)/5</f>
        <v>13992.88</v>
      </c>
      <c r="J117" s="25"/>
      <c r="K117" s="25"/>
      <c r="L117" s="25"/>
      <c r="M117" s="25"/>
      <c r="N117" s="25">
        <f>SUM(E116:N116)/10</f>
        <v>39152.173465600004</v>
      </c>
      <c r="P117" s="2"/>
      <c r="Q117" s="2"/>
      <c r="R117" s="2"/>
    </row>
    <row r="118" spans="2:18" s="5" customFormat="1" ht="15" customHeight="1" x14ac:dyDescent="0.45">
      <c r="B118" s="142"/>
      <c r="C118" s="142"/>
      <c r="D118" s="21" t="s">
        <v>58</v>
      </c>
      <c r="E118" s="26">
        <f>E116</f>
        <v>7750.0000000000009</v>
      </c>
      <c r="F118" s="26">
        <f t="shared" ref="F118:N118" si="64">E118+F116</f>
        <v>17600</v>
      </c>
      <c r="G118" s="26">
        <f t="shared" si="64"/>
        <v>30390</v>
      </c>
      <c r="H118" s="26">
        <f t="shared" si="64"/>
        <v>47296</v>
      </c>
      <c r="I118" s="26">
        <f t="shared" si="64"/>
        <v>69964.399999999994</v>
      </c>
      <c r="J118" s="26">
        <f t="shared" si="64"/>
        <v>100700.15999999999</v>
      </c>
      <c r="K118" s="26">
        <f t="shared" si="64"/>
        <v>142730.22399999999</v>
      </c>
      <c r="L118" s="26">
        <f t="shared" si="64"/>
        <v>200572.31359999999</v>
      </c>
      <c r="M118" s="26">
        <f t="shared" si="64"/>
        <v>280551.23904000001</v>
      </c>
      <c r="N118" s="26">
        <f t="shared" si="64"/>
        <v>391521.73465600004</v>
      </c>
      <c r="P118" s="2"/>
      <c r="Q118" s="2"/>
      <c r="R118" s="2"/>
    </row>
    <row r="119" spans="2:18" s="5" customFormat="1" ht="15" customHeight="1" x14ac:dyDescent="0.45">
      <c r="B119" s="142"/>
      <c r="C119" s="143" t="s">
        <v>44</v>
      </c>
      <c r="D119" s="17" t="s">
        <v>55</v>
      </c>
      <c r="E119" s="18">
        <f>E111*E$16/$E$4</f>
        <v>7.7500000000000008E-3</v>
      </c>
      <c r="F119" s="18">
        <f>F111*F$16/$E$4-E119</f>
        <v>1.295E-2</v>
      </c>
      <c r="G119" s="18">
        <f>G111*G$16/$E$4-F119-E119</f>
        <v>2.1070000000000002E-2</v>
      </c>
      <c r="H119" s="18">
        <f>H111*H$16/$E$4-G119-F119-E119</f>
        <v>3.3613999999999984E-2</v>
      </c>
      <c r="I119" s="18">
        <f>I111*I$16/$E$4-H119-G119-F119-E119</f>
        <v>5.2822000000000001E-2</v>
      </c>
      <c r="J119" s="18">
        <f>J111*J$16/$E$4-I119-H119-G119-F119-E119</f>
        <v>8.2018159999999965E-2</v>
      </c>
      <c r="K119" s="18">
        <f>K111*K$16/$E$4-J119-I119-H119-G119-F119-E119</f>
        <v>0.12611972799999999</v>
      </c>
      <c r="L119" s="18">
        <f>L111*L$16/$E$4-K119-J119-I119-H119-G119-F119-E119</f>
        <v>0.19237964480000017</v>
      </c>
      <c r="M119" s="18">
        <f>M111*M$16/$E$4-L119-K119-J119-I119-H119-G119-F119-E119</f>
        <v>0.2914683385600001</v>
      </c>
      <c r="N119" s="18">
        <f>N111*N$16/$E$4-M119-L119-K119-J119-I119-H119-G119-F119-E119</f>
        <v>0.43904724416000013</v>
      </c>
      <c r="P119" s="2"/>
      <c r="Q119" s="2"/>
      <c r="R119" s="2"/>
    </row>
    <row r="120" spans="2:18" s="5" customFormat="1" ht="15" customHeight="1" x14ac:dyDescent="0.45">
      <c r="B120" s="142"/>
      <c r="C120" s="141"/>
      <c r="D120" s="17" t="s">
        <v>56</v>
      </c>
      <c r="E120" s="19"/>
      <c r="F120" s="19"/>
      <c r="G120" s="19"/>
      <c r="H120" s="19"/>
      <c r="I120" s="19">
        <f>SUM(E119:I119)/5</f>
        <v>2.5641199999999996E-2</v>
      </c>
      <c r="J120" s="19"/>
      <c r="K120" s="19"/>
      <c r="L120" s="19"/>
      <c r="M120" s="19"/>
      <c r="N120" s="19">
        <f>SUM(E119:N119)/10</f>
        <v>0.12592391155200003</v>
      </c>
      <c r="P120" s="2"/>
      <c r="Q120" s="2"/>
      <c r="R120" s="2"/>
    </row>
    <row r="121" spans="2:18" s="5" customFormat="1" ht="15" customHeight="1" x14ac:dyDescent="0.45">
      <c r="B121" s="142"/>
      <c r="C121" s="142"/>
      <c r="D121" s="21" t="s">
        <v>57</v>
      </c>
      <c r="E121" s="25">
        <f>E123</f>
        <v>7750.0000000000009</v>
      </c>
      <c r="F121" s="25">
        <f>F123-E123</f>
        <v>12950</v>
      </c>
      <c r="G121" s="25">
        <f>G123-F123</f>
        <v>21070</v>
      </c>
      <c r="H121" s="25">
        <f t="shared" ref="H121:N121" si="65">H123-G123</f>
        <v>33613.999999999985</v>
      </c>
      <c r="I121" s="25">
        <f t="shared" si="65"/>
        <v>52822</v>
      </c>
      <c r="J121" s="25">
        <f t="shared" si="65"/>
        <v>82018.159999999989</v>
      </c>
      <c r="K121" s="25">
        <f t="shared" si="65"/>
        <v>126119.728</v>
      </c>
      <c r="L121" s="25">
        <f t="shared" si="65"/>
        <v>192379.64480000007</v>
      </c>
      <c r="M121" s="25">
        <f t="shared" si="65"/>
        <v>291468.33855999995</v>
      </c>
      <c r="N121" s="25">
        <f t="shared" si="65"/>
        <v>439047.24416000023</v>
      </c>
      <c r="P121" s="2"/>
      <c r="Q121" s="2"/>
      <c r="R121" s="2"/>
    </row>
    <row r="122" spans="2:18" s="5" customFormat="1" ht="15" customHeight="1" x14ac:dyDescent="0.45">
      <c r="B122" s="142"/>
      <c r="C122" s="142"/>
      <c r="D122" s="21" t="s">
        <v>59</v>
      </c>
      <c r="E122" s="25"/>
      <c r="F122" s="25"/>
      <c r="G122" s="25"/>
      <c r="H122" s="25"/>
      <c r="I122" s="25">
        <f>SUM(E121:I121)/5</f>
        <v>25641.199999999997</v>
      </c>
      <c r="J122" s="25"/>
      <c r="K122" s="25"/>
      <c r="L122" s="25"/>
      <c r="M122" s="25"/>
      <c r="N122" s="25">
        <f>SUM(E121:N121)/10</f>
        <v>125923.91155200002</v>
      </c>
      <c r="P122" s="2"/>
      <c r="Q122" s="2"/>
      <c r="R122" s="2"/>
    </row>
    <row r="123" spans="2:18" s="5" customFormat="1" ht="15" customHeight="1" x14ac:dyDescent="0.45">
      <c r="B123" s="142"/>
      <c r="C123" s="142"/>
      <c r="D123" s="21" t="s">
        <v>58</v>
      </c>
      <c r="E123" s="26">
        <f t="shared" ref="E123:N123" si="66">E113*E$16</f>
        <v>7750.0000000000009</v>
      </c>
      <c r="F123" s="26">
        <f t="shared" si="66"/>
        <v>20700</v>
      </c>
      <c r="G123" s="26">
        <f t="shared" si="66"/>
        <v>41770</v>
      </c>
      <c r="H123" s="26">
        <f t="shared" si="66"/>
        <v>75383.999999999985</v>
      </c>
      <c r="I123" s="26">
        <f t="shared" si="66"/>
        <v>128205.99999999999</v>
      </c>
      <c r="J123" s="26">
        <f t="shared" si="66"/>
        <v>210224.15999999997</v>
      </c>
      <c r="K123" s="26">
        <f t="shared" si="66"/>
        <v>336343.88799999998</v>
      </c>
      <c r="L123" s="26">
        <f t="shared" si="66"/>
        <v>528723.53280000004</v>
      </c>
      <c r="M123" s="26">
        <f t="shared" si="66"/>
        <v>820191.87135999999</v>
      </c>
      <c r="N123" s="26">
        <f t="shared" si="66"/>
        <v>1259239.1155200002</v>
      </c>
      <c r="P123" s="2"/>
      <c r="Q123" s="2"/>
      <c r="R123" s="2"/>
    </row>
    <row r="124" spans="2:18" ht="15" customHeight="1" x14ac:dyDescent="0.45">
      <c r="B124" s="135" t="s">
        <v>71</v>
      </c>
      <c r="C124" s="141" t="s">
        <v>41</v>
      </c>
      <c r="D124" s="17" t="s">
        <v>55</v>
      </c>
      <c r="E124" s="18">
        <f>E129*$E$4/E$16</f>
        <v>2.6785714285714284E-2</v>
      </c>
      <c r="F124" s="18">
        <f t="shared" ref="F124:N124" si="67">F129*$E$4/F$16</f>
        <v>1.913265306122449E-2</v>
      </c>
      <c r="G124" s="18">
        <f t="shared" si="67"/>
        <v>1.3666180758017493E-2</v>
      </c>
      <c r="H124" s="18">
        <f t="shared" si="67"/>
        <v>9.7615576842982089E-3</v>
      </c>
      <c r="I124" s="18">
        <f t="shared" si="67"/>
        <v>6.9725412030701497E-3</v>
      </c>
      <c r="J124" s="18">
        <f t="shared" si="67"/>
        <v>4.9803865736215355E-3</v>
      </c>
      <c r="K124" s="18">
        <f t="shared" si="67"/>
        <v>3.5574189811582394E-3</v>
      </c>
      <c r="L124" s="18">
        <f t="shared" si="67"/>
        <v>2.5410135579701709E-3</v>
      </c>
      <c r="M124" s="18">
        <f t="shared" si="67"/>
        <v>1.8150096842644077E-3</v>
      </c>
      <c r="N124" s="18">
        <f t="shared" si="67"/>
        <v>1.2964354887602912E-3</v>
      </c>
    </row>
    <row r="125" spans="2:18" ht="15" customHeight="1" x14ac:dyDescent="0.45">
      <c r="B125" s="136"/>
      <c r="C125" s="141"/>
      <c r="D125" s="17" t="s">
        <v>56</v>
      </c>
      <c r="E125" s="18"/>
      <c r="F125" s="18"/>
      <c r="G125" s="18"/>
      <c r="H125" s="18"/>
      <c r="I125" s="101">
        <f>SUM(E124:I124)/5</f>
        <v>1.5263729398464926E-2</v>
      </c>
      <c r="J125" s="18"/>
      <c r="K125" s="18"/>
      <c r="L125" s="18"/>
      <c r="M125" s="18"/>
      <c r="N125" s="19">
        <f>SUM(E124:N124)/10</f>
        <v>9.0508911278099277E-3</v>
      </c>
    </row>
    <row r="126" spans="2:18" ht="15" customHeight="1" x14ac:dyDescent="0.45">
      <c r="B126" s="136"/>
      <c r="C126" s="141"/>
      <c r="D126" s="17" t="s">
        <v>53</v>
      </c>
      <c r="E126" s="18">
        <f t="shared" ref="E126:N126" si="68">E$18*(E124/E$20)</f>
        <v>2.6785714285714284E-2</v>
      </c>
      <c r="F126" s="18">
        <f t="shared" si="68"/>
        <v>4.5918367346938771E-2</v>
      </c>
      <c r="G126" s="18">
        <f t="shared" si="68"/>
        <v>5.9584548104956253E-2</v>
      </c>
      <c r="H126" s="18">
        <f t="shared" si="68"/>
        <v>6.93461057892545E-2</v>
      </c>
      <c r="I126" s="18">
        <f t="shared" si="68"/>
        <v>7.6318646992324629E-2</v>
      </c>
      <c r="J126" s="18">
        <f t="shared" si="68"/>
        <v>8.1299033565946158E-2</v>
      </c>
      <c r="K126" s="18">
        <f t="shared" si="68"/>
        <v>8.4856452547104361E-2</v>
      </c>
      <c r="L126" s="18">
        <f t="shared" si="68"/>
        <v>8.7397466105074428E-2</v>
      </c>
      <c r="M126" s="18">
        <f t="shared" si="68"/>
        <v>8.9212475789339121E-2</v>
      </c>
      <c r="N126" s="18">
        <f t="shared" si="68"/>
        <v>9.0508911278099513E-2</v>
      </c>
    </row>
    <row r="127" spans="2:18" ht="15" customHeight="1" x14ac:dyDescent="0.45">
      <c r="B127" s="136"/>
      <c r="C127" s="142"/>
      <c r="D127" s="21" t="s">
        <v>57</v>
      </c>
      <c r="E127" s="22">
        <f>10*E124</f>
        <v>0.26785714285714285</v>
      </c>
      <c r="F127" s="22">
        <f t="shared" ref="F127:N127" si="69">10*F124</f>
        <v>0.19132653061224492</v>
      </c>
      <c r="G127" s="22">
        <f t="shared" si="69"/>
        <v>0.13666180758017493</v>
      </c>
      <c r="H127" s="22">
        <f t="shared" si="69"/>
        <v>9.7615576842982082E-2</v>
      </c>
      <c r="I127" s="22">
        <f t="shared" si="69"/>
        <v>6.9725412030701497E-2</v>
      </c>
      <c r="J127" s="22">
        <f t="shared" si="69"/>
        <v>4.9803865736215355E-2</v>
      </c>
      <c r="K127" s="22">
        <f t="shared" si="69"/>
        <v>3.5574189811582391E-2</v>
      </c>
      <c r="L127" s="22">
        <f t="shared" si="69"/>
        <v>2.5410135579701711E-2</v>
      </c>
      <c r="M127" s="22">
        <f t="shared" si="69"/>
        <v>1.8150096842644077E-2</v>
      </c>
      <c r="N127" s="22">
        <f t="shared" si="69"/>
        <v>1.2964354887602912E-2</v>
      </c>
      <c r="R127" s="13"/>
    </row>
    <row r="128" spans="2:18" ht="15" customHeight="1" x14ac:dyDescent="0.45">
      <c r="B128" s="136"/>
      <c r="C128" s="142"/>
      <c r="D128" s="21" t="s">
        <v>58</v>
      </c>
      <c r="E128" s="22">
        <f>10*E126</f>
        <v>0.26785714285714285</v>
      </c>
      <c r="F128" s="22">
        <f>10*F126</f>
        <v>0.45918367346938771</v>
      </c>
      <c r="G128" s="22">
        <f>10*G126</f>
        <v>0.59584548104956259</v>
      </c>
      <c r="H128" s="22">
        <f t="shared" ref="H128:N128" si="70">10*H126</f>
        <v>0.69346105789254497</v>
      </c>
      <c r="I128" s="22">
        <f t="shared" si="70"/>
        <v>0.76318646992324624</v>
      </c>
      <c r="J128" s="22">
        <f t="shared" si="70"/>
        <v>0.81299033565946155</v>
      </c>
      <c r="K128" s="22">
        <f t="shared" si="70"/>
        <v>0.84856452547104366</v>
      </c>
      <c r="L128" s="22">
        <f t="shared" si="70"/>
        <v>0.87397466105074428</v>
      </c>
      <c r="M128" s="22">
        <f t="shared" si="70"/>
        <v>0.89212475789339118</v>
      </c>
      <c r="N128" s="22">
        <f t="shared" si="70"/>
        <v>0.90508911278099513</v>
      </c>
      <c r="R128" s="13"/>
    </row>
    <row r="129" spans="2:18" ht="15" customHeight="1" x14ac:dyDescent="0.45">
      <c r="B129" s="136"/>
      <c r="C129" s="143" t="s">
        <v>45</v>
      </c>
      <c r="D129" s="17" t="s">
        <v>55</v>
      </c>
      <c r="E129" s="18">
        <f>$E$11*$E$12</f>
        <v>3.7499999999999999E-2</v>
      </c>
      <c r="F129" s="18">
        <f t="shared" ref="F129:N129" si="71">$E$11*$E$12</f>
        <v>3.7499999999999999E-2</v>
      </c>
      <c r="G129" s="18">
        <f t="shared" si="71"/>
        <v>3.7499999999999999E-2</v>
      </c>
      <c r="H129" s="18">
        <f t="shared" si="71"/>
        <v>3.7499999999999999E-2</v>
      </c>
      <c r="I129" s="18">
        <f t="shared" si="71"/>
        <v>3.7499999999999999E-2</v>
      </c>
      <c r="J129" s="18">
        <f t="shared" si="71"/>
        <v>3.7499999999999999E-2</v>
      </c>
      <c r="K129" s="18">
        <f t="shared" si="71"/>
        <v>3.7499999999999999E-2</v>
      </c>
      <c r="L129" s="18">
        <f t="shared" si="71"/>
        <v>3.7499999999999999E-2</v>
      </c>
      <c r="M129" s="18">
        <f t="shared" si="71"/>
        <v>3.7499999999999999E-2</v>
      </c>
      <c r="N129" s="18">
        <f t="shared" si="71"/>
        <v>3.7499999999999999E-2</v>
      </c>
    </row>
    <row r="130" spans="2:18" ht="15" customHeight="1" x14ac:dyDescent="0.45">
      <c r="B130" s="136"/>
      <c r="C130" s="142"/>
      <c r="D130" s="21" t="s">
        <v>57</v>
      </c>
      <c r="E130" s="23">
        <f>E127*E$16</f>
        <v>37500</v>
      </c>
      <c r="F130" s="23">
        <f t="shared" ref="F130:N130" si="72">F127*F$16</f>
        <v>37500</v>
      </c>
      <c r="G130" s="23">
        <f t="shared" si="72"/>
        <v>37500</v>
      </c>
      <c r="H130" s="23">
        <f t="shared" si="72"/>
        <v>37500</v>
      </c>
      <c r="I130" s="23">
        <f t="shared" si="72"/>
        <v>37500</v>
      </c>
      <c r="J130" s="23">
        <f t="shared" si="72"/>
        <v>37500</v>
      </c>
      <c r="K130" s="23">
        <f t="shared" si="72"/>
        <v>37500</v>
      </c>
      <c r="L130" s="23">
        <f t="shared" si="72"/>
        <v>37500</v>
      </c>
      <c r="M130" s="23">
        <f t="shared" si="72"/>
        <v>37500</v>
      </c>
      <c r="N130" s="23">
        <f t="shared" si="72"/>
        <v>37500</v>
      </c>
    </row>
    <row r="131" spans="2:18" ht="15" customHeight="1" x14ac:dyDescent="0.45">
      <c r="B131" s="136"/>
      <c r="C131" s="142"/>
      <c r="D131" s="21" t="s">
        <v>58</v>
      </c>
      <c r="E131" s="23">
        <f>E130</f>
        <v>37500</v>
      </c>
      <c r="F131" s="23">
        <f>E131+F130</f>
        <v>75000</v>
      </c>
      <c r="G131" s="23">
        <f t="shared" ref="G131:N131" si="73">F131+G130</f>
        <v>112500</v>
      </c>
      <c r="H131" s="23">
        <f t="shared" si="73"/>
        <v>150000</v>
      </c>
      <c r="I131" s="23">
        <f t="shared" si="73"/>
        <v>187500</v>
      </c>
      <c r="J131" s="23">
        <f t="shared" si="73"/>
        <v>225000</v>
      </c>
      <c r="K131" s="23">
        <f t="shared" si="73"/>
        <v>262500</v>
      </c>
      <c r="L131" s="23">
        <f t="shared" si="73"/>
        <v>300000</v>
      </c>
      <c r="M131" s="23">
        <f t="shared" si="73"/>
        <v>337500</v>
      </c>
      <c r="N131" s="23">
        <f t="shared" si="73"/>
        <v>375000</v>
      </c>
    </row>
    <row r="132" spans="2:18" ht="15" customHeight="1" x14ac:dyDescent="0.45">
      <c r="B132" s="136"/>
      <c r="C132" s="143" t="s">
        <v>44</v>
      </c>
      <c r="D132" s="17" t="s">
        <v>55</v>
      </c>
      <c r="E132" s="18">
        <f>E126*E$16/$E$4</f>
        <v>3.7499999999999999E-2</v>
      </c>
      <c r="F132" s="18">
        <f>F126*F$16/$E$4-E132</f>
        <v>5.2499999999999998E-2</v>
      </c>
      <c r="G132" s="18">
        <f>G126*G$16/$E$4-F132-E132</f>
        <v>7.3499999999999954E-2</v>
      </c>
      <c r="H132" s="18">
        <f>H126*H$16/$E$4-G132-F132-E132</f>
        <v>0.10290000000000013</v>
      </c>
      <c r="I132" s="18">
        <f>I126*I$16/$E$4-H132-G132-F132-E132</f>
        <v>0.14405999999999988</v>
      </c>
      <c r="J132" s="18">
        <f>J126*J$16/$E$4-I132-H132-G132-F132-E132</f>
        <v>0.201684</v>
      </c>
      <c r="K132" s="18">
        <f>K126*K$16/$E$4-J132-I132-H132-G132-F132-E132</f>
        <v>0.28235759999999971</v>
      </c>
      <c r="L132" s="18">
        <f>L126*L$16/$E$4-K132-J132-I132-H132-G132-F132-E132</f>
        <v>0.39530063999999848</v>
      </c>
      <c r="M132" s="18">
        <f>M126*M$16/$E$4-L132-K132-J132-I132-H132-G132-F132-E132</f>
        <v>0.55342089600000477</v>
      </c>
      <c r="N132" s="18">
        <f>N126*N$16/$E$4-M132-L132-K132-J132-I132-H132-G132-F132-E132</f>
        <v>0.77478925440000423</v>
      </c>
      <c r="R132" s="16"/>
    </row>
    <row r="133" spans="2:18" ht="15" customHeight="1" x14ac:dyDescent="0.45">
      <c r="B133" s="136"/>
      <c r="C133" s="141"/>
      <c r="D133" s="17" t="s">
        <v>56</v>
      </c>
      <c r="E133" s="19"/>
      <c r="F133" s="19"/>
      <c r="G133" s="19"/>
      <c r="H133" s="19"/>
      <c r="I133" s="19">
        <f>SUM(E132:I132)/5</f>
        <v>8.2091999999999984E-2</v>
      </c>
      <c r="J133" s="19"/>
      <c r="K133" s="19"/>
      <c r="L133" s="19"/>
      <c r="M133" s="19"/>
      <c r="N133" s="19">
        <f>SUM(E132:N132)/10</f>
        <v>0.26180123904000074</v>
      </c>
    </row>
    <row r="134" spans="2:18" ht="15" customHeight="1" x14ac:dyDescent="0.45">
      <c r="B134" s="136"/>
      <c r="C134" s="142"/>
      <c r="D134" s="21" t="s">
        <v>57</v>
      </c>
      <c r="E134" s="24">
        <f>E136</f>
        <v>37500</v>
      </c>
      <c r="F134" s="24">
        <f>F136-E136</f>
        <v>52499.999999999985</v>
      </c>
      <c r="G134" s="24">
        <f t="shared" ref="G134:N134" si="74">G136-F136</f>
        <v>73499.999999999985</v>
      </c>
      <c r="H134" s="24">
        <f t="shared" si="74"/>
        <v>102900.00000000009</v>
      </c>
      <c r="I134" s="24">
        <f t="shared" si="74"/>
        <v>144059.99999999994</v>
      </c>
      <c r="J134" s="24">
        <f t="shared" si="74"/>
        <v>201683.99999999988</v>
      </c>
      <c r="K134" s="24">
        <f t="shared" si="74"/>
        <v>282357.59999999974</v>
      </c>
      <c r="L134" s="24">
        <f t="shared" si="74"/>
        <v>395300.63999999827</v>
      </c>
      <c r="M134" s="24">
        <f t="shared" si="74"/>
        <v>553420.89600000507</v>
      </c>
      <c r="N134" s="24">
        <f t="shared" si="74"/>
        <v>774789.2544000044</v>
      </c>
    </row>
    <row r="135" spans="2:18" ht="15" customHeight="1" x14ac:dyDescent="0.45">
      <c r="B135" s="136"/>
      <c r="C135" s="142"/>
      <c r="D135" s="21" t="s">
        <v>59</v>
      </c>
      <c r="E135" s="24"/>
      <c r="F135" s="24"/>
      <c r="G135" s="24"/>
      <c r="H135" s="24"/>
      <c r="I135" s="24">
        <f>SUM(E134:I134)/5</f>
        <v>82092</v>
      </c>
      <c r="J135" s="24"/>
      <c r="K135" s="24"/>
      <c r="L135" s="24"/>
      <c r="M135" s="24"/>
      <c r="N135" s="24">
        <f>SUM(E134:N134)/10</f>
        <v>261801.23904000074</v>
      </c>
    </row>
    <row r="136" spans="2:18" ht="15" customHeight="1" x14ac:dyDescent="0.45">
      <c r="B136" s="137"/>
      <c r="C136" s="142"/>
      <c r="D136" s="21" t="s">
        <v>58</v>
      </c>
      <c r="E136" s="23">
        <f t="shared" ref="E136:N136" si="75">E128*E$16</f>
        <v>37500</v>
      </c>
      <c r="F136" s="23">
        <f t="shared" si="75"/>
        <v>89999.999999999985</v>
      </c>
      <c r="G136" s="23">
        <f t="shared" si="75"/>
        <v>163499.99999999997</v>
      </c>
      <c r="H136" s="23">
        <f t="shared" si="75"/>
        <v>266400.00000000006</v>
      </c>
      <c r="I136" s="23">
        <f t="shared" si="75"/>
        <v>410460</v>
      </c>
      <c r="J136" s="23">
        <f t="shared" si="75"/>
        <v>612143.99999999988</v>
      </c>
      <c r="K136" s="23">
        <f t="shared" si="75"/>
        <v>894501.59999999963</v>
      </c>
      <c r="L136" s="23">
        <f t="shared" si="75"/>
        <v>1289802.2399999979</v>
      </c>
      <c r="M136" s="23">
        <f t="shared" si="75"/>
        <v>1843223.136000003</v>
      </c>
      <c r="N136" s="23">
        <f t="shared" si="75"/>
        <v>2618012.3904000074</v>
      </c>
    </row>
    <row r="137" spans="2:18" s="5" customFormat="1" ht="15" customHeight="1" x14ac:dyDescent="0.45">
      <c r="B137" s="142" t="s">
        <v>18</v>
      </c>
      <c r="C137" s="141" t="s">
        <v>41</v>
      </c>
      <c r="D137" s="17" t="s">
        <v>55</v>
      </c>
      <c r="E137" s="18">
        <f>E96+E109+E124</f>
        <v>0.13946428571428571</v>
      </c>
      <c r="F137" s="18">
        <f t="shared" ref="F137:N137" si="76">F96+F109+F124</f>
        <v>0.10068877551020408</v>
      </c>
      <c r="G137" s="18">
        <f t="shared" si="76"/>
        <v>7.2991982507288639E-2</v>
      </c>
      <c r="H137" s="18">
        <f t="shared" si="76"/>
        <v>5.3208558933777572E-2</v>
      </c>
      <c r="I137" s="18">
        <f t="shared" si="76"/>
        <v>3.9077542095555425E-2</v>
      </c>
      <c r="J137" s="18">
        <f t="shared" si="76"/>
        <v>2.8983958639682447E-2</v>
      </c>
      <c r="K137" s="18">
        <f t="shared" si="76"/>
        <v>2.1774256171201753E-2</v>
      </c>
      <c r="L137" s="18">
        <f t="shared" si="76"/>
        <v>1.662446869371555E-2</v>
      </c>
      <c r="M137" s="18">
        <f t="shared" si="76"/>
        <v>1.2946049066939655E-2</v>
      </c>
      <c r="N137" s="18">
        <f t="shared" si="76"/>
        <v>1.0318606476385462E-2</v>
      </c>
      <c r="P137" s="2"/>
      <c r="Q137" s="2"/>
      <c r="R137" s="2"/>
    </row>
    <row r="138" spans="2:18" s="5" customFormat="1" ht="15" customHeight="1" x14ac:dyDescent="0.45">
      <c r="B138" s="142"/>
      <c r="C138" s="141"/>
      <c r="D138" s="17" t="s">
        <v>56</v>
      </c>
      <c r="E138" s="18"/>
      <c r="F138" s="18"/>
      <c r="G138" s="18"/>
      <c r="H138" s="18"/>
      <c r="I138" s="44">
        <f>SUM(E137:I137)/5</f>
        <v>8.1086228952222283E-2</v>
      </c>
      <c r="J138" s="18"/>
      <c r="K138" s="18"/>
      <c r="L138" s="18"/>
      <c r="M138" s="18"/>
      <c r="N138" s="19">
        <f>SUM(E137:N137)/10</f>
        <v>4.9607848380903624E-2</v>
      </c>
      <c r="P138" s="2"/>
      <c r="Q138" s="2"/>
      <c r="R138" s="2"/>
    </row>
    <row r="139" spans="2:18" ht="15" customHeight="1" x14ac:dyDescent="0.45">
      <c r="B139" s="142"/>
      <c r="C139" s="141"/>
      <c r="D139" s="17" t="s">
        <v>53</v>
      </c>
      <c r="E139" s="18">
        <f>E98+E111</f>
        <v>0.11267857142857142</v>
      </c>
      <c r="F139" s="18">
        <f t="shared" ref="F139:N139" si="77">F98+F111</f>
        <v>0.19423469387755099</v>
      </c>
      <c r="G139" s="18">
        <f t="shared" si="77"/>
        <v>0.25356049562682215</v>
      </c>
      <c r="H139" s="18">
        <f t="shared" si="77"/>
        <v>0.29700749687630151</v>
      </c>
      <c r="I139" s="18">
        <f t="shared" si="77"/>
        <v>0.32911249776878682</v>
      </c>
      <c r="J139" s="18">
        <f t="shared" si="77"/>
        <v>0.35311606983484772</v>
      </c>
      <c r="K139" s="18">
        <f t="shared" si="77"/>
        <v>0.37133290702489125</v>
      </c>
      <c r="L139" s="18">
        <f t="shared" si="77"/>
        <v>0.38541636216063663</v>
      </c>
      <c r="M139" s="18">
        <f t="shared" si="77"/>
        <v>0.39654740154331186</v>
      </c>
      <c r="N139" s="18">
        <f t="shared" si="77"/>
        <v>0.40556957253093701</v>
      </c>
    </row>
    <row r="140" spans="2:18" ht="15" customHeight="1" x14ac:dyDescent="0.45">
      <c r="B140" s="142"/>
      <c r="C140" s="142"/>
      <c r="D140" s="21" t="s">
        <v>57</v>
      </c>
      <c r="E140" s="22">
        <f>10*E137</f>
        <v>1.3946428571428571</v>
      </c>
      <c r="F140" s="22">
        <f t="shared" ref="F140:N140" si="78">10*F137</f>
        <v>1.0068877551020408</v>
      </c>
      <c r="G140" s="22">
        <f t="shared" si="78"/>
        <v>0.72991982507288644</v>
      </c>
      <c r="H140" s="22">
        <f t="shared" si="78"/>
        <v>0.53208558933777572</v>
      </c>
      <c r="I140" s="22">
        <f t="shared" si="78"/>
        <v>0.39077542095555423</v>
      </c>
      <c r="J140" s="22">
        <f t="shared" si="78"/>
        <v>0.28983958639682444</v>
      </c>
      <c r="K140" s="22">
        <f t="shared" si="78"/>
        <v>0.21774256171201753</v>
      </c>
      <c r="L140" s="22">
        <f t="shared" si="78"/>
        <v>0.16624468693715549</v>
      </c>
      <c r="M140" s="22">
        <f t="shared" si="78"/>
        <v>0.12946049066939655</v>
      </c>
      <c r="N140" s="22">
        <f t="shared" si="78"/>
        <v>0.10318606476385461</v>
      </c>
    </row>
    <row r="141" spans="2:18" ht="15" customHeight="1" x14ac:dyDescent="0.45">
      <c r="B141" s="142"/>
      <c r="C141" s="142"/>
      <c r="D141" s="21" t="s">
        <v>58</v>
      </c>
      <c r="E141" s="22">
        <f>10*E139</f>
        <v>1.1267857142857143</v>
      </c>
      <c r="F141" s="22">
        <f>10*F139</f>
        <v>1.9423469387755099</v>
      </c>
      <c r="G141" s="22">
        <f>10*G139</f>
        <v>2.5356049562682212</v>
      </c>
      <c r="H141" s="22">
        <f t="shared" ref="H141:N141" si="79">10*H139</f>
        <v>2.970074968763015</v>
      </c>
      <c r="I141" s="22">
        <f t="shared" si="79"/>
        <v>3.2911249776878684</v>
      </c>
      <c r="J141" s="22">
        <f t="shared" si="79"/>
        <v>3.5311606983484771</v>
      </c>
      <c r="K141" s="22">
        <f t="shared" si="79"/>
        <v>3.7133290702489123</v>
      </c>
      <c r="L141" s="22">
        <f t="shared" si="79"/>
        <v>3.8541636216063662</v>
      </c>
      <c r="M141" s="22">
        <f t="shared" si="79"/>
        <v>3.9654740154331187</v>
      </c>
      <c r="N141" s="22">
        <f t="shared" si="79"/>
        <v>4.0556957253093699</v>
      </c>
    </row>
    <row r="142" spans="2:18" ht="15" customHeight="1" x14ac:dyDescent="0.45">
      <c r="B142" s="142"/>
      <c r="C142" s="143" t="s">
        <v>45</v>
      </c>
      <c r="D142" s="17" t="s">
        <v>55</v>
      </c>
      <c r="E142" s="18">
        <f>E101+E114+E129</f>
        <v>0.19525000000000001</v>
      </c>
      <c r="F142" s="18">
        <f t="shared" ref="F142:N142" si="80">F101+F114+F129</f>
        <v>0.19735</v>
      </c>
      <c r="G142" s="18">
        <f t="shared" si="80"/>
        <v>0.20029000000000005</v>
      </c>
      <c r="H142" s="18">
        <f t="shared" si="80"/>
        <v>0.20440599999999995</v>
      </c>
      <c r="I142" s="18">
        <f t="shared" si="80"/>
        <v>0.21016840000000001</v>
      </c>
      <c r="J142" s="18">
        <f t="shared" si="80"/>
        <v>0.21823576</v>
      </c>
      <c r="K142" s="18">
        <f t="shared" si="80"/>
        <v>0.22953006400000006</v>
      </c>
      <c r="L142" s="18">
        <f t="shared" si="80"/>
        <v>0.24534208960000026</v>
      </c>
      <c r="M142" s="18">
        <f t="shared" si="80"/>
        <v>0.26747892543999974</v>
      </c>
      <c r="N142" s="18">
        <f t="shared" si="80"/>
        <v>0.29847049561599959</v>
      </c>
    </row>
    <row r="143" spans="2:18" ht="15" customHeight="1" x14ac:dyDescent="0.45">
      <c r="B143" s="142"/>
      <c r="C143" s="141"/>
      <c r="D143" s="17" t="s">
        <v>56</v>
      </c>
      <c r="E143" s="18"/>
      <c r="F143" s="18"/>
      <c r="G143" s="18"/>
      <c r="H143" s="18"/>
      <c r="I143" s="19">
        <f>SUM(E142:I142)/5</f>
        <v>0.20149287999999999</v>
      </c>
      <c r="J143" s="19"/>
      <c r="K143" s="19"/>
      <c r="L143" s="19"/>
      <c r="M143" s="19"/>
      <c r="N143" s="19">
        <f>SUM(E142:N142)/10</f>
        <v>0.2266521734655999</v>
      </c>
    </row>
    <row r="144" spans="2:18" ht="15" customHeight="1" x14ac:dyDescent="0.45">
      <c r="B144" s="142"/>
      <c r="C144" s="142"/>
      <c r="D144" s="21" t="s">
        <v>57</v>
      </c>
      <c r="E144" s="24">
        <f t="shared" ref="E144:N144" si="81">E140*E$16</f>
        <v>195250</v>
      </c>
      <c r="F144" s="24">
        <f t="shared" si="81"/>
        <v>197350</v>
      </c>
      <c r="G144" s="24">
        <f t="shared" si="81"/>
        <v>200290.00000000003</v>
      </c>
      <c r="H144" s="24">
        <f t="shared" si="81"/>
        <v>204405.99999999991</v>
      </c>
      <c r="I144" s="24">
        <f t="shared" si="81"/>
        <v>210168.4</v>
      </c>
      <c r="J144" s="24">
        <f t="shared" si="81"/>
        <v>218235.75999999998</v>
      </c>
      <c r="K144" s="24">
        <f t="shared" si="81"/>
        <v>229530.06400000007</v>
      </c>
      <c r="L144" s="24">
        <f t="shared" si="81"/>
        <v>245342.08960000027</v>
      </c>
      <c r="M144" s="24">
        <f t="shared" si="81"/>
        <v>267478.92543999979</v>
      </c>
      <c r="N144" s="24">
        <f t="shared" si="81"/>
        <v>298470.49561599962</v>
      </c>
    </row>
    <row r="145" spans="1:18" ht="15" customHeight="1" x14ac:dyDescent="0.45">
      <c r="B145" s="142"/>
      <c r="C145" s="142"/>
      <c r="D145" s="21" t="s">
        <v>59</v>
      </c>
      <c r="E145" s="23"/>
      <c r="F145" s="23"/>
      <c r="G145" s="23"/>
      <c r="H145" s="23"/>
      <c r="I145" s="24">
        <f>SUM(E144:I144)/5</f>
        <v>201492.87999999998</v>
      </c>
      <c r="J145" s="24"/>
      <c r="K145" s="24"/>
      <c r="L145" s="24"/>
      <c r="M145" s="24"/>
      <c r="N145" s="24">
        <f>SUM(E144:N144)/10</f>
        <v>226652.17346559995</v>
      </c>
    </row>
    <row r="146" spans="1:18" ht="15" customHeight="1" x14ac:dyDescent="0.45">
      <c r="B146" s="142"/>
      <c r="C146" s="142"/>
      <c r="D146" s="21" t="s">
        <v>58</v>
      </c>
      <c r="E146" s="23">
        <f>E144</f>
        <v>195250</v>
      </c>
      <c r="F146" s="23">
        <f t="shared" ref="F146:N146" si="82">E146+F144</f>
        <v>392600</v>
      </c>
      <c r="G146" s="23">
        <f t="shared" si="82"/>
        <v>592890</v>
      </c>
      <c r="H146" s="23">
        <f t="shared" si="82"/>
        <v>797295.99999999988</v>
      </c>
      <c r="I146" s="23">
        <f t="shared" si="82"/>
        <v>1007464.3999999999</v>
      </c>
      <c r="J146" s="23">
        <f t="shared" si="82"/>
        <v>1225700.1599999999</v>
      </c>
      <c r="K146" s="23">
        <f t="shared" si="82"/>
        <v>1455230.2239999999</v>
      </c>
      <c r="L146" s="23">
        <f t="shared" si="82"/>
        <v>1700572.3136000002</v>
      </c>
      <c r="M146" s="23">
        <f t="shared" si="82"/>
        <v>1968051.2390399999</v>
      </c>
      <c r="N146" s="23">
        <f t="shared" si="82"/>
        <v>2266521.7346559996</v>
      </c>
    </row>
    <row r="147" spans="1:18" ht="15" customHeight="1" x14ac:dyDescent="0.45">
      <c r="B147" s="142"/>
      <c r="C147" s="143" t="s">
        <v>44</v>
      </c>
      <c r="D147" s="17" t="s">
        <v>55</v>
      </c>
      <c r="E147" s="18">
        <f>E104+E119+E132</f>
        <v>0.19525000000000001</v>
      </c>
      <c r="F147" s="18">
        <f t="shared" ref="F147:N147" si="83">F104+F119+F132</f>
        <v>0.27544999999999997</v>
      </c>
      <c r="G147" s="18">
        <f t="shared" si="83"/>
        <v>0.38856999999999997</v>
      </c>
      <c r="H147" s="18">
        <f t="shared" si="83"/>
        <v>0.54811399999999999</v>
      </c>
      <c r="I147" s="18">
        <f t="shared" si="83"/>
        <v>0.77312200000000009</v>
      </c>
      <c r="J147" s="18">
        <f t="shared" si="83"/>
        <v>1.0904381599999993</v>
      </c>
      <c r="K147" s="18">
        <f t="shared" si="83"/>
        <v>1.537907728</v>
      </c>
      <c r="L147" s="18">
        <f t="shared" si="83"/>
        <v>2.1688828447999993</v>
      </c>
      <c r="M147" s="18">
        <f t="shared" si="83"/>
        <v>3.0585728185600045</v>
      </c>
      <c r="N147" s="18">
        <f t="shared" si="83"/>
        <v>4.3129935161600041</v>
      </c>
    </row>
    <row r="148" spans="1:18" ht="15" customHeight="1" x14ac:dyDescent="0.45">
      <c r="A148" s="9"/>
      <c r="B148" s="142"/>
      <c r="C148" s="141"/>
      <c r="D148" s="17" t="s">
        <v>56</v>
      </c>
      <c r="E148" s="19"/>
      <c r="F148" s="19"/>
      <c r="G148" s="19"/>
      <c r="H148" s="19"/>
      <c r="I148" s="19">
        <f>SUM(E147:I147)/5</f>
        <v>0.43610120000000008</v>
      </c>
      <c r="J148" s="19"/>
      <c r="K148" s="19"/>
      <c r="L148" s="19"/>
      <c r="M148" s="19"/>
      <c r="N148" s="19">
        <f>SUM(E147:N147)/10</f>
        <v>1.4349301067520008</v>
      </c>
      <c r="O148" s="9"/>
    </row>
    <row r="149" spans="1:18" ht="15" customHeight="1" x14ac:dyDescent="0.45">
      <c r="B149" s="142"/>
      <c r="C149" s="142"/>
      <c r="D149" s="21" t="s">
        <v>57</v>
      </c>
      <c r="E149" s="24">
        <f>E151</f>
        <v>157750</v>
      </c>
      <c r="F149" s="24">
        <f>F151-E151</f>
        <v>222949.99999999994</v>
      </c>
      <c r="G149" s="24">
        <f>G151-F151</f>
        <v>315069.99999999994</v>
      </c>
      <c r="H149" s="24">
        <f t="shared" ref="H149:N149" si="84">H151-G151</f>
        <v>445213.99999999988</v>
      </c>
      <c r="I149" s="24">
        <f t="shared" si="84"/>
        <v>629062.00000000047</v>
      </c>
      <c r="J149" s="24">
        <f t="shared" si="84"/>
        <v>888754.15999999945</v>
      </c>
      <c r="K149" s="24">
        <f t="shared" si="84"/>
        <v>1255550.1280000005</v>
      </c>
      <c r="L149" s="24">
        <f t="shared" si="84"/>
        <v>1773582.2048000009</v>
      </c>
      <c r="M149" s="24">
        <f t="shared" si="84"/>
        <v>2505151.9225599999</v>
      </c>
      <c r="N149" s="24">
        <f t="shared" si="84"/>
        <v>3538204.2617599992</v>
      </c>
    </row>
    <row r="150" spans="1:18" ht="15" customHeight="1" x14ac:dyDescent="0.45">
      <c r="B150" s="142"/>
      <c r="C150" s="142"/>
      <c r="D150" s="21" t="s">
        <v>59</v>
      </c>
      <c r="E150" s="24"/>
      <c r="F150" s="24"/>
      <c r="G150" s="24"/>
      <c r="H150" s="24"/>
      <c r="I150" s="24">
        <f>SUM(E149:I149)/5</f>
        <v>354009.20000000007</v>
      </c>
      <c r="J150" s="24"/>
      <c r="K150" s="24"/>
      <c r="L150" s="24"/>
      <c r="M150" s="24"/>
      <c r="N150" s="24">
        <f>SUM(E149:N149)/10</f>
        <v>1173128.8677119999</v>
      </c>
    </row>
    <row r="151" spans="1:18" ht="15" customHeight="1" x14ac:dyDescent="0.45">
      <c r="B151" s="142"/>
      <c r="C151" s="142"/>
      <c r="D151" s="21" t="s">
        <v>58</v>
      </c>
      <c r="E151" s="23">
        <f t="shared" ref="E151:N151" si="85">E141*E$16</f>
        <v>157750</v>
      </c>
      <c r="F151" s="23">
        <f t="shared" si="85"/>
        <v>380699.99999999994</v>
      </c>
      <c r="G151" s="23">
        <f t="shared" si="85"/>
        <v>695769.99999999988</v>
      </c>
      <c r="H151" s="23">
        <f t="shared" si="85"/>
        <v>1140983.9999999998</v>
      </c>
      <c r="I151" s="23">
        <f t="shared" si="85"/>
        <v>1770046.0000000002</v>
      </c>
      <c r="J151" s="23">
        <f t="shared" si="85"/>
        <v>2658800.1599999997</v>
      </c>
      <c r="K151" s="23">
        <f t="shared" si="85"/>
        <v>3914350.2880000002</v>
      </c>
      <c r="L151" s="23">
        <f t="shared" si="85"/>
        <v>5687932.4928000011</v>
      </c>
      <c r="M151" s="23">
        <f t="shared" si="85"/>
        <v>8193084.4153600009</v>
      </c>
      <c r="N151" s="23">
        <f t="shared" si="85"/>
        <v>11731288.67712</v>
      </c>
    </row>
    <row r="152" spans="1:18" ht="15" customHeight="1" x14ac:dyDescent="0.45">
      <c r="B152" s="1"/>
      <c r="C152" s="1"/>
      <c r="D152" s="48"/>
      <c r="E152" s="11"/>
      <c r="F152" s="11"/>
      <c r="G152" s="11"/>
      <c r="H152" s="11"/>
      <c r="I152" s="11"/>
      <c r="J152" s="11"/>
      <c r="K152" s="11"/>
      <c r="L152" s="11"/>
      <c r="M152" s="11"/>
      <c r="N152" s="11"/>
    </row>
    <row r="153" spans="1:18" ht="15" customHeight="1" x14ac:dyDescent="0.45">
      <c r="B153" s="150" t="s">
        <v>39</v>
      </c>
      <c r="C153" s="150" t="s">
        <v>67</v>
      </c>
      <c r="D153" s="150" t="s">
        <v>66</v>
      </c>
      <c r="E153" s="133" t="s">
        <v>3</v>
      </c>
      <c r="F153" s="133" t="s">
        <v>4</v>
      </c>
      <c r="G153" s="133" t="s">
        <v>5</v>
      </c>
      <c r="H153" s="133" t="s">
        <v>6</v>
      </c>
      <c r="I153" s="133" t="s">
        <v>7</v>
      </c>
      <c r="J153" s="133" t="s">
        <v>8</v>
      </c>
      <c r="K153" s="133" t="s">
        <v>9</v>
      </c>
      <c r="L153" s="133" t="s">
        <v>10</v>
      </c>
      <c r="M153" s="133" t="s">
        <v>11</v>
      </c>
      <c r="N153" s="133" t="s">
        <v>12</v>
      </c>
    </row>
    <row r="154" spans="1:18" ht="15" customHeight="1" x14ac:dyDescent="0.45">
      <c r="B154" s="151"/>
      <c r="C154" s="151"/>
      <c r="D154" s="151"/>
      <c r="E154" s="134"/>
      <c r="F154" s="134"/>
      <c r="G154" s="134"/>
      <c r="H154" s="134"/>
      <c r="I154" s="134"/>
      <c r="J154" s="134"/>
      <c r="K154" s="134"/>
      <c r="L154" s="134"/>
      <c r="M154" s="134"/>
      <c r="N154" s="134"/>
    </row>
    <row r="155" spans="1:18" s="5" customFormat="1" ht="15" customHeight="1" x14ac:dyDescent="0.45">
      <c r="B155" s="137" t="s">
        <v>16</v>
      </c>
      <c r="C155" s="152">
        <v>20000</v>
      </c>
      <c r="D155" s="59" t="s">
        <v>19</v>
      </c>
      <c r="E155" s="29">
        <f>E$99/10*$C155/(2+$E$12)</f>
        <v>857.14285714285711</v>
      </c>
      <c r="F155" s="29">
        <f t="shared" ref="F155:N155" si="86">F$99/10*$C155/(2+$E$12)</f>
        <v>612.24489795918373</v>
      </c>
      <c r="G155" s="29">
        <f t="shared" si="86"/>
        <v>437.31778425655983</v>
      </c>
      <c r="H155" s="29">
        <f t="shared" si="86"/>
        <v>312.36984589754258</v>
      </c>
      <c r="I155" s="29">
        <f t="shared" si="86"/>
        <v>223.12131849824476</v>
      </c>
      <c r="J155" s="29">
        <f t="shared" si="86"/>
        <v>159.37237035588913</v>
      </c>
      <c r="K155" s="29">
        <f t="shared" si="86"/>
        <v>113.83740739706373</v>
      </c>
      <c r="L155" s="29">
        <f t="shared" si="86"/>
        <v>81.312433855045612</v>
      </c>
      <c r="M155" s="29">
        <f t="shared" si="86"/>
        <v>58.08030989646096</v>
      </c>
      <c r="N155" s="29">
        <f t="shared" si="86"/>
        <v>41.485935640329203</v>
      </c>
      <c r="P155" s="2"/>
      <c r="Q155" s="2"/>
      <c r="R155" s="2"/>
    </row>
    <row r="156" spans="1:18" s="5" customFormat="1" ht="15" customHeight="1" x14ac:dyDescent="0.45">
      <c r="B156" s="142"/>
      <c r="C156" s="153"/>
      <c r="D156" s="21" t="s">
        <v>22</v>
      </c>
      <c r="E156" s="29"/>
      <c r="F156" s="29"/>
      <c r="G156" s="29"/>
      <c r="H156" s="29"/>
      <c r="I156" s="29">
        <f>SUM(E155:I155)/5</f>
        <v>488.43934075087765</v>
      </c>
      <c r="J156" s="29"/>
      <c r="K156" s="29"/>
      <c r="L156" s="29"/>
      <c r="M156" s="29"/>
      <c r="N156" s="29">
        <f>SUM(E155:N155)/10</f>
        <v>289.62851608991764</v>
      </c>
      <c r="P156" s="2"/>
      <c r="Q156" s="2"/>
      <c r="R156" s="2"/>
    </row>
    <row r="157" spans="1:18" s="5" customFormat="1" ht="15" customHeight="1" x14ac:dyDescent="0.45">
      <c r="B157" s="142"/>
      <c r="C157" s="153"/>
      <c r="D157" s="21" t="s">
        <v>52</v>
      </c>
      <c r="E157" s="29">
        <f>E$100/10*$C155/(2+$E$12)</f>
        <v>857.14285714285711</v>
      </c>
      <c r="F157" s="29">
        <f t="shared" ref="F157:N157" si="87">F$100/10*$C155/(2+$E$12)</f>
        <v>1469.3877551020407</v>
      </c>
      <c r="G157" s="29">
        <f t="shared" si="87"/>
        <v>1906.7055393586004</v>
      </c>
      <c r="H157" s="29">
        <f t="shared" si="87"/>
        <v>2219.0753852561434</v>
      </c>
      <c r="I157" s="29">
        <f t="shared" si="87"/>
        <v>2442.1967037543882</v>
      </c>
      <c r="J157" s="29">
        <f t="shared" si="87"/>
        <v>2601.5690741102771</v>
      </c>
      <c r="K157" s="29">
        <f t="shared" si="87"/>
        <v>2715.4064815073407</v>
      </c>
      <c r="L157" s="29">
        <f t="shared" si="87"/>
        <v>2796.7189153623867</v>
      </c>
      <c r="M157" s="29">
        <f t="shared" si="87"/>
        <v>2854.7992252588474</v>
      </c>
      <c r="N157" s="29">
        <f t="shared" si="87"/>
        <v>2896.2851608991764</v>
      </c>
      <c r="P157" s="2"/>
      <c r="Q157" s="2"/>
      <c r="R157" s="2"/>
    </row>
    <row r="158" spans="1:18" s="5" customFormat="1" ht="15" customHeight="1" x14ac:dyDescent="0.45">
      <c r="B158" s="142"/>
      <c r="C158" s="153">
        <v>400000</v>
      </c>
      <c r="D158" s="59" t="s">
        <v>19</v>
      </c>
      <c r="E158" s="29">
        <f>E$99/10*$C158/(2+$E$12)</f>
        <v>17142.857142857141</v>
      </c>
      <c r="F158" s="29">
        <f t="shared" ref="F158:N158" si="88">F$99/10*$C158/(2+$E$12)</f>
        <v>12244.897959183672</v>
      </c>
      <c r="G158" s="29">
        <f t="shared" si="88"/>
        <v>8746.3556851311987</v>
      </c>
      <c r="H158" s="29">
        <f t="shared" si="88"/>
        <v>6247.3969179508513</v>
      </c>
      <c r="I158" s="29">
        <f t="shared" si="88"/>
        <v>4462.4263699648964</v>
      </c>
      <c r="J158" s="29">
        <f t="shared" si="88"/>
        <v>3187.4474071177829</v>
      </c>
      <c r="K158" s="29">
        <f t="shared" si="88"/>
        <v>2276.7481479412745</v>
      </c>
      <c r="L158" s="29">
        <f t="shared" si="88"/>
        <v>1626.2486771009121</v>
      </c>
      <c r="M158" s="29">
        <f t="shared" si="88"/>
        <v>1161.6061979292192</v>
      </c>
      <c r="N158" s="29">
        <f t="shared" si="88"/>
        <v>829.71871280658411</v>
      </c>
      <c r="P158" s="2"/>
      <c r="Q158" s="2"/>
      <c r="R158" s="2"/>
    </row>
    <row r="159" spans="1:18" s="5" customFormat="1" ht="15" customHeight="1" x14ac:dyDescent="0.45">
      <c r="B159" s="142"/>
      <c r="C159" s="153"/>
      <c r="D159" s="21" t="s">
        <v>22</v>
      </c>
      <c r="E159" s="29"/>
      <c r="F159" s="29"/>
      <c r="G159" s="29"/>
      <c r="H159" s="29"/>
      <c r="I159" s="29">
        <f>SUM(E158:I158)/5</f>
        <v>9768.7868150175527</v>
      </c>
      <c r="J159" s="29"/>
      <c r="K159" s="29"/>
      <c r="L159" s="29"/>
      <c r="M159" s="29"/>
      <c r="N159" s="29">
        <f>SUM(E158:N158)/10</f>
        <v>5792.5703217983537</v>
      </c>
      <c r="P159" s="2"/>
      <c r="Q159" s="2"/>
      <c r="R159" s="2"/>
    </row>
    <row r="160" spans="1:18" s="5" customFormat="1" ht="15" customHeight="1" x14ac:dyDescent="0.45">
      <c r="B160" s="142"/>
      <c r="C160" s="153"/>
      <c r="D160" s="21" t="s">
        <v>52</v>
      </c>
      <c r="E160" s="29">
        <f>E$100/10*$C158/(2+$E$12)</f>
        <v>17142.857142857141</v>
      </c>
      <c r="F160" s="29">
        <f t="shared" ref="F160:N160" si="89">F$100*$C158/20</f>
        <v>36734.693877551021</v>
      </c>
      <c r="G160" s="29">
        <f t="shared" si="89"/>
        <v>47667.63848396502</v>
      </c>
      <c r="H160" s="29">
        <f t="shared" si="89"/>
        <v>55476.884631403584</v>
      </c>
      <c r="I160" s="29">
        <f t="shared" si="89"/>
        <v>61054.917593859696</v>
      </c>
      <c r="J160" s="29">
        <f t="shared" si="89"/>
        <v>65039.226852756925</v>
      </c>
      <c r="K160" s="29">
        <f t="shared" si="89"/>
        <v>67885.16203768352</v>
      </c>
      <c r="L160" s="29">
        <f t="shared" si="89"/>
        <v>69917.972884059665</v>
      </c>
      <c r="M160" s="29">
        <f t="shared" si="89"/>
        <v>71369.98063147119</v>
      </c>
      <c r="N160" s="29">
        <f t="shared" si="89"/>
        <v>72407.129022479407</v>
      </c>
      <c r="P160" s="2"/>
      <c r="Q160" s="2"/>
      <c r="R160" s="2"/>
    </row>
    <row r="161" spans="2:18" s="5" customFormat="1" ht="15" customHeight="1" x14ac:dyDescent="0.45">
      <c r="B161" s="141"/>
      <c r="C161" s="154">
        <v>1000000</v>
      </c>
      <c r="D161" s="17" t="s">
        <v>19</v>
      </c>
      <c r="E161" s="31">
        <f>E$99/10*$C$161/(2+$E$12)</f>
        <v>42857.142857142855</v>
      </c>
      <c r="F161" s="31">
        <f t="shared" ref="F161:N161" si="90">F$99/10*$C$161/(2+$E$12)</f>
        <v>30612.244897959183</v>
      </c>
      <c r="G161" s="31">
        <f t="shared" si="90"/>
        <v>21865.889212827991</v>
      </c>
      <c r="H161" s="31">
        <f t="shared" si="90"/>
        <v>15618.492294877131</v>
      </c>
      <c r="I161" s="31">
        <f t="shared" si="90"/>
        <v>11156.06592491224</v>
      </c>
      <c r="J161" s="31">
        <f t="shared" si="90"/>
        <v>7968.6185177944571</v>
      </c>
      <c r="K161" s="31">
        <f t="shared" si="90"/>
        <v>5691.8703698531854</v>
      </c>
      <c r="L161" s="31">
        <f t="shared" si="90"/>
        <v>4065.6216927522801</v>
      </c>
      <c r="M161" s="31">
        <f t="shared" si="90"/>
        <v>2904.0154948230479</v>
      </c>
      <c r="N161" s="31">
        <f t="shared" si="90"/>
        <v>2074.2967820164604</v>
      </c>
      <c r="P161" s="2"/>
      <c r="Q161" s="2"/>
      <c r="R161" s="2"/>
    </row>
    <row r="162" spans="2:18" s="5" customFormat="1" ht="15" customHeight="1" x14ac:dyDescent="0.45">
      <c r="B162" s="141"/>
      <c r="C162" s="154"/>
      <c r="D162" s="17" t="s">
        <v>22</v>
      </c>
      <c r="E162" s="31"/>
      <c r="F162" s="31"/>
      <c r="G162" s="31"/>
      <c r="H162" s="31"/>
      <c r="I162" s="31">
        <f>SUM(E161:I161)/5</f>
        <v>24421.96703754388</v>
      </c>
      <c r="J162" s="31"/>
      <c r="K162" s="31"/>
      <c r="L162" s="31"/>
      <c r="M162" s="31"/>
      <c r="N162" s="31">
        <f>SUM(E161:N161)/10</f>
        <v>14481.425804495884</v>
      </c>
      <c r="P162" s="2"/>
      <c r="Q162" s="2"/>
      <c r="R162" s="2"/>
    </row>
    <row r="163" spans="2:18" s="5" customFormat="1" ht="15" customHeight="1" x14ac:dyDescent="0.45">
      <c r="B163" s="141"/>
      <c r="C163" s="154"/>
      <c r="D163" s="17" t="s">
        <v>52</v>
      </c>
      <c r="E163" s="31">
        <f>E$100/10*$C161/(2+$E$12)</f>
        <v>42857.142857142855</v>
      </c>
      <c r="F163" s="31">
        <f t="shared" ref="F163:N163" si="91">F$100/10*$C161/(2+$E$12)</f>
        <v>73469.387755102041</v>
      </c>
      <c r="G163" s="31">
        <f t="shared" si="91"/>
        <v>95335.276967930025</v>
      </c>
      <c r="H163" s="31">
        <f t="shared" si="91"/>
        <v>110953.76926280717</v>
      </c>
      <c r="I163" s="31">
        <f t="shared" si="91"/>
        <v>122109.83518771941</v>
      </c>
      <c r="J163" s="31">
        <f t="shared" si="91"/>
        <v>130078.45370551385</v>
      </c>
      <c r="K163" s="31">
        <f t="shared" si="91"/>
        <v>135770.32407536704</v>
      </c>
      <c r="L163" s="31">
        <f t="shared" si="91"/>
        <v>139835.94576811933</v>
      </c>
      <c r="M163" s="31">
        <f t="shared" si="91"/>
        <v>142739.96126294235</v>
      </c>
      <c r="N163" s="31">
        <f t="shared" si="91"/>
        <v>144814.25804495881</v>
      </c>
      <c r="P163" s="2"/>
      <c r="Q163" s="2"/>
      <c r="R163" s="2"/>
    </row>
    <row r="164" spans="2:18" s="5" customFormat="1" ht="15" customHeight="1" x14ac:dyDescent="0.45">
      <c r="B164" s="141"/>
      <c r="C164" s="154">
        <v>2100000</v>
      </c>
      <c r="D164" s="17" t="s">
        <v>19</v>
      </c>
      <c r="E164" s="31">
        <f>E$99/10*$C164/(2+$E$12)</f>
        <v>90000</v>
      </c>
      <c r="F164" s="31">
        <f t="shared" ref="F164:N164" si="92">F$99/10*$C164/(2+$E$12)</f>
        <v>64285.714285714283</v>
      </c>
      <c r="G164" s="31">
        <f t="shared" si="92"/>
        <v>45918.367346938787</v>
      </c>
      <c r="H164" s="31">
        <f t="shared" si="92"/>
        <v>32798.833819241976</v>
      </c>
      <c r="I164" s="31">
        <f t="shared" si="92"/>
        <v>23427.738442315702</v>
      </c>
      <c r="J164" s="31">
        <f t="shared" si="92"/>
        <v>16734.09888736836</v>
      </c>
      <c r="K164" s="31">
        <f t="shared" si="92"/>
        <v>11952.927776691689</v>
      </c>
      <c r="L164" s="31">
        <f t="shared" si="92"/>
        <v>8537.8055547797885</v>
      </c>
      <c r="M164" s="31">
        <f t="shared" si="92"/>
        <v>6098.432539128401</v>
      </c>
      <c r="N164" s="31">
        <f t="shared" si="92"/>
        <v>4356.0232422345671</v>
      </c>
      <c r="P164" s="2"/>
      <c r="Q164" s="2"/>
      <c r="R164" s="2"/>
    </row>
    <row r="165" spans="2:18" s="5" customFormat="1" ht="15" customHeight="1" x14ac:dyDescent="0.45">
      <c r="B165" s="141"/>
      <c r="C165" s="154"/>
      <c r="D165" s="17" t="s">
        <v>22</v>
      </c>
      <c r="E165" s="31"/>
      <c r="F165" s="31"/>
      <c r="G165" s="31"/>
      <c r="H165" s="31"/>
      <c r="I165" s="31">
        <f>SUM(E164:I164)/5</f>
        <v>51286.130778842147</v>
      </c>
      <c r="J165" s="31"/>
      <c r="K165" s="31"/>
      <c r="L165" s="31"/>
      <c r="M165" s="31"/>
      <c r="N165" s="31">
        <f>SUM(E164:N164)/10</f>
        <v>30410.99418944135</v>
      </c>
      <c r="P165" s="2"/>
      <c r="Q165" s="2"/>
      <c r="R165" s="2"/>
    </row>
    <row r="166" spans="2:18" s="5" customFormat="1" ht="15" customHeight="1" x14ac:dyDescent="0.45">
      <c r="B166" s="141"/>
      <c r="C166" s="154"/>
      <c r="D166" s="17" t="s">
        <v>52</v>
      </c>
      <c r="E166" s="31">
        <f>E$100/10*$C164/(2+$E$12)</f>
        <v>90000</v>
      </c>
      <c r="F166" s="31">
        <f t="shared" ref="F166:N166" si="93">F$100/10*$C164/(2+$E$12)</f>
        <v>154285.71428571426</v>
      </c>
      <c r="G166" s="31">
        <f t="shared" si="93"/>
        <v>200204.08163265308</v>
      </c>
      <c r="H166" s="31">
        <f t="shared" si="93"/>
        <v>233002.91545189504</v>
      </c>
      <c r="I166" s="31">
        <f t="shared" si="93"/>
        <v>256430.65389421076</v>
      </c>
      <c r="J166" s="31">
        <f t="shared" si="93"/>
        <v>273164.7527815791</v>
      </c>
      <c r="K166" s="31">
        <f t="shared" si="93"/>
        <v>285117.68055827077</v>
      </c>
      <c r="L166" s="31">
        <f t="shared" si="93"/>
        <v>293655.4861130506</v>
      </c>
      <c r="M166" s="31">
        <f t="shared" si="93"/>
        <v>299753.91865217901</v>
      </c>
      <c r="N166" s="31">
        <f t="shared" si="93"/>
        <v>304109.94189441355</v>
      </c>
      <c r="P166" s="2"/>
      <c r="Q166" s="2"/>
      <c r="R166" s="2"/>
    </row>
    <row r="167" spans="2:18" s="5" customFormat="1" ht="15" customHeight="1" x14ac:dyDescent="0.45">
      <c r="B167" s="142" t="s">
        <v>17</v>
      </c>
      <c r="C167" s="153">
        <v>20000</v>
      </c>
      <c r="D167" s="59" t="s">
        <v>19</v>
      </c>
      <c r="E167" s="29">
        <f>E$112/10*$C167/(2+$E$12)</f>
        <v>44.285714285714292</v>
      </c>
      <c r="F167" s="29">
        <f t="shared" ref="F167:N167" si="94">F$112/10*$C167/(2+$E$12)</f>
        <v>40.204081632653057</v>
      </c>
      <c r="G167" s="29">
        <f t="shared" si="94"/>
        <v>37.288629737609327</v>
      </c>
      <c r="H167" s="29">
        <f t="shared" si="94"/>
        <v>35.206164098292376</v>
      </c>
      <c r="I167" s="29">
        <f t="shared" si="94"/>
        <v>33.718688641637414</v>
      </c>
      <c r="J167" s="29">
        <f t="shared" si="94"/>
        <v>32.656206172598147</v>
      </c>
      <c r="K167" s="29">
        <f t="shared" si="94"/>
        <v>31.897290123284392</v>
      </c>
      <c r="L167" s="29">
        <f t="shared" si="94"/>
        <v>31.355207230917422</v>
      </c>
      <c r="M167" s="29">
        <f t="shared" si="94"/>
        <v>30.968005164941012</v>
      </c>
      <c r="N167" s="29">
        <f t="shared" si="94"/>
        <v>30.691432260672162</v>
      </c>
      <c r="P167" s="2"/>
      <c r="Q167" s="2"/>
      <c r="R167" s="2"/>
    </row>
    <row r="168" spans="2:18" s="5" customFormat="1" ht="15" customHeight="1" x14ac:dyDescent="0.45">
      <c r="B168" s="142"/>
      <c r="C168" s="153"/>
      <c r="D168" s="21" t="s">
        <v>22</v>
      </c>
      <c r="E168" s="29"/>
      <c r="F168" s="29"/>
      <c r="G168" s="29"/>
      <c r="H168" s="29"/>
      <c r="I168" s="29">
        <f>SUM(E167:I167)/5</f>
        <v>38.140655679181293</v>
      </c>
      <c r="J168" s="29"/>
      <c r="K168" s="29"/>
      <c r="L168" s="29"/>
      <c r="M168" s="29"/>
      <c r="N168" s="29">
        <f>SUM(E167:N167)/10</f>
        <v>34.827141934831964</v>
      </c>
      <c r="P168" s="2"/>
      <c r="Q168" s="2"/>
      <c r="R168" s="2"/>
    </row>
    <row r="169" spans="2:18" s="5" customFormat="1" ht="15" customHeight="1" x14ac:dyDescent="0.45">
      <c r="B169" s="142"/>
      <c r="C169" s="153"/>
      <c r="D169" s="21" t="s">
        <v>52</v>
      </c>
      <c r="E169" s="29">
        <f>E$113/10*$C167/(2+$E$12)</f>
        <v>44.285714285714292</v>
      </c>
      <c r="F169" s="29">
        <f t="shared" ref="F169:N169" si="95">F$113/10*$C167/(2+$E$12)</f>
        <v>84.489795918367349</v>
      </c>
      <c r="G169" s="29">
        <f t="shared" si="95"/>
        <v>121.77842565597666</v>
      </c>
      <c r="H169" s="29">
        <f t="shared" si="95"/>
        <v>156.98458975426905</v>
      </c>
      <c r="I169" s="29">
        <f t="shared" si="95"/>
        <v>190.70327839590647</v>
      </c>
      <c r="J169" s="29">
        <f t="shared" si="95"/>
        <v>223.3594845685046</v>
      </c>
      <c r="K169" s="29">
        <f t="shared" si="95"/>
        <v>255.25677469178899</v>
      </c>
      <c r="L169" s="29">
        <f t="shared" si="95"/>
        <v>286.61198192270643</v>
      </c>
      <c r="M169" s="29">
        <f t="shared" si="95"/>
        <v>317.57998708764745</v>
      </c>
      <c r="N169" s="29">
        <f t="shared" si="95"/>
        <v>348.27141934831963</v>
      </c>
      <c r="P169" s="2"/>
      <c r="Q169" s="2"/>
      <c r="R169" s="2"/>
    </row>
    <row r="170" spans="2:18" s="5" customFormat="1" ht="15" customHeight="1" x14ac:dyDescent="0.45">
      <c r="B170" s="142"/>
      <c r="C170" s="153">
        <v>400000</v>
      </c>
      <c r="D170" s="59" t="s">
        <v>19</v>
      </c>
      <c r="E170" s="29">
        <f>E$112/10*$C170/(2+$E$12)</f>
        <v>885.71428571428589</v>
      </c>
      <c r="F170" s="29">
        <f t="shared" ref="F170:N170" si="96">F$112/10*$C170/(2+$E$12)</f>
        <v>804.08163265306109</v>
      </c>
      <c r="G170" s="29">
        <f t="shared" si="96"/>
        <v>745.77259475218648</v>
      </c>
      <c r="H170" s="29">
        <f t="shared" si="96"/>
        <v>704.12328196584758</v>
      </c>
      <c r="I170" s="29">
        <f t="shared" si="96"/>
        <v>674.37377283274827</v>
      </c>
      <c r="J170" s="29">
        <f t="shared" si="96"/>
        <v>653.12412345196299</v>
      </c>
      <c r="K170" s="29">
        <f t="shared" si="96"/>
        <v>637.94580246568785</v>
      </c>
      <c r="L170" s="29">
        <f t="shared" si="96"/>
        <v>627.10414461834841</v>
      </c>
      <c r="M170" s="29">
        <f t="shared" si="96"/>
        <v>619.36010329882026</v>
      </c>
      <c r="N170" s="29">
        <f t="shared" si="96"/>
        <v>613.82864521344322</v>
      </c>
      <c r="P170" s="2"/>
      <c r="Q170" s="2"/>
      <c r="R170" s="2"/>
    </row>
    <row r="171" spans="2:18" s="5" customFormat="1" ht="15" customHeight="1" x14ac:dyDescent="0.45">
      <c r="B171" s="142"/>
      <c r="C171" s="153"/>
      <c r="D171" s="21" t="s">
        <v>22</v>
      </c>
      <c r="E171" s="29"/>
      <c r="F171" s="29"/>
      <c r="G171" s="29"/>
      <c r="H171" s="29"/>
      <c r="I171" s="29">
        <f>SUM(E170:I170)/5</f>
        <v>762.81311358362586</v>
      </c>
      <c r="J171" s="29"/>
      <c r="K171" s="29"/>
      <c r="L171" s="29"/>
      <c r="M171" s="29"/>
      <c r="N171" s="29">
        <f>SUM(E170:N170)/10</f>
        <v>696.54283869663914</v>
      </c>
      <c r="P171" s="2"/>
      <c r="Q171" s="2"/>
      <c r="R171" s="2"/>
    </row>
    <row r="172" spans="2:18" s="5" customFormat="1" ht="15" customHeight="1" x14ac:dyDescent="0.45">
      <c r="B172" s="142"/>
      <c r="C172" s="153"/>
      <c r="D172" s="21" t="s">
        <v>52</v>
      </c>
      <c r="E172" s="29">
        <f>E$113/10*$C170/(2+$E$12)</f>
        <v>885.71428571428589</v>
      </c>
      <c r="F172" s="29">
        <f t="shared" ref="F172:N172" si="97">F$113/10*$C170/(2+$E$12)</f>
        <v>1689.795918367347</v>
      </c>
      <c r="G172" s="29">
        <f t="shared" si="97"/>
        <v>2435.5685131195337</v>
      </c>
      <c r="H172" s="29">
        <f t="shared" si="97"/>
        <v>3139.6917950853808</v>
      </c>
      <c r="I172" s="29">
        <f t="shared" si="97"/>
        <v>3814.0655679181291</v>
      </c>
      <c r="J172" s="29">
        <f t="shared" si="97"/>
        <v>4467.1896913700921</v>
      </c>
      <c r="K172" s="29">
        <f t="shared" si="97"/>
        <v>5105.1354938357799</v>
      </c>
      <c r="L172" s="29">
        <f t="shared" si="97"/>
        <v>5732.2396384541289</v>
      </c>
      <c r="M172" s="29">
        <f t="shared" si="97"/>
        <v>6351.5997417529488</v>
      </c>
      <c r="N172" s="29">
        <f t="shared" si="97"/>
        <v>6965.4283869663923</v>
      </c>
      <c r="P172" s="2"/>
      <c r="Q172" s="2"/>
      <c r="R172" s="2"/>
    </row>
    <row r="173" spans="2:18" s="5" customFormat="1" ht="15" customHeight="1" x14ac:dyDescent="0.45">
      <c r="B173" s="142"/>
      <c r="C173" s="154">
        <v>1000000</v>
      </c>
      <c r="D173" s="17" t="s">
        <v>19</v>
      </c>
      <c r="E173" s="31">
        <f>E$112/10*$C173/(2+$E$12)</f>
        <v>2214.2857142857147</v>
      </c>
      <c r="F173" s="31">
        <f t="shared" ref="F173:N173" si="98">F$112/10*$C173/(2+$E$12)</f>
        <v>2010.2040816326528</v>
      </c>
      <c r="G173" s="31">
        <f t="shared" si="98"/>
        <v>1864.4314868804663</v>
      </c>
      <c r="H173" s="31">
        <f t="shared" si="98"/>
        <v>1760.308204914619</v>
      </c>
      <c r="I173" s="31">
        <f t="shared" si="98"/>
        <v>1685.9344320818705</v>
      </c>
      <c r="J173" s="31">
        <f t="shared" si="98"/>
        <v>1632.8103086299075</v>
      </c>
      <c r="K173" s="31">
        <f t="shared" si="98"/>
        <v>1594.8645061642196</v>
      </c>
      <c r="L173" s="31">
        <f t="shared" si="98"/>
        <v>1567.7603615458711</v>
      </c>
      <c r="M173" s="31">
        <f t="shared" si="98"/>
        <v>1548.4002582470507</v>
      </c>
      <c r="N173" s="31">
        <f t="shared" si="98"/>
        <v>1534.5716130336079</v>
      </c>
      <c r="P173" s="2"/>
      <c r="Q173" s="2"/>
      <c r="R173" s="2"/>
    </row>
    <row r="174" spans="2:18" s="5" customFormat="1" ht="15" customHeight="1" x14ac:dyDescent="0.45">
      <c r="B174" s="142"/>
      <c r="C174" s="154"/>
      <c r="D174" s="17" t="s">
        <v>22</v>
      </c>
      <c r="E174" s="31"/>
      <c r="F174" s="31"/>
      <c r="G174" s="31"/>
      <c r="H174" s="31"/>
      <c r="I174" s="31">
        <f>SUM(E173:I173)/5</f>
        <v>1907.0327839590645</v>
      </c>
      <c r="J174" s="31"/>
      <c r="K174" s="31"/>
      <c r="L174" s="31"/>
      <c r="M174" s="31"/>
      <c r="N174" s="31">
        <f>SUM(E173:N173)/10</f>
        <v>1741.3570967415981</v>
      </c>
      <c r="P174" s="2"/>
      <c r="Q174" s="2"/>
      <c r="R174" s="2"/>
    </row>
    <row r="175" spans="2:18" s="5" customFormat="1" ht="15" customHeight="1" x14ac:dyDescent="0.45">
      <c r="B175" s="142"/>
      <c r="C175" s="154"/>
      <c r="D175" s="17" t="s">
        <v>52</v>
      </c>
      <c r="E175" s="31">
        <f>E$113/10*$C173/(2+$E$12)</f>
        <v>2214.2857142857147</v>
      </c>
      <c r="F175" s="31">
        <f t="shared" ref="F175:N175" si="99">F$113/10*$C173/(2+$E$12)</f>
        <v>4224.4897959183672</v>
      </c>
      <c r="G175" s="31">
        <f t="shared" si="99"/>
        <v>6088.9212827988331</v>
      </c>
      <c r="H175" s="31">
        <f t="shared" si="99"/>
        <v>7849.2294877134527</v>
      </c>
      <c r="I175" s="31">
        <f t="shared" si="99"/>
        <v>9535.1639197953227</v>
      </c>
      <c r="J175" s="31">
        <f t="shared" si="99"/>
        <v>11167.97422842523</v>
      </c>
      <c r="K175" s="31">
        <f t="shared" si="99"/>
        <v>12762.838734589448</v>
      </c>
      <c r="L175" s="31">
        <f t="shared" si="99"/>
        <v>14330.59909613532</v>
      </c>
      <c r="M175" s="31">
        <f t="shared" si="99"/>
        <v>15878.999354382371</v>
      </c>
      <c r="N175" s="31">
        <f t="shared" si="99"/>
        <v>17413.570967415981</v>
      </c>
      <c r="P175" s="2"/>
      <c r="Q175" s="2"/>
      <c r="R175" s="2"/>
    </row>
    <row r="176" spans="2:18" s="5" customFormat="1" ht="15" customHeight="1" x14ac:dyDescent="0.45">
      <c r="B176" s="142"/>
      <c r="C176" s="154">
        <v>2100000</v>
      </c>
      <c r="D176" s="17" t="s">
        <v>19</v>
      </c>
      <c r="E176" s="31">
        <f>E$112/10*$C176/(2+$E$12)</f>
        <v>4650.0000000000009</v>
      </c>
      <c r="F176" s="31">
        <f t="shared" ref="F176:N176" si="100">F$112/10*$C176/(2+$E$12)</f>
        <v>4221.4285714285706</v>
      </c>
      <c r="G176" s="31">
        <f t="shared" si="100"/>
        <v>3915.3061224489793</v>
      </c>
      <c r="H176" s="31">
        <f t="shared" si="100"/>
        <v>3696.6472303206997</v>
      </c>
      <c r="I176" s="31">
        <f t="shared" si="100"/>
        <v>3540.4623073719281</v>
      </c>
      <c r="J176" s="31">
        <f t="shared" si="100"/>
        <v>3428.9016481228055</v>
      </c>
      <c r="K176" s="31">
        <f t="shared" si="100"/>
        <v>3349.215462944861</v>
      </c>
      <c r="L176" s="31">
        <f t="shared" si="100"/>
        <v>3292.2967592463292</v>
      </c>
      <c r="M176" s="31">
        <f t="shared" si="100"/>
        <v>3251.6405423188066</v>
      </c>
      <c r="N176" s="31">
        <f t="shared" si="100"/>
        <v>3222.6003873705768</v>
      </c>
      <c r="P176" s="2"/>
      <c r="Q176" s="2"/>
      <c r="R176" s="2"/>
    </row>
    <row r="177" spans="2:18" s="5" customFormat="1" ht="15" customHeight="1" x14ac:dyDescent="0.45">
      <c r="B177" s="142"/>
      <c r="C177" s="154"/>
      <c r="D177" s="17" t="s">
        <v>22</v>
      </c>
      <c r="E177" s="31"/>
      <c r="F177" s="31"/>
      <c r="G177" s="31"/>
      <c r="H177" s="31"/>
      <c r="I177" s="31">
        <f>SUM(E176:I176)/5</f>
        <v>4004.7688463140357</v>
      </c>
      <c r="J177" s="31"/>
      <c r="K177" s="31"/>
      <c r="L177" s="31"/>
      <c r="M177" s="31"/>
      <c r="N177" s="31">
        <f>SUM(E176:N176)/10</f>
        <v>3656.8499031573556</v>
      </c>
      <c r="P177" s="2"/>
      <c r="Q177" s="2"/>
      <c r="R177" s="2"/>
    </row>
    <row r="178" spans="2:18" s="5" customFormat="1" ht="15" customHeight="1" x14ac:dyDescent="0.45">
      <c r="B178" s="142"/>
      <c r="C178" s="154"/>
      <c r="D178" s="17" t="s">
        <v>52</v>
      </c>
      <c r="E178" s="31">
        <f>E$113/10*$C176/(2+$E$12)</f>
        <v>4650.0000000000009</v>
      </c>
      <c r="F178" s="31">
        <f t="shared" ref="F178:N178" si="101">F$113/10*$C176/(2+$E$12)</f>
        <v>8871.4285714285706</v>
      </c>
      <c r="G178" s="31">
        <f t="shared" si="101"/>
        <v>12786.73469387755</v>
      </c>
      <c r="H178" s="31">
        <f t="shared" si="101"/>
        <v>16483.381924198249</v>
      </c>
      <c r="I178" s="31">
        <f t="shared" si="101"/>
        <v>20023.844231570176</v>
      </c>
      <c r="J178" s="31">
        <f t="shared" si="101"/>
        <v>23452.745879692982</v>
      </c>
      <c r="K178" s="31">
        <f t="shared" si="101"/>
        <v>26801.961342637842</v>
      </c>
      <c r="L178" s="31">
        <f t="shared" si="101"/>
        <v>30094.258101884177</v>
      </c>
      <c r="M178" s="31">
        <f t="shared" si="101"/>
        <v>33345.898644202985</v>
      </c>
      <c r="N178" s="31">
        <f t="shared" si="101"/>
        <v>36568.499031573563</v>
      </c>
      <c r="P178" s="2"/>
      <c r="Q178" s="2"/>
      <c r="R178" s="2"/>
    </row>
    <row r="179" spans="2:18" s="5" customFormat="1" ht="15" customHeight="1" x14ac:dyDescent="0.45">
      <c r="B179" s="142" t="s">
        <v>71</v>
      </c>
      <c r="C179" s="153">
        <v>20000</v>
      </c>
      <c r="D179" s="59" t="s">
        <v>19</v>
      </c>
      <c r="E179" s="29">
        <f>E$127/10*$C179/(2+$E$12)</f>
        <v>214.28571428571428</v>
      </c>
      <c r="F179" s="29">
        <f t="shared" ref="F179:N179" si="102">F$127/10*$C179/(2+$E$12)</f>
        <v>153.06122448979593</v>
      </c>
      <c r="G179" s="29">
        <f t="shared" si="102"/>
        <v>109.32944606413994</v>
      </c>
      <c r="H179" s="29">
        <f t="shared" si="102"/>
        <v>78.092461474385672</v>
      </c>
      <c r="I179" s="29">
        <f t="shared" si="102"/>
        <v>55.78032962456119</v>
      </c>
      <c r="J179" s="29">
        <f t="shared" si="102"/>
        <v>39.843092588972283</v>
      </c>
      <c r="K179" s="29">
        <f t="shared" si="102"/>
        <v>28.459351849265914</v>
      </c>
      <c r="L179" s="29">
        <f t="shared" si="102"/>
        <v>20.328108463761367</v>
      </c>
      <c r="M179" s="29">
        <f t="shared" si="102"/>
        <v>14.520077474115263</v>
      </c>
      <c r="N179" s="29">
        <f t="shared" si="102"/>
        <v>10.371483910082329</v>
      </c>
      <c r="P179" s="2"/>
      <c r="Q179" s="2"/>
      <c r="R179" s="2"/>
    </row>
    <row r="180" spans="2:18" s="5" customFormat="1" ht="15" customHeight="1" x14ac:dyDescent="0.45">
      <c r="B180" s="142"/>
      <c r="C180" s="153"/>
      <c r="D180" s="21" t="s">
        <v>22</v>
      </c>
      <c r="E180" s="29"/>
      <c r="F180" s="29"/>
      <c r="G180" s="29"/>
      <c r="H180" s="29"/>
      <c r="I180" s="29">
        <f>SUM(E179:I179)/5</f>
        <v>122.10983518771941</v>
      </c>
      <c r="J180" s="29"/>
      <c r="K180" s="29"/>
      <c r="L180" s="29"/>
      <c r="M180" s="29"/>
      <c r="N180" s="29">
        <f>SUM(E179:N179)/10</f>
        <v>72.407129022479424</v>
      </c>
      <c r="P180" s="2"/>
      <c r="Q180" s="2"/>
      <c r="R180" s="2"/>
    </row>
    <row r="181" spans="2:18" s="5" customFormat="1" ht="15" customHeight="1" x14ac:dyDescent="0.45">
      <c r="B181" s="142"/>
      <c r="C181" s="153"/>
      <c r="D181" s="21" t="s">
        <v>52</v>
      </c>
      <c r="E181" s="29">
        <f>E$128/10*$C179/(2+$E$12)</f>
        <v>214.28571428571428</v>
      </c>
      <c r="F181" s="29">
        <f t="shared" ref="F181:N181" si="103">F$128/10*$C179/(2+$E$12)</f>
        <v>367.34693877551018</v>
      </c>
      <c r="G181" s="29">
        <f t="shared" si="103"/>
        <v>476.6763848396501</v>
      </c>
      <c r="H181" s="29">
        <f t="shared" si="103"/>
        <v>554.76884631403595</v>
      </c>
      <c r="I181" s="29">
        <f t="shared" si="103"/>
        <v>610.54917593859705</v>
      </c>
      <c r="J181" s="29">
        <f t="shared" si="103"/>
        <v>650.39226852756929</v>
      </c>
      <c r="K181" s="29">
        <f t="shared" si="103"/>
        <v>678.85162037683483</v>
      </c>
      <c r="L181" s="29">
        <f t="shared" si="103"/>
        <v>699.17972884059543</v>
      </c>
      <c r="M181" s="29">
        <f t="shared" si="103"/>
        <v>713.69980631471299</v>
      </c>
      <c r="N181" s="29">
        <f t="shared" si="103"/>
        <v>724.07129022479614</v>
      </c>
      <c r="P181" s="2"/>
      <c r="Q181" s="2"/>
      <c r="R181" s="2"/>
    </row>
    <row r="182" spans="2:18" s="5" customFormat="1" ht="15" customHeight="1" x14ac:dyDescent="0.45">
      <c r="B182" s="142"/>
      <c r="C182" s="153">
        <v>400000</v>
      </c>
      <c r="D182" s="59" t="s">
        <v>19</v>
      </c>
      <c r="E182" s="29">
        <f>E$127/10*$C182/(2+$E$12)</f>
        <v>4285.7142857142853</v>
      </c>
      <c r="F182" s="29">
        <f t="shared" ref="F182:N182" si="104">F$127/10*$C182/(2+$E$12)</f>
        <v>3061.2244897959181</v>
      </c>
      <c r="G182" s="29">
        <f t="shared" si="104"/>
        <v>2186.5889212827988</v>
      </c>
      <c r="H182" s="29">
        <f t="shared" si="104"/>
        <v>1561.8492294877135</v>
      </c>
      <c r="I182" s="29">
        <f t="shared" si="104"/>
        <v>1115.6065924912241</v>
      </c>
      <c r="J182" s="29">
        <f t="shared" si="104"/>
        <v>796.86185177944571</v>
      </c>
      <c r="K182" s="29">
        <f t="shared" si="104"/>
        <v>569.18703698531829</v>
      </c>
      <c r="L182" s="29">
        <f t="shared" si="104"/>
        <v>406.56216927522735</v>
      </c>
      <c r="M182" s="29">
        <f t="shared" si="104"/>
        <v>290.40154948230526</v>
      </c>
      <c r="N182" s="29">
        <f t="shared" si="104"/>
        <v>207.4296782016466</v>
      </c>
      <c r="P182" s="2"/>
      <c r="Q182" s="2"/>
      <c r="R182" s="2"/>
    </row>
    <row r="183" spans="2:18" s="5" customFormat="1" ht="15" customHeight="1" x14ac:dyDescent="0.45">
      <c r="B183" s="142"/>
      <c r="C183" s="153"/>
      <c r="D183" s="21" t="s">
        <v>22</v>
      </c>
      <c r="E183" s="29"/>
      <c r="F183" s="29"/>
      <c r="G183" s="29"/>
      <c r="H183" s="29"/>
      <c r="I183" s="29">
        <f>SUM(E182:I182)/5</f>
        <v>2442.1967037543882</v>
      </c>
      <c r="J183" s="29"/>
      <c r="K183" s="29"/>
      <c r="L183" s="29"/>
      <c r="M183" s="29"/>
      <c r="N183" s="29">
        <f>SUM(E182:N182)/10</f>
        <v>1448.1425804495882</v>
      </c>
      <c r="P183" s="2"/>
      <c r="Q183" s="2"/>
      <c r="R183" s="2"/>
    </row>
    <row r="184" spans="2:18" s="5" customFormat="1" ht="15" customHeight="1" x14ac:dyDescent="0.45">
      <c r="B184" s="142"/>
      <c r="C184" s="153"/>
      <c r="D184" s="21" t="s">
        <v>52</v>
      </c>
      <c r="E184" s="29">
        <f>E$128/10*$C182/(2+$E$12)</f>
        <v>4285.7142857142853</v>
      </c>
      <c r="F184" s="29">
        <f t="shared" ref="F184:N184" si="105">F$128/10*$C182/(2+$E$12)</f>
        <v>7346.9387755102025</v>
      </c>
      <c r="G184" s="29">
        <f t="shared" si="105"/>
        <v>9533.5276967930004</v>
      </c>
      <c r="H184" s="29">
        <f t="shared" si="105"/>
        <v>11095.37692628072</v>
      </c>
      <c r="I184" s="29">
        <f t="shared" si="105"/>
        <v>12210.98351877194</v>
      </c>
      <c r="J184" s="29">
        <f t="shared" si="105"/>
        <v>13007.845370551386</v>
      </c>
      <c r="K184" s="29">
        <f t="shared" si="105"/>
        <v>13577.032407536699</v>
      </c>
      <c r="L184" s="29">
        <f t="shared" si="105"/>
        <v>13983.594576811909</v>
      </c>
      <c r="M184" s="29">
        <f t="shared" si="105"/>
        <v>14273.996126294258</v>
      </c>
      <c r="N184" s="29">
        <f t="shared" si="105"/>
        <v>14481.425804495922</v>
      </c>
      <c r="P184" s="2"/>
      <c r="Q184" s="2"/>
      <c r="R184" s="2"/>
    </row>
    <row r="185" spans="2:18" s="5" customFormat="1" ht="15" customHeight="1" x14ac:dyDescent="0.45">
      <c r="B185" s="142"/>
      <c r="C185" s="154">
        <v>1000000</v>
      </c>
      <c r="D185" s="17" t="s">
        <v>19</v>
      </c>
      <c r="E185" s="31">
        <f>E$127/10*$C185/(2+$E$12)</f>
        <v>10714.285714285714</v>
      </c>
      <c r="F185" s="31">
        <f t="shared" ref="F185:N185" si="106">F$127/10*$C185/(2+$E$12)</f>
        <v>7653.0612244897957</v>
      </c>
      <c r="G185" s="31">
        <f t="shared" si="106"/>
        <v>5466.4723032069969</v>
      </c>
      <c r="H185" s="31">
        <f t="shared" si="106"/>
        <v>3904.6230737192832</v>
      </c>
      <c r="I185" s="31">
        <f t="shared" si="106"/>
        <v>2789.01648122806</v>
      </c>
      <c r="J185" s="31">
        <f t="shared" si="106"/>
        <v>1992.1546294486143</v>
      </c>
      <c r="K185" s="31">
        <f t="shared" si="106"/>
        <v>1422.9675924632957</v>
      </c>
      <c r="L185" s="31">
        <f t="shared" si="106"/>
        <v>1016.4054231880684</v>
      </c>
      <c r="M185" s="31">
        <f t="shared" si="106"/>
        <v>726.00387370576311</v>
      </c>
      <c r="N185" s="31">
        <f t="shared" si="106"/>
        <v>518.57419550411646</v>
      </c>
      <c r="P185" s="2"/>
      <c r="Q185" s="2"/>
      <c r="R185" s="2"/>
    </row>
    <row r="186" spans="2:18" s="5" customFormat="1" ht="15" customHeight="1" x14ac:dyDescent="0.45">
      <c r="B186" s="142"/>
      <c r="C186" s="154"/>
      <c r="D186" s="17" t="s">
        <v>22</v>
      </c>
      <c r="E186" s="31"/>
      <c r="F186" s="31"/>
      <c r="G186" s="31"/>
      <c r="H186" s="31"/>
      <c r="I186" s="31">
        <f>SUM(E185:I185)/5</f>
        <v>6105.49175938597</v>
      </c>
      <c r="J186" s="31"/>
      <c r="K186" s="31"/>
      <c r="L186" s="31"/>
      <c r="M186" s="31"/>
      <c r="N186" s="31">
        <f>SUM(E185:N185)/10</f>
        <v>3620.3564511239701</v>
      </c>
      <c r="P186" s="2"/>
      <c r="Q186" s="2"/>
      <c r="R186" s="2"/>
    </row>
    <row r="187" spans="2:18" s="5" customFormat="1" ht="15" customHeight="1" x14ac:dyDescent="0.45">
      <c r="B187" s="142"/>
      <c r="C187" s="154"/>
      <c r="D187" s="17" t="s">
        <v>52</v>
      </c>
      <c r="E187" s="31">
        <f>E$128/10*$C185/(2+$E$12)</f>
        <v>10714.285714285714</v>
      </c>
      <c r="F187" s="31">
        <f t="shared" ref="F187:N187" si="107">F$128/10*$C185/(2+$E$12)</f>
        <v>18367.34693877551</v>
      </c>
      <c r="G187" s="31">
        <f t="shared" si="107"/>
        <v>23833.819241982503</v>
      </c>
      <c r="H187" s="31">
        <f t="shared" si="107"/>
        <v>27738.442315701803</v>
      </c>
      <c r="I187" s="31">
        <f t="shared" si="107"/>
        <v>30527.458796929852</v>
      </c>
      <c r="J187" s="31">
        <f t="shared" si="107"/>
        <v>32519.613426378462</v>
      </c>
      <c r="K187" s="31">
        <f t="shared" si="107"/>
        <v>33942.581018841745</v>
      </c>
      <c r="L187" s="31">
        <f t="shared" si="107"/>
        <v>34958.986442029774</v>
      </c>
      <c r="M187" s="31">
        <f t="shared" si="107"/>
        <v>35684.990315735646</v>
      </c>
      <c r="N187" s="31">
        <f t="shared" si="107"/>
        <v>36203.564511239805</v>
      </c>
      <c r="P187" s="2"/>
      <c r="Q187" s="2"/>
      <c r="R187" s="2"/>
    </row>
    <row r="188" spans="2:18" s="5" customFormat="1" ht="15" customHeight="1" x14ac:dyDescent="0.45">
      <c r="B188" s="142"/>
      <c r="C188" s="154">
        <v>2100000</v>
      </c>
      <c r="D188" s="17" t="s">
        <v>19</v>
      </c>
      <c r="E188" s="31">
        <f>E$127/10*$C188/(2+$E$12)</f>
        <v>22500</v>
      </c>
      <c r="F188" s="31">
        <f t="shared" ref="F188:N188" si="108">F$127/10*$C188/(2+$E$12)</f>
        <v>16071.428571428571</v>
      </c>
      <c r="G188" s="31">
        <f t="shared" si="108"/>
        <v>11479.591836734693</v>
      </c>
      <c r="H188" s="31">
        <f t="shared" si="108"/>
        <v>8199.7084548104958</v>
      </c>
      <c r="I188" s="31">
        <f t="shared" si="108"/>
        <v>5856.9346105789255</v>
      </c>
      <c r="J188" s="31">
        <f t="shared" si="108"/>
        <v>4183.52472184209</v>
      </c>
      <c r="K188" s="31">
        <f t="shared" si="108"/>
        <v>2988.2319441729205</v>
      </c>
      <c r="L188" s="31">
        <f t="shared" si="108"/>
        <v>2134.4513886949435</v>
      </c>
      <c r="M188" s="31">
        <f t="shared" si="108"/>
        <v>1524.6081347821025</v>
      </c>
      <c r="N188" s="31">
        <f t="shared" si="108"/>
        <v>1089.0058105586445</v>
      </c>
      <c r="P188" s="2"/>
      <c r="Q188" s="2"/>
      <c r="R188" s="2"/>
    </row>
    <row r="189" spans="2:18" s="5" customFormat="1" ht="15" customHeight="1" x14ac:dyDescent="0.45">
      <c r="B189" s="142"/>
      <c r="C189" s="154"/>
      <c r="D189" s="17" t="s">
        <v>22</v>
      </c>
      <c r="E189" s="31"/>
      <c r="F189" s="31"/>
      <c r="G189" s="31"/>
      <c r="H189" s="31"/>
      <c r="I189" s="31">
        <f>SUM(E188:I188)/5</f>
        <v>12821.532694710539</v>
      </c>
      <c r="J189" s="31"/>
      <c r="K189" s="31"/>
      <c r="L189" s="31"/>
      <c r="M189" s="31"/>
      <c r="N189" s="31">
        <f>SUM(E188:N188)/10</f>
        <v>7602.7485473603392</v>
      </c>
      <c r="P189" s="2"/>
      <c r="Q189" s="2"/>
      <c r="R189" s="2"/>
    </row>
    <row r="190" spans="2:18" s="5" customFormat="1" ht="15" customHeight="1" x14ac:dyDescent="0.45">
      <c r="B190" s="142"/>
      <c r="C190" s="154"/>
      <c r="D190" s="17" t="s">
        <v>52</v>
      </c>
      <c r="E190" s="31">
        <f>E$128/10*$C188/(2+$E$12)</f>
        <v>22500</v>
      </c>
      <c r="F190" s="31">
        <f t="shared" ref="F190:N190" si="109">F$128/10*$C188/(2+$E$12)</f>
        <v>38571.428571428565</v>
      </c>
      <c r="G190" s="31">
        <f t="shared" si="109"/>
        <v>50051.020408163262</v>
      </c>
      <c r="H190" s="31">
        <f t="shared" si="109"/>
        <v>58250.728862973781</v>
      </c>
      <c r="I190" s="31">
        <f t="shared" si="109"/>
        <v>64107.66347355269</v>
      </c>
      <c r="J190" s="31">
        <f t="shared" si="109"/>
        <v>68291.188195394774</v>
      </c>
      <c r="K190" s="31">
        <f t="shared" si="109"/>
        <v>71279.420139567665</v>
      </c>
      <c r="L190" s="31">
        <f t="shared" si="109"/>
        <v>73413.87152826252</v>
      </c>
      <c r="M190" s="31">
        <f t="shared" si="109"/>
        <v>74938.479663044869</v>
      </c>
      <c r="N190" s="31">
        <f t="shared" si="109"/>
        <v>76027.485473603592</v>
      </c>
      <c r="P190" s="2"/>
      <c r="Q190" s="2"/>
      <c r="R190" s="2"/>
    </row>
    <row r="191" spans="2:18" s="5" customFormat="1" ht="15" customHeight="1" x14ac:dyDescent="0.45">
      <c r="B191" s="142" t="s">
        <v>18</v>
      </c>
      <c r="C191" s="153">
        <v>20000</v>
      </c>
      <c r="D191" s="59" t="s">
        <v>19</v>
      </c>
      <c r="E191" s="29">
        <f>E155+E167+E179</f>
        <v>1115.7142857142858</v>
      </c>
      <c r="F191" s="29">
        <f t="shared" ref="F191:N191" si="110">F155+F167+F179</f>
        <v>805.51020408163265</v>
      </c>
      <c r="G191" s="29">
        <f t="shared" si="110"/>
        <v>583.93586005830912</v>
      </c>
      <c r="H191" s="29">
        <f t="shared" si="110"/>
        <v>425.66847147022065</v>
      </c>
      <c r="I191" s="29">
        <f t="shared" si="110"/>
        <v>312.62033676444338</v>
      </c>
      <c r="J191" s="29">
        <f t="shared" si="110"/>
        <v>231.87166911745959</v>
      </c>
      <c r="K191" s="29">
        <f t="shared" si="110"/>
        <v>174.19404936961402</v>
      </c>
      <c r="L191" s="29">
        <f t="shared" si="110"/>
        <v>132.99574954972439</v>
      </c>
      <c r="M191" s="29">
        <f t="shared" si="110"/>
        <v>103.56839253551725</v>
      </c>
      <c r="N191" s="29">
        <f t="shared" si="110"/>
        <v>82.548851811083694</v>
      </c>
      <c r="P191" s="2"/>
      <c r="Q191" s="2"/>
      <c r="R191" s="2"/>
    </row>
    <row r="192" spans="2:18" s="5" customFormat="1" ht="15" customHeight="1" x14ac:dyDescent="0.45">
      <c r="B192" s="142"/>
      <c r="C192" s="153"/>
      <c r="D192" s="21" t="s">
        <v>22</v>
      </c>
      <c r="E192" s="29"/>
      <c r="F192" s="29"/>
      <c r="G192" s="29"/>
      <c r="H192" s="29"/>
      <c r="I192" s="30">
        <f>SUM(E191:I191)/5</f>
        <v>648.68983161777828</v>
      </c>
      <c r="J192" s="29"/>
      <c r="K192" s="29"/>
      <c r="L192" s="29"/>
      <c r="M192" s="29"/>
      <c r="N192" s="29">
        <f>SUM(E191:N191)/10</f>
        <v>396.86278704722906</v>
      </c>
      <c r="P192" s="2"/>
      <c r="Q192" s="2"/>
      <c r="R192" s="2"/>
    </row>
    <row r="193" spans="2:18" s="5" customFormat="1" ht="15" customHeight="1" x14ac:dyDescent="0.45">
      <c r="B193" s="142"/>
      <c r="C193" s="153"/>
      <c r="D193" s="21" t="s">
        <v>52</v>
      </c>
      <c r="E193" s="29">
        <f>E157+E169+E181</f>
        <v>1115.7142857142858</v>
      </c>
      <c r="F193" s="29">
        <f t="shared" ref="F193:N194" si="111">F157+F169+F181</f>
        <v>1921.2244897959183</v>
      </c>
      <c r="G193" s="29">
        <f t="shared" si="111"/>
        <v>2505.1603498542272</v>
      </c>
      <c r="H193" s="29">
        <f t="shared" si="111"/>
        <v>2930.8288213244487</v>
      </c>
      <c r="I193" s="30">
        <f t="shared" si="111"/>
        <v>3243.4491580888916</v>
      </c>
      <c r="J193" s="29">
        <f t="shared" si="111"/>
        <v>3475.3208272063512</v>
      </c>
      <c r="K193" s="29">
        <f t="shared" si="111"/>
        <v>3649.5148765759645</v>
      </c>
      <c r="L193" s="29">
        <f t="shared" si="111"/>
        <v>3782.5106261256888</v>
      </c>
      <c r="M193" s="29">
        <f t="shared" si="111"/>
        <v>3886.079018661208</v>
      </c>
      <c r="N193" s="29">
        <f t="shared" si="111"/>
        <v>3968.6278704722922</v>
      </c>
      <c r="P193" s="2"/>
      <c r="Q193" s="2"/>
      <c r="R193" s="2"/>
    </row>
    <row r="194" spans="2:18" s="5" customFormat="1" ht="15" customHeight="1" x14ac:dyDescent="0.45">
      <c r="B194" s="142"/>
      <c r="C194" s="153">
        <v>400000</v>
      </c>
      <c r="D194" s="59" t="s">
        <v>19</v>
      </c>
      <c r="E194" s="29">
        <f>E158+E170+E182</f>
        <v>22314.285714285714</v>
      </c>
      <c r="F194" s="29">
        <f t="shared" si="111"/>
        <v>16110.204081632652</v>
      </c>
      <c r="G194" s="29">
        <f t="shared" si="111"/>
        <v>11678.717201166184</v>
      </c>
      <c r="H194" s="29">
        <f t="shared" si="111"/>
        <v>8513.3694294044126</v>
      </c>
      <c r="I194" s="29">
        <f t="shared" si="111"/>
        <v>6252.4067352888687</v>
      </c>
      <c r="J194" s="29">
        <f t="shared" si="111"/>
        <v>4637.4333823491916</v>
      </c>
      <c r="K194" s="29">
        <f t="shared" si="111"/>
        <v>3483.8809873922805</v>
      </c>
      <c r="L194" s="29">
        <f t="shared" si="111"/>
        <v>2659.9149909944881</v>
      </c>
      <c r="M194" s="29">
        <f t="shared" si="111"/>
        <v>2071.3678507103446</v>
      </c>
      <c r="N194" s="29">
        <f t="shared" si="111"/>
        <v>1650.9770362216739</v>
      </c>
      <c r="P194" s="2"/>
      <c r="Q194" s="2"/>
      <c r="R194" s="2"/>
    </row>
    <row r="195" spans="2:18" s="5" customFormat="1" ht="15" customHeight="1" x14ac:dyDescent="0.45">
      <c r="B195" s="142"/>
      <c r="C195" s="153"/>
      <c r="D195" s="21" t="s">
        <v>22</v>
      </c>
      <c r="E195" s="29"/>
      <c r="F195" s="29"/>
      <c r="G195" s="29"/>
      <c r="H195" s="29"/>
      <c r="I195" s="30">
        <f>SUM(E194:I194)/5</f>
        <v>12973.796632355565</v>
      </c>
      <c r="J195" s="29"/>
      <c r="K195" s="29"/>
      <c r="L195" s="29"/>
      <c r="M195" s="29"/>
      <c r="N195" s="29">
        <f>SUM(E194:N194)/10</f>
        <v>7937.2557409445817</v>
      </c>
      <c r="P195" s="2"/>
      <c r="Q195" s="2"/>
      <c r="R195" s="2"/>
    </row>
    <row r="196" spans="2:18" s="5" customFormat="1" ht="15" customHeight="1" x14ac:dyDescent="0.45">
      <c r="B196" s="142"/>
      <c r="C196" s="153"/>
      <c r="D196" s="21" t="s">
        <v>52</v>
      </c>
      <c r="E196" s="29">
        <f>E160+E172+E184</f>
        <v>22314.285714285714</v>
      </c>
      <c r="F196" s="29">
        <f t="shared" ref="F196:N197" si="112">F160+F172+F184</f>
        <v>45771.428571428565</v>
      </c>
      <c r="G196" s="29">
        <f t="shared" si="112"/>
        <v>59636.734693877559</v>
      </c>
      <c r="H196" s="29">
        <f t="shared" si="112"/>
        <v>69711.953352769691</v>
      </c>
      <c r="I196" s="30">
        <f t="shared" si="112"/>
        <v>77079.966680549769</v>
      </c>
      <c r="J196" s="29">
        <f t="shared" si="112"/>
        <v>82514.261914678398</v>
      </c>
      <c r="K196" s="29">
        <f t="shared" si="112"/>
        <v>86567.329939055999</v>
      </c>
      <c r="L196" s="29">
        <f t="shared" si="112"/>
        <v>89633.807099325713</v>
      </c>
      <c r="M196" s="29">
        <f t="shared" si="112"/>
        <v>91995.576499518385</v>
      </c>
      <c r="N196" s="29">
        <f t="shared" si="112"/>
        <v>93853.983213941727</v>
      </c>
      <c r="P196" s="2"/>
      <c r="Q196" s="2"/>
      <c r="R196" s="2"/>
    </row>
    <row r="197" spans="2:18" s="5" customFormat="1" ht="15" customHeight="1" x14ac:dyDescent="0.45">
      <c r="B197" s="142"/>
      <c r="C197" s="154">
        <v>1000000</v>
      </c>
      <c r="D197" s="17" t="s">
        <v>19</v>
      </c>
      <c r="E197" s="31">
        <f>E161+E173+E185</f>
        <v>55785.71428571429</v>
      </c>
      <c r="F197" s="31">
        <f t="shared" si="112"/>
        <v>40275.510204081627</v>
      </c>
      <c r="G197" s="31">
        <f t="shared" si="112"/>
        <v>29196.793002915452</v>
      </c>
      <c r="H197" s="31">
        <f t="shared" si="112"/>
        <v>21283.423573511031</v>
      </c>
      <c r="I197" s="31">
        <f t="shared" si="112"/>
        <v>15631.016838222171</v>
      </c>
      <c r="J197" s="31">
        <f t="shared" si="112"/>
        <v>11593.583455872978</v>
      </c>
      <c r="K197" s="31">
        <f t="shared" si="112"/>
        <v>8709.7024684807002</v>
      </c>
      <c r="L197" s="31">
        <f t="shared" si="112"/>
        <v>6649.7874774862194</v>
      </c>
      <c r="M197" s="31">
        <f t="shared" si="112"/>
        <v>5178.4196267758616</v>
      </c>
      <c r="N197" s="31">
        <f t="shared" si="112"/>
        <v>4127.4425905541848</v>
      </c>
      <c r="P197" s="2"/>
      <c r="Q197" s="2"/>
      <c r="R197" s="2"/>
    </row>
    <row r="198" spans="2:18" s="5" customFormat="1" ht="15" customHeight="1" x14ac:dyDescent="0.45">
      <c r="B198" s="142"/>
      <c r="C198" s="154"/>
      <c r="D198" s="17" t="s">
        <v>22</v>
      </c>
      <c r="E198" s="31"/>
      <c r="F198" s="31"/>
      <c r="G198" s="31"/>
      <c r="H198" s="31"/>
      <c r="I198" s="32">
        <f>SUM(E197:I197)/5</f>
        <v>32434.491580888913</v>
      </c>
      <c r="J198" s="31"/>
      <c r="K198" s="31"/>
      <c r="L198" s="31"/>
      <c r="M198" s="31"/>
      <c r="N198" s="31">
        <f>SUM(E197:N197)/10</f>
        <v>19843.139352361453</v>
      </c>
      <c r="P198" s="2"/>
      <c r="Q198" s="2"/>
      <c r="R198" s="2"/>
    </row>
    <row r="199" spans="2:18" s="5" customFormat="1" ht="15" customHeight="1" x14ac:dyDescent="0.45">
      <c r="B199" s="142"/>
      <c r="C199" s="154"/>
      <c r="D199" s="17" t="s">
        <v>52</v>
      </c>
      <c r="E199" s="31">
        <f>E163+E175+E187</f>
        <v>55785.71428571429</v>
      </c>
      <c r="F199" s="31">
        <f t="shared" ref="F199:N200" si="113">F163+F175+F187</f>
        <v>96061.224489795917</v>
      </c>
      <c r="G199" s="31">
        <f t="shared" si="113"/>
        <v>125258.01749271137</v>
      </c>
      <c r="H199" s="31">
        <f t="shared" si="113"/>
        <v>146541.44106622244</v>
      </c>
      <c r="I199" s="32">
        <f t="shared" si="113"/>
        <v>162172.4579044446</v>
      </c>
      <c r="J199" s="31">
        <f t="shared" si="113"/>
        <v>173766.04136031755</v>
      </c>
      <c r="K199" s="31">
        <f t="shared" si="113"/>
        <v>182475.74382879824</v>
      </c>
      <c r="L199" s="31">
        <f t="shared" si="113"/>
        <v>189125.53130628442</v>
      </c>
      <c r="M199" s="31">
        <f t="shared" si="113"/>
        <v>194303.95093306038</v>
      </c>
      <c r="N199" s="31">
        <f t="shared" si="113"/>
        <v>198431.39352361462</v>
      </c>
      <c r="P199" s="2"/>
      <c r="Q199" s="2"/>
      <c r="R199" s="2"/>
    </row>
    <row r="200" spans="2:18" s="5" customFormat="1" ht="15" customHeight="1" x14ac:dyDescent="0.45">
      <c r="B200" s="142"/>
      <c r="C200" s="154">
        <v>2100000</v>
      </c>
      <c r="D200" s="17" t="s">
        <v>19</v>
      </c>
      <c r="E200" s="31">
        <f>E164+E176+E188</f>
        <v>117150</v>
      </c>
      <c r="F200" s="31">
        <f t="shared" si="113"/>
        <v>84578.57142857142</v>
      </c>
      <c r="G200" s="31">
        <f t="shared" si="113"/>
        <v>61313.265306122456</v>
      </c>
      <c r="H200" s="31">
        <f t="shared" si="113"/>
        <v>44695.189504373171</v>
      </c>
      <c r="I200" s="31">
        <f t="shared" si="113"/>
        <v>32825.135360266555</v>
      </c>
      <c r="J200" s="31">
        <f t="shared" si="113"/>
        <v>24346.525257333255</v>
      </c>
      <c r="K200" s="31">
        <f t="shared" si="113"/>
        <v>18290.375183809472</v>
      </c>
      <c r="L200" s="31">
        <f t="shared" si="113"/>
        <v>13964.553702721059</v>
      </c>
      <c r="M200" s="31">
        <f t="shared" si="113"/>
        <v>10874.68121622931</v>
      </c>
      <c r="N200" s="31">
        <f t="shared" si="113"/>
        <v>8667.6294401637879</v>
      </c>
      <c r="P200" s="2"/>
      <c r="Q200" s="2"/>
      <c r="R200" s="2"/>
    </row>
    <row r="201" spans="2:18" s="5" customFormat="1" ht="15" customHeight="1" x14ac:dyDescent="0.45">
      <c r="B201" s="142"/>
      <c r="C201" s="154"/>
      <c r="D201" s="17" t="s">
        <v>22</v>
      </c>
      <c r="E201" s="31"/>
      <c r="F201" s="31"/>
      <c r="G201" s="31"/>
      <c r="H201" s="31"/>
      <c r="I201" s="32">
        <f>SUM(E200:I200)/5</f>
        <v>68112.432319866712</v>
      </c>
      <c r="J201" s="31"/>
      <c r="K201" s="31"/>
      <c r="L201" s="31"/>
      <c r="M201" s="31"/>
      <c r="N201" s="31">
        <f>SUM(E200:N200)/10</f>
        <v>41670.592639959053</v>
      </c>
      <c r="P201" s="2"/>
      <c r="Q201" s="2"/>
      <c r="R201" s="2"/>
    </row>
    <row r="202" spans="2:18" s="5" customFormat="1" ht="15" customHeight="1" x14ac:dyDescent="0.45">
      <c r="B202" s="142"/>
      <c r="C202" s="154"/>
      <c r="D202" s="17" t="s">
        <v>52</v>
      </c>
      <c r="E202" s="31">
        <f>E166+E178+E190</f>
        <v>117150</v>
      </c>
      <c r="F202" s="31">
        <f t="shared" ref="F202:N202" si="114">F166+F178+F190</f>
        <v>201728.57142857142</v>
      </c>
      <c r="G202" s="31">
        <f t="shared" si="114"/>
        <v>263041.8367346939</v>
      </c>
      <c r="H202" s="31">
        <f t="shared" si="114"/>
        <v>307737.02623906708</v>
      </c>
      <c r="I202" s="32">
        <f t="shared" si="114"/>
        <v>340562.16159933363</v>
      </c>
      <c r="J202" s="31">
        <f t="shared" si="114"/>
        <v>364908.68685666681</v>
      </c>
      <c r="K202" s="31">
        <f t="shared" si="114"/>
        <v>383199.06204047624</v>
      </c>
      <c r="L202" s="31">
        <f t="shared" si="114"/>
        <v>397163.61574319727</v>
      </c>
      <c r="M202" s="31">
        <f t="shared" si="114"/>
        <v>408038.29695942684</v>
      </c>
      <c r="N202" s="31">
        <f t="shared" si="114"/>
        <v>416705.92639959068</v>
      </c>
      <c r="P202" s="2"/>
      <c r="Q202" s="2"/>
      <c r="R202" s="2"/>
    </row>
    <row r="203" spans="2:18" s="5" customFormat="1" ht="15" customHeight="1" x14ac:dyDescent="0.45">
      <c r="B203" s="4"/>
      <c r="C203" s="1"/>
      <c r="D203" s="48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2"/>
      <c r="Q203" s="2"/>
      <c r="R203" s="2"/>
    </row>
    <row r="204" spans="2:18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  <c r="R204" s="2"/>
    </row>
    <row r="205" spans="2:18" ht="15" customHeight="1" x14ac:dyDescent="0.45">
      <c r="G205" s="13">
        <f>10*1.5/10</f>
        <v>1.5</v>
      </c>
    </row>
  </sheetData>
  <mergeCells count="121">
    <mergeCell ref="B191:B202"/>
    <mergeCell ref="C191:C193"/>
    <mergeCell ref="C194:C196"/>
    <mergeCell ref="C197:C199"/>
    <mergeCell ref="C200:C202"/>
    <mergeCell ref="B167:B178"/>
    <mergeCell ref="C167:C169"/>
    <mergeCell ref="C170:C172"/>
    <mergeCell ref="C173:C175"/>
    <mergeCell ref="C176:C178"/>
    <mergeCell ref="B179:B190"/>
    <mergeCell ref="C179:C181"/>
    <mergeCell ref="C182:C184"/>
    <mergeCell ref="C185:C187"/>
    <mergeCell ref="C188:C190"/>
    <mergeCell ref="J153:J154"/>
    <mergeCell ref="K153:K154"/>
    <mergeCell ref="L153:L154"/>
    <mergeCell ref="M153:M154"/>
    <mergeCell ref="N153:N154"/>
    <mergeCell ref="B155:B166"/>
    <mergeCell ref="C155:C157"/>
    <mergeCell ref="C158:C160"/>
    <mergeCell ref="C161:C163"/>
    <mergeCell ref="C164:C166"/>
    <mergeCell ref="D153:D154"/>
    <mergeCell ref="E153:E154"/>
    <mergeCell ref="F153:F154"/>
    <mergeCell ref="G153:G154"/>
    <mergeCell ref="H153:H154"/>
    <mergeCell ref="I153:I154"/>
    <mergeCell ref="B137:B151"/>
    <mergeCell ref="C137:C141"/>
    <mergeCell ref="C142:C146"/>
    <mergeCell ref="C147:C151"/>
    <mergeCell ref="B153:B154"/>
    <mergeCell ref="C153:C154"/>
    <mergeCell ref="B109:B123"/>
    <mergeCell ref="C109:C113"/>
    <mergeCell ref="C114:C118"/>
    <mergeCell ref="C119:C123"/>
    <mergeCell ref="B124:B136"/>
    <mergeCell ref="C124:C128"/>
    <mergeCell ref="C129:C131"/>
    <mergeCell ref="C132:C136"/>
    <mergeCell ref="J94:J95"/>
    <mergeCell ref="K94:K95"/>
    <mergeCell ref="L94:L95"/>
    <mergeCell ref="M94:M95"/>
    <mergeCell ref="N94:N95"/>
    <mergeCell ref="B96:B108"/>
    <mergeCell ref="C96:C100"/>
    <mergeCell ref="C101:C103"/>
    <mergeCell ref="C104:C108"/>
    <mergeCell ref="B94:B95"/>
    <mergeCell ref="E94:E95"/>
    <mergeCell ref="F94:F95"/>
    <mergeCell ref="G94:G95"/>
    <mergeCell ref="H94:H95"/>
    <mergeCell ref="I94:I95"/>
    <mergeCell ref="B63:B77"/>
    <mergeCell ref="C63:C67"/>
    <mergeCell ref="C68:C72"/>
    <mergeCell ref="C73:C77"/>
    <mergeCell ref="B78:B92"/>
    <mergeCell ref="C78:C82"/>
    <mergeCell ref="C83:C87"/>
    <mergeCell ref="C88:C92"/>
    <mergeCell ref="J48:J49"/>
    <mergeCell ref="K48:K49"/>
    <mergeCell ref="L48:L49"/>
    <mergeCell ref="M48:M49"/>
    <mergeCell ref="N48:N49"/>
    <mergeCell ref="B50:B62"/>
    <mergeCell ref="C50:C54"/>
    <mergeCell ref="C55:C57"/>
    <mergeCell ref="C58:C62"/>
    <mergeCell ref="B48:B49"/>
    <mergeCell ref="E48:E49"/>
    <mergeCell ref="F48:F49"/>
    <mergeCell ref="G48:G49"/>
    <mergeCell ref="H48:H49"/>
    <mergeCell ref="I48:I49"/>
    <mergeCell ref="N32:N33"/>
    <mergeCell ref="B34:B46"/>
    <mergeCell ref="C34:C38"/>
    <mergeCell ref="C39:C41"/>
    <mergeCell ref="C42:C46"/>
    <mergeCell ref="B32:B33"/>
    <mergeCell ref="E32:E33"/>
    <mergeCell ref="F32:F33"/>
    <mergeCell ref="G32:G33"/>
    <mergeCell ref="H32:H33"/>
    <mergeCell ref="I32:I33"/>
    <mergeCell ref="B26:B30"/>
    <mergeCell ref="C26:C30"/>
    <mergeCell ref="H14:H15"/>
    <mergeCell ref="I14:I15"/>
    <mergeCell ref="J14:J15"/>
    <mergeCell ref="J32:J33"/>
    <mergeCell ref="K32:K33"/>
    <mergeCell ref="L32:L33"/>
    <mergeCell ref="M32:M33"/>
    <mergeCell ref="B18:B25"/>
    <mergeCell ref="C18:C25"/>
    <mergeCell ref="B16:B17"/>
    <mergeCell ref="C16:C17"/>
    <mergeCell ref="B2:C12"/>
    <mergeCell ref="D2:E3"/>
    <mergeCell ref="G2:I3"/>
    <mergeCell ref="K2:N2"/>
    <mergeCell ref="B14:B15"/>
    <mergeCell ref="C14:C15"/>
    <mergeCell ref="D14:D15"/>
    <mergeCell ref="E14:E15"/>
    <mergeCell ref="F14:F15"/>
    <mergeCell ref="G14:G15"/>
    <mergeCell ref="N14:N15"/>
    <mergeCell ref="K14:K15"/>
    <mergeCell ref="L14:L15"/>
    <mergeCell ref="M14:M15"/>
  </mergeCells>
  <conditionalFormatting sqref="E10">
    <cfRule type="cellIs" dxfId="2" priority="1" operator="lessThan">
      <formula>1</formula>
    </cfRule>
    <cfRule type="cellIs" dxfId="1" priority="2" operator="greaterThan">
      <formula>1</formula>
    </cfRule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I24 N2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699-E675-4CCE-90DB-2112E8B3FDA9}">
  <dimension ref="A1:N44"/>
  <sheetViews>
    <sheetView zoomScaleNormal="100" workbookViewId="0">
      <selection activeCell="F6" sqref="F6"/>
    </sheetView>
  </sheetViews>
  <sheetFormatPr defaultRowHeight="14.25" x14ac:dyDescent="0.45"/>
  <cols>
    <col min="1" max="1" width="1.73046875" style="2" customWidth="1"/>
    <col min="2" max="2" width="23.86328125" style="2" bestFit="1" customWidth="1"/>
    <col min="3" max="5" width="15.33203125" style="2" customWidth="1"/>
    <col min="6" max="8" width="16.6640625" style="2" customWidth="1"/>
    <col min="9" max="13" width="20.33203125" style="2" customWidth="1"/>
    <col min="14" max="14" width="1.73046875" style="2" customWidth="1"/>
    <col min="15" max="16384" width="9.06640625" style="2"/>
  </cols>
  <sheetData>
    <row r="1" spans="1:14" x14ac:dyDescent="0.45"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35.75" customHeight="1" x14ac:dyDescent="0.45">
      <c r="B2" s="167" t="s">
        <v>111</v>
      </c>
      <c r="C2" s="165"/>
      <c r="D2" s="165"/>
      <c r="E2" s="155" t="s">
        <v>21</v>
      </c>
      <c r="F2" s="112" t="s">
        <v>85</v>
      </c>
      <c r="G2" s="113" t="s">
        <v>86</v>
      </c>
      <c r="H2" s="113" t="s">
        <v>87</v>
      </c>
      <c r="I2" s="112" t="s">
        <v>85</v>
      </c>
      <c r="J2" s="112"/>
      <c r="K2" s="112"/>
      <c r="L2" s="112"/>
      <c r="M2" s="114"/>
      <c r="N2" s="9"/>
    </row>
    <row r="3" spans="1:14" ht="35.75" customHeight="1" x14ac:dyDescent="0.45">
      <c r="A3" s="9"/>
      <c r="B3" s="168"/>
      <c r="C3" s="166"/>
      <c r="D3" s="166"/>
      <c r="E3" s="156"/>
      <c r="F3" s="115" t="s">
        <v>90</v>
      </c>
      <c r="G3" s="116" t="s">
        <v>91</v>
      </c>
      <c r="H3" s="116" t="s">
        <v>91</v>
      </c>
      <c r="I3" s="115" t="s">
        <v>97</v>
      </c>
      <c r="J3" s="115" t="s">
        <v>98</v>
      </c>
      <c r="K3" s="115" t="s">
        <v>92</v>
      </c>
      <c r="L3" s="115" t="s">
        <v>93</v>
      </c>
      <c r="M3" s="117" t="s">
        <v>109</v>
      </c>
      <c r="N3" s="9"/>
    </row>
    <row r="4" spans="1:14" ht="18.399999999999999" customHeight="1" x14ac:dyDescent="0.45">
      <c r="A4" s="9"/>
      <c r="B4" s="108" t="s">
        <v>94</v>
      </c>
      <c r="C4" s="109" t="s">
        <v>106</v>
      </c>
      <c r="D4" s="109" t="s">
        <v>104</v>
      </c>
      <c r="E4" s="109" t="s">
        <v>99</v>
      </c>
      <c r="F4" s="109" t="s">
        <v>100</v>
      </c>
      <c r="G4" s="109" t="s">
        <v>101</v>
      </c>
      <c r="H4" s="109" t="s">
        <v>102</v>
      </c>
      <c r="I4" s="109" t="s">
        <v>95</v>
      </c>
      <c r="J4" s="109" t="s">
        <v>96</v>
      </c>
      <c r="K4" s="109" t="s">
        <v>88</v>
      </c>
      <c r="L4" s="109" t="s">
        <v>89</v>
      </c>
      <c r="M4" s="110" t="s">
        <v>103</v>
      </c>
      <c r="N4" s="9"/>
    </row>
    <row r="5" spans="1:14" x14ac:dyDescent="0.45">
      <c r="A5" s="9"/>
      <c r="B5" s="102" t="str">
        <f>E5 &amp; "X Long Bitcoin"</f>
        <v>2X Long Bitcoin</v>
      </c>
      <c r="C5" s="104">
        <v>0.15</v>
      </c>
      <c r="D5" s="104" t="s">
        <v>105</v>
      </c>
      <c r="E5" s="103">
        <v>2</v>
      </c>
      <c r="F5" s="103">
        <v>1</v>
      </c>
      <c r="G5" s="103">
        <f t="shared" ref="G5:G9" si="0">F5</f>
        <v>1</v>
      </c>
      <c r="H5" s="103">
        <f>E5-F5-G5</f>
        <v>0</v>
      </c>
      <c r="I5" s="104">
        <f>F5/E5</f>
        <v>0.5</v>
      </c>
      <c r="J5" s="104">
        <f t="shared" ref="J5:J7" si="1">1-I5</f>
        <v>0.5</v>
      </c>
      <c r="K5" s="104">
        <f t="shared" ref="K5" si="2">G5/F5</f>
        <v>1</v>
      </c>
      <c r="L5" s="104">
        <f t="shared" ref="L5:L7" si="3">H5/F5</f>
        <v>0</v>
      </c>
      <c r="M5" s="105">
        <f t="shared" ref="M5:M7" si="4">K5+L5</f>
        <v>1</v>
      </c>
      <c r="N5" s="9"/>
    </row>
    <row r="6" spans="1:14" x14ac:dyDescent="0.45">
      <c r="A6" s="9"/>
      <c r="B6" s="102" t="str">
        <f t="shared" ref="B6:B11" si="5">E6 &amp; "X Long Bitcoin"</f>
        <v>2.5X Long Bitcoin</v>
      </c>
      <c r="C6" s="104">
        <v>0.25</v>
      </c>
      <c r="D6" s="104">
        <v>7.4999999999999997E-2</v>
      </c>
      <c r="E6" s="103">
        <v>2.5</v>
      </c>
      <c r="F6" s="103">
        <v>1</v>
      </c>
      <c r="G6" s="103">
        <f t="shared" si="0"/>
        <v>1</v>
      </c>
      <c r="H6" s="103">
        <f t="shared" ref="H6:H9" si="6">E6-F6-G6</f>
        <v>0.5</v>
      </c>
      <c r="I6" s="104">
        <f t="shared" ref="I6:I9" si="7">F6/E6</f>
        <v>0.4</v>
      </c>
      <c r="J6" s="104">
        <f t="shared" si="1"/>
        <v>0.6</v>
      </c>
      <c r="K6" s="104">
        <f t="shared" ref="K6:K41" si="8">G6/F6</f>
        <v>1</v>
      </c>
      <c r="L6" s="104">
        <f t="shared" si="3"/>
        <v>0.5</v>
      </c>
      <c r="M6" s="105">
        <f t="shared" si="4"/>
        <v>1.5</v>
      </c>
      <c r="N6" s="9"/>
    </row>
    <row r="7" spans="1:14" x14ac:dyDescent="0.45">
      <c r="A7" s="9"/>
      <c r="B7" s="102" t="str">
        <f t="shared" si="5"/>
        <v>3X Long Bitcoin</v>
      </c>
      <c r="C7" s="104">
        <v>0.25</v>
      </c>
      <c r="D7" s="104">
        <v>7.4999999999999997E-2</v>
      </c>
      <c r="E7" s="103">
        <v>3</v>
      </c>
      <c r="F7" s="103">
        <v>1</v>
      </c>
      <c r="G7" s="103">
        <f t="shared" si="0"/>
        <v>1</v>
      </c>
      <c r="H7" s="103">
        <f t="shared" si="6"/>
        <v>1</v>
      </c>
      <c r="I7" s="104">
        <f t="shared" si="7"/>
        <v>0.33333333333333331</v>
      </c>
      <c r="J7" s="104">
        <f t="shared" si="1"/>
        <v>0.66666666666666674</v>
      </c>
      <c r="K7" s="104">
        <f t="shared" si="8"/>
        <v>1</v>
      </c>
      <c r="L7" s="104">
        <f t="shared" si="3"/>
        <v>1</v>
      </c>
      <c r="M7" s="105">
        <f t="shared" si="4"/>
        <v>2</v>
      </c>
      <c r="N7" s="9"/>
    </row>
    <row r="8" spans="1:14" x14ac:dyDescent="0.45">
      <c r="A8" s="9"/>
      <c r="B8" s="102" t="str">
        <f t="shared" si="5"/>
        <v>3.5X Long Bitcoin</v>
      </c>
      <c r="C8" s="104">
        <v>0.25</v>
      </c>
      <c r="D8" s="162">
        <v>7.4999999999999997E-2</v>
      </c>
      <c r="E8" s="102">
        <v>3.5</v>
      </c>
      <c r="F8" s="103">
        <v>1</v>
      </c>
      <c r="G8" s="103">
        <f t="shared" si="0"/>
        <v>1</v>
      </c>
      <c r="H8" s="103">
        <f t="shared" si="6"/>
        <v>1.5</v>
      </c>
      <c r="I8" s="104">
        <f t="shared" si="7"/>
        <v>0.2857142857142857</v>
      </c>
      <c r="J8" s="104">
        <f>1-I8</f>
        <v>0.7142857142857143</v>
      </c>
      <c r="K8" s="104">
        <f t="shared" si="8"/>
        <v>1</v>
      </c>
      <c r="L8" s="105">
        <f>H8/F8</f>
        <v>1.5</v>
      </c>
      <c r="M8" s="105">
        <f>K8+L8</f>
        <v>2.5</v>
      </c>
      <c r="N8" s="9"/>
    </row>
    <row r="9" spans="1:14" x14ac:dyDescent="0.45">
      <c r="A9" s="9"/>
      <c r="B9" s="102" t="str">
        <f t="shared" si="5"/>
        <v>4X Long Bitcoin</v>
      </c>
      <c r="C9" s="104">
        <v>0.25</v>
      </c>
      <c r="D9" s="162">
        <v>7.4999999999999997E-2</v>
      </c>
      <c r="E9" s="102">
        <v>4</v>
      </c>
      <c r="F9" s="103">
        <v>1</v>
      </c>
      <c r="G9" s="103">
        <f t="shared" si="0"/>
        <v>1</v>
      </c>
      <c r="H9" s="103">
        <f t="shared" si="6"/>
        <v>2</v>
      </c>
      <c r="I9" s="104">
        <f t="shared" si="7"/>
        <v>0.25</v>
      </c>
      <c r="J9" s="104">
        <f t="shared" ref="J9:J41" si="9">1-I9</f>
        <v>0.75</v>
      </c>
      <c r="K9" s="104">
        <f t="shared" si="8"/>
        <v>1</v>
      </c>
      <c r="L9" s="105">
        <f t="shared" ref="L9:L41" si="10">H9/F9</f>
        <v>2</v>
      </c>
      <c r="M9" s="105">
        <f t="shared" ref="M9:M41" si="11">K9+L9</f>
        <v>3</v>
      </c>
      <c r="N9" s="9"/>
    </row>
    <row r="10" spans="1:14" x14ac:dyDescent="0.45">
      <c r="A10" s="9"/>
      <c r="B10" s="102" t="str">
        <f t="shared" si="5"/>
        <v>4.5X Long Bitcoin</v>
      </c>
      <c r="C10" s="104">
        <v>0.25</v>
      </c>
      <c r="D10" s="162">
        <v>7.4999999999999997E-2</v>
      </c>
      <c r="E10" s="163">
        <v>4.5</v>
      </c>
      <c r="F10" s="163">
        <v>1</v>
      </c>
      <c r="G10" s="163">
        <f>F10</f>
        <v>1</v>
      </c>
      <c r="H10" s="163">
        <f>E10-F10-G10</f>
        <v>2.5</v>
      </c>
      <c r="I10" s="162">
        <f>F10/E10</f>
        <v>0.22222222222222221</v>
      </c>
      <c r="J10" s="104">
        <f t="shared" si="9"/>
        <v>0.77777777777777779</v>
      </c>
      <c r="K10" s="162">
        <f t="shared" si="8"/>
        <v>1</v>
      </c>
      <c r="L10" s="105">
        <f t="shared" si="10"/>
        <v>2.5</v>
      </c>
      <c r="M10" s="105">
        <f t="shared" si="11"/>
        <v>3.5</v>
      </c>
      <c r="N10" s="9"/>
    </row>
    <row r="11" spans="1:14" x14ac:dyDescent="0.45">
      <c r="A11" s="9"/>
      <c r="B11" s="102" t="str">
        <f t="shared" si="5"/>
        <v>5X Long Bitcoin</v>
      </c>
      <c r="C11" s="104">
        <v>0.25</v>
      </c>
      <c r="D11" s="162">
        <v>7.4999999999999997E-2</v>
      </c>
      <c r="E11" s="163">
        <v>5</v>
      </c>
      <c r="F11" s="163">
        <v>1</v>
      </c>
      <c r="G11" s="163">
        <f t="shared" ref="G11:G41" si="12">F11</f>
        <v>1</v>
      </c>
      <c r="H11" s="163">
        <f t="shared" ref="H11:H41" si="13">E11-F11-G11</f>
        <v>3</v>
      </c>
      <c r="I11" s="162">
        <f t="shared" ref="I11:I41" si="14">F11/E11</f>
        <v>0.2</v>
      </c>
      <c r="J11" s="104">
        <f t="shared" si="9"/>
        <v>0.8</v>
      </c>
      <c r="K11" s="162">
        <f t="shared" si="8"/>
        <v>1</v>
      </c>
      <c r="L11" s="105">
        <f t="shared" si="10"/>
        <v>3</v>
      </c>
      <c r="M11" s="105">
        <f t="shared" si="11"/>
        <v>4</v>
      </c>
      <c r="N11" s="9"/>
    </row>
    <row r="12" spans="1:14" x14ac:dyDescent="0.45">
      <c r="A12" s="9"/>
      <c r="B12" s="164" t="str">
        <f>E12 &amp; "X Long Bitcoin"</f>
        <v>5.5X Long Bitcoin</v>
      </c>
      <c r="C12" s="69">
        <v>0.25</v>
      </c>
      <c r="D12" s="69">
        <v>7.4999999999999997E-2</v>
      </c>
      <c r="E12" s="106">
        <v>5.5</v>
      </c>
      <c r="F12" s="106">
        <v>1</v>
      </c>
      <c r="G12" s="106">
        <f t="shared" si="12"/>
        <v>1</v>
      </c>
      <c r="H12" s="106">
        <f t="shared" si="13"/>
        <v>3.5</v>
      </c>
      <c r="I12" s="69">
        <f t="shared" si="14"/>
        <v>0.18181818181818182</v>
      </c>
      <c r="J12" s="111">
        <f t="shared" si="9"/>
        <v>0.81818181818181812</v>
      </c>
      <c r="K12" s="69">
        <f t="shared" si="8"/>
        <v>1</v>
      </c>
      <c r="L12" s="68">
        <f t="shared" si="10"/>
        <v>3.5</v>
      </c>
      <c r="M12" s="68">
        <f t="shared" si="11"/>
        <v>4.5</v>
      </c>
      <c r="N12" s="9"/>
    </row>
    <row r="13" spans="1:14" x14ac:dyDescent="0.45">
      <c r="A13" s="9"/>
      <c r="B13" s="164" t="str">
        <f t="shared" ref="B13:B41" si="15">E13 &amp; "X Long Bitcoin"</f>
        <v>6X Long Bitcoin</v>
      </c>
      <c r="C13" s="69">
        <v>0.25</v>
      </c>
      <c r="D13" s="69">
        <v>7.4999999999999997E-2</v>
      </c>
      <c r="E13" s="106">
        <v>6</v>
      </c>
      <c r="F13" s="106">
        <v>1</v>
      </c>
      <c r="G13" s="106">
        <f t="shared" si="12"/>
        <v>1</v>
      </c>
      <c r="H13" s="106">
        <f t="shared" si="13"/>
        <v>4</v>
      </c>
      <c r="I13" s="69">
        <f t="shared" si="14"/>
        <v>0.16666666666666666</v>
      </c>
      <c r="J13" s="111">
        <f t="shared" si="9"/>
        <v>0.83333333333333337</v>
      </c>
      <c r="K13" s="69">
        <f t="shared" si="8"/>
        <v>1</v>
      </c>
      <c r="L13" s="68">
        <f t="shared" si="10"/>
        <v>4</v>
      </c>
      <c r="M13" s="68">
        <f t="shared" si="11"/>
        <v>5</v>
      </c>
      <c r="N13" s="9"/>
    </row>
    <row r="14" spans="1:14" x14ac:dyDescent="0.45">
      <c r="A14" s="9"/>
      <c r="B14" s="164" t="str">
        <f t="shared" si="15"/>
        <v>6.5X Long Bitcoin</v>
      </c>
      <c r="C14" s="69">
        <v>0.25</v>
      </c>
      <c r="D14" s="69">
        <v>7.4999999999999997E-2</v>
      </c>
      <c r="E14" s="106">
        <v>6.5</v>
      </c>
      <c r="F14" s="106">
        <v>1</v>
      </c>
      <c r="G14" s="106">
        <f t="shared" si="12"/>
        <v>1</v>
      </c>
      <c r="H14" s="106">
        <f t="shared" si="13"/>
        <v>4.5</v>
      </c>
      <c r="I14" s="69">
        <f t="shared" si="14"/>
        <v>0.15384615384615385</v>
      </c>
      <c r="J14" s="111">
        <f t="shared" si="9"/>
        <v>0.84615384615384615</v>
      </c>
      <c r="K14" s="69">
        <f t="shared" si="8"/>
        <v>1</v>
      </c>
      <c r="L14" s="68">
        <f t="shared" si="10"/>
        <v>4.5</v>
      </c>
      <c r="M14" s="68">
        <f t="shared" si="11"/>
        <v>5.5</v>
      </c>
      <c r="N14" s="9"/>
    </row>
    <row r="15" spans="1:14" x14ac:dyDescent="0.45">
      <c r="A15" s="9"/>
      <c r="B15" s="164" t="str">
        <f t="shared" si="15"/>
        <v>7X Long Bitcoin</v>
      </c>
      <c r="C15" s="69">
        <v>0.25</v>
      </c>
      <c r="D15" s="69">
        <v>7.4999999999999997E-2</v>
      </c>
      <c r="E15" s="106">
        <v>7</v>
      </c>
      <c r="F15" s="106">
        <v>1</v>
      </c>
      <c r="G15" s="106">
        <f t="shared" si="12"/>
        <v>1</v>
      </c>
      <c r="H15" s="106">
        <f t="shared" si="13"/>
        <v>5</v>
      </c>
      <c r="I15" s="69">
        <f t="shared" si="14"/>
        <v>0.14285714285714285</v>
      </c>
      <c r="J15" s="111">
        <f t="shared" si="9"/>
        <v>0.85714285714285721</v>
      </c>
      <c r="K15" s="69">
        <f t="shared" si="8"/>
        <v>1</v>
      </c>
      <c r="L15" s="68">
        <f t="shared" si="10"/>
        <v>5</v>
      </c>
      <c r="M15" s="68">
        <f t="shared" si="11"/>
        <v>6</v>
      </c>
      <c r="N15" s="9"/>
    </row>
    <row r="16" spans="1:14" x14ac:dyDescent="0.45">
      <c r="A16" s="9"/>
      <c r="B16" s="164" t="str">
        <f t="shared" si="15"/>
        <v>7.5X Long Bitcoin</v>
      </c>
      <c r="C16" s="69">
        <v>0.25</v>
      </c>
      <c r="D16" s="69">
        <v>7.4999999999999997E-2</v>
      </c>
      <c r="E16" s="106">
        <v>7.5</v>
      </c>
      <c r="F16" s="106">
        <v>1</v>
      </c>
      <c r="G16" s="106">
        <f t="shared" si="12"/>
        <v>1</v>
      </c>
      <c r="H16" s="106">
        <f t="shared" si="13"/>
        <v>5.5</v>
      </c>
      <c r="I16" s="69">
        <f t="shared" si="14"/>
        <v>0.13333333333333333</v>
      </c>
      <c r="J16" s="111">
        <f t="shared" si="9"/>
        <v>0.8666666666666667</v>
      </c>
      <c r="K16" s="69">
        <f t="shared" si="8"/>
        <v>1</v>
      </c>
      <c r="L16" s="68">
        <f t="shared" si="10"/>
        <v>5.5</v>
      </c>
      <c r="M16" s="68">
        <f t="shared" si="11"/>
        <v>6.5</v>
      </c>
      <c r="N16" s="9"/>
    </row>
    <row r="17" spans="1:14" x14ac:dyDescent="0.45">
      <c r="A17" s="9"/>
      <c r="B17" s="164" t="str">
        <f t="shared" si="15"/>
        <v>8X Long Bitcoin</v>
      </c>
      <c r="C17" s="69">
        <v>0.25</v>
      </c>
      <c r="D17" s="69">
        <v>7.4999999999999997E-2</v>
      </c>
      <c r="E17" s="106">
        <v>8</v>
      </c>
      <c r="F17" s="106">
        <v>1</v>
      </c>
      <c r="G17" s="106">
        <f t="shared" si="12"/>
        <v>1</v>
      </c>
      <c r="H17" s="106">
        <f t="shared" si="13"/>
        <v>6</v>
      </c>
      <c r="I17" s="69">
        <f t="shared" si="14"/>
        <v>0.125</v>
      </c>
      <c r="J17" s="111">
        <f t="shared" si="9"/>
        <v>0.875</v>
      </c>
      <c r="K17" s="69">
        <f t="shared" si="8"/>
        <v>1</v>
      </c>
      <c r="L17" s="68">
        <f t="shared" si="10"/>
        <v>6</v>
      </c>
      <c r="M17" s="68">
        <f t="shared" si="11"/>
        <v>7</v>
      </c>
      <c r="N17" s="9"/>
    </row>
    <row r="18" spans="1:14" x14ac:dyDescent="0.45">
      <c r="A18" s="9"/>
      <c r="B18" s="164" t="str">
        <f t="shared" si="15"/>
        <v>8.5X Long Bitcoin</v>
      </c>
      <c r="C18" s="69">
        <v>0.25</v>
      </c>
      <c r="D18" s="69">
        <v>7.4999999999999997E-2</v>
      </c>
      <c r="E18" s="106">
        <v>8.5</v>
      </c>
      <c r="F18" s="106">
        <v>1</v>
      </c>
      <c r="G18" s="106">
        <f t="shared" si="12"/>
        <v>1</v>
      </c>
      <c r="H18" s="106">
        <f t="shared" si="13"/>
        <v>6.5</v>
      </c>
      <c r="I18" s="69">
        <f t="shared" si="14"/>
        <v>0.11764705882352941</v>
      </c>
      <c r="J18" s="111">
        <f t="shared" si="9"/>
        <v>0.88235294117647056</v>
      </c>
      <c r="K18" s="69">
        <f t="shared" si="8"/>
        <v>1</v>
      </c>
      <c r="L18" s="68">
        <f t="shared" si="10"/>
        <v>6.5</v>
      </c>
      <c r="M18" s="68">
        <f t="shared" si="11"/>
        <v>7.5</v>
      </c>
      <c r="N18" s="9"/>
    </row>
    <row r="19" spans="1:14" x14ac:dyDescent="0.45">
      <c r="A19" s="9"/>
      <c r="B19" s="164" t="str">
        <f t="shared" si="15"/>
        <v>9X Long Bitcoin</v>
      </c>
      <c r="C19" s="69">
        <v>0.25</v>
      </c>
      <c r="D19" s="69">
        <v>7.4999999999999997E-2</v>
      </c>
      <c r="E19" s="106">
        <v>9</v>
      </c>
      <c r="F19" s="106">
        <v>1</v>
      </c>
      <c r="G19" s="106">
        <f t="shared" si="12"/>
        <v>1</v>
      </c>
      <c r="H19" s="106">
        <f t="shared" si="13"/>
        <v>7</v>
      </c>
      <c r="I19" s="69">
        <f t="shared" si="14"/>
        <v>0.1111111111111111</v>
      </c>
      <c r="J19" s="111">
        <f t="shared" si="9"/>
        <v>0.88888888888888884</v>
      </c>
      <c r="K19" s="69">
        <f t="shared" si="8"/>
        <v>1</v>
      </c>
      <c r="L19" s="68">
        <f t="shared" si="10"/>
        <v>7</v>
      </c>
      <c r="M19" s="68">
        <f t="shared" si="11"/>
        <v>8</v>
      </c>
      <c r="N19" s="9"/>
    </row>
    <row r="20" spans="1:14" x14ac:dyDescent="0.45">
      <c r="A20" s="9"/>
      <c r="B20" s="164" t="str">
        <f t="shared" si="15"/>
        <v>9.5X Long Bitcoin</v>
      </c>
      <c r="C20" s="69">
        <v>0.25</v>
      </c>
      <c r="D20" s="69">
        <v>7.4999999999999997E-2</v>
      </c>
      <c r="E20" s="106">
        <v>9.5</v>
      </c>
      <c r="F20" s="106">
        <v>1</v>
      </c>
      <c r="G20" s="106">
        <f t="shared" si="12"/>
        <v>1</v>
      </c>
      <c r="H20" s="106">
        <f t="shared" si="13"/>
        <v>7.5</v>
      </c>
      <c r="I20" s="69">
        <f t="shared" si="14"/>
        <v>0.10526315789473684</v>
      </c>
      <c r="J20" s="111">
        <f t="shared" si="9"/>
        <v>0.89473684210526316</v>
      </c>
      <c r="K20" s="69">
        <f t="shared" si="8"/>
        <v>1</v>
      </c>
      <c r="L20" s="68">
        <f t="shared" si="10"/>
        <v>7.5</v>
      </c>
      <c r="M20" s="68">
        <f t="shared" si="11"/>
        <v>8.5</v>
      </c>
      <c r="N20" s="9"/>
    </row>
    <row r="21" spans="1:14" x14ac:dyDescent="0.45">
      <c r="A21" s="9"/>
      <c r="B21" s="164" t="str">
        <f t="shared" si="15"/>
        <v>10X Long Bitcoin</v>
      </c>
      <c r="C21" s="69">
        <v>0.25</v>
      </c>
      <c r="D21" s="69">
        <v>7.4999999999999997E-2</v>
      </c>
      <c r="E21" s="106">
        <v>10</v>
      </c>
      <c r="F21" s="106">
        <v>1</v>
      </c>
      <c r="G21" s="106">
        <f t="shared" si="12"/>
        <v>1</v>
      </c>
      <c r="H21" s="106">
        <f t="shared" si="13"/>
        <v>8</v>
      </c>
      <c r="I21" s="69">
        <f t="shared" si="14"/>
        <v>0.1</v>
      </c>
      <c r="J21" s="111">
        <f t="shared" si="9"/>
        <v>0.9</v>
      </c>
      <c r="K21" s="69">
        <f t="shared" si="8"/>
        <v>1</v>
      </c>
      <c r="L21" s="68">
        <f t="shared" si="10"/>
        <v>8</v>
      </c>
      <c r="M21" s="68">
        <f t="shared" si="11"/>
        <v>9</v>
      </c>
      <c r="N21" s="9"/>
    </row>
    <row r="22" spans="1:14" x14ac:dyDescent="0.45">
      <c r="A22" s="9"/>
      <c r="B22" s="164" t="str">
        <f t="shared" si="15"/>
        <v>10.5X Long Bitcoin</v>
      </c>
      <c r="C22" s="69">
        <v>0.25</v>
      </c>
      <c r="D22" s="69">
        <v>7.4999999999999997E-2</v>
      </c>
      <c r="E22" s="106">
        <v>10.5</v>
      </c>
      <c r="F22" s="106">
        <v>1</v>
      </c>
      <c r="G22" s="106">
        <f t="shared" si="12"/>
        <v>1</v>
      </c>
      <c r="H22" s="106">
        <f t="shared" si="13"/>
        <v>8.5</v>
      </c>
      <c r="I22" s="69">
        <f t="shared" si="14"/>
        <v>9.5238095238095233E-2</v>
      </c>
      <c r="J22" s="111">
        <f t="shared" si="9"/>
        <v>0.90476190476190477</v>
      </c>
      <c r="K22" s="69">
        <f t="shared" si="8"/>
        <v>1</v>
      </c>
      <c r="L22" s="68">
        <f t="shared" si="10"/>
        <v>8.5</v>
      </c>
      <c r="M22" s="68">
        <f t="shared" si="11"/>
        <v>9.5</v>
      </c>
      <c r="N22" s="9"/>
    </row>
    <row r="23" spans="1:14" x14ac:dyDescent="0.45">
      <c r="A23" s="9"/>
      <c r="B23" s="164" t="str">
        <f t="shared" si="15"/>
        <v>11X Long Bitcoin</v>
      </c>
      <c r="C23" s="69">
        <v>0.25</v>
      </c>
      <c r="D23" s="69">
        <v>7.4999999999999997E-2</v>
      </c>
      <c r="E23" s="106">
        <v>11</v>
      </c>
      <c r="F23" s="106">
        <v>1</v>
      </c>
      <c r="G23" s="106">
        <f t="shared" si="12"/>
        <v>1</v>
      </c>
      <c r="H23" s="106">
        <f t="shared" si="13"/>
        <v>9</v>
      </c>
      <c r="I23" s="69">
        <f t="shared" si="14"/>
        <v>9.0909090909090912E-2</v>
      </c>
      <c r="J23" s="111">
        <f t="shared" si="9"/>
        <v>0.90909090909090906</v>
      </c>
      <c r="K23" s="69">
        <f t="shared" si="8"/>
        <v>1</v>
      </c>
      <c r="L23" s="68">
        <f t="shared" si="10"/>
        <v>9</v>
      </c>
      <c r="M23" s="68">
        <f t="shared" si="11"/>
        <v>10</v>
      </c>
      <c r="N23" s="9"/>
    </row>
    <row r="24" spans="1:14" x14ac:dyDescent="0.45">
      <c r="A24" s="9"/>
      <c r="B24" s="164" t="str">
        <f t="shared" si="15"/>
        <v>11.5X Long Bitcoin</v>
      </c>
      <c r="C24" s="69">
        <v>0.25</v>
      </c>
      <c r="D24" s="69">
        <v>7.4999999999999997E-2</v>
      </c>
      <c r="E24" s="106">
        <v>11.5</v>
      </c>
      <c r="F24" s="106">
        <v>1</v>
      </c>
      <c r="G24" s="106">
        <f t="shared" si="12"/>
        <v>1</v>
      </c>
      <c r="H24" s="106">
        <f t="shared" si="13"/>
        <v>9.5</v>
      </c>
      <c r="I24" s="69">
        <f t="shared" si="14"/>
        <v>8.6956521739130432E-2</v>
      </c>
      <c r="J24" s="111">
        <f t="shared" si="9"/>
        <v>0.91304347826086962</v>
      </c>
      <c r="K24" s="69">
        <f t="shared" si="8"/>
        <v>1</v>
      </c>
      <c r="L24" s="68">
        <f t="shared" si="10"/>
        <v>9.5</v>
      </c>
      <c r="M24" s="68">
        <f t="shared" si="11"/>
        <v>10.5</v>
      </c>
      <c r="N24" s="9"/>
    </row>
    <row r="25" spans="1:14" x14ac:dyDescent="0.45">
      <c r="A25" s="9"/>
      <c r="B25" s="164" t="str">
        <f t="shared" si="15"/>
        <v>12X Long Bitcoin</v>
      </c>
      <c r="C25" s="69">
        <v>0.25</v>
      </c>
      <c r="D25" s="69">
        <v>7.4999999999999997E-2</v>
      </c>
      <c r="E25" s="106">
        <v>12</v>
      </c>
      <c r="F25" s="106">
        <v>1</v>
      </c>
      <c r="G25" s="106">
        <f t="shared" si="12"/>
        <v>1</v>
      </c>
      <c r="H25" s="106">
        <f t="shared" si="13"/>
        <v>10</v>
      </c>
      <c r="I25" s="69">
        <f t="shared" si="14"/>
        <v>8.3333333333333329E-2</v>
      </c>
      <c r="J25" s="111">
        <f t="shared" si="9"/>
        <v>0.91666666666666663</v>
      </c>
      <c r="K25" s="69">
        <f t="shared" si="8"/>
        <v>1</v>
      </c>
      <c r="L25" s="68">
        <f t="shared" si="10"/>
        <v>10</v>
      </c>
      <c r="M25" s="68">
        <f t="shared" si="11"/>
        <v>11</v>
      </c>
      <c r="N25" s="9"/>
    </row>
    <row r="26" spans="1:14" x14ac:dyDescent="0.45">
      <c r="A26" s="9"/>
      <c r="B26" s="164" t="str">
        <f t="shared" si="15"/>
        <v>12.5X Long Bitcoin</v>
      </c>
      <c r="C26" s="69">
        <v>0.25</v>
      </c>
      <c r="D26" s="69">
        <v>7.4999999999999997E-2</v>
      </c>
      <c r="E26" s="106">
        <v>12.5</v>
      </c>
      <c r="F26" s="106">
        <v>1</v>
      </c>
      <c r="G26" s="106">
        <f t="shared" si="12"/>
        <v>1</v>
      </c>
      <c r="H26" s="106">
        <f t="shared" si="13"/>
        <v>10.5</v>
      </c>
      <c r="I26" s="69">
        <f t="shared" si="14"/>
        <v>0.08</v>
      </c>
      <c r="J26" s="111">
        <f t="shared" si="9"/>
        <v>0.92</v>
      </c>
      <c r="K26" s="69">
        <f t="shared" si="8"/>
        <v>1</v>
      </c>
      <c r="L26" s="68">
        <f t="shared" si="10"/>
        <v>10.5</v>
      </c>
      <c r="M26" s="68">
        <f t="shared" si="11"/>
        <v>11.5</v>
      </c>
      <c r="N26" s="9"/>
    </row>
    <row r="27" spans="1:14" x14ac:dyDescent="0.45">
      <c r="A27" s="9"/>
      <c r="B27" s="164" t="str">
        <f t="shared" si="15"/>
        <v>13X Long Bitcoin</v>
      </c>
      <c r="C27" s="69">
        <v>0.25</v>
      </c>
      <c r="D27" s="69">
        <v>7.4999999999999997E-2</v>
      </c>
      <c r="E27" s="106">
        <v>13</v>
      </c>
      <c r="F27" s="106">
        <v>1</v>
      </c>
      <c r="G27" s="106">
        <f t="shared" si="12"/>
        <v>1</v>
      </c>
      <c r="H27" s="106">
        <f t="shared" si="13"/>
        <v>11</v>
      </c>
      <c r="I27" s="69">
        <f t="shared" si="14"/>
        <v>7.6923076923076927E-2</v>
      </c>
      <c r="J27" s="111">
        <f t="shared" si="9"/>
        <v>0.92307692307692313</v>
      </c>
      <c r="K27" s="69">
        <f t="shared" si="8"/>
        <v>1</v>
      </c>
      <c r="L27" s="68">
        <f t="shared" si="10"/>
        <v>11</v>
      </c>
      <c r="M27" s="68">
        <f t="shared" si="11"/>
        <v>12</v>
      </c>
      <c r="N27" s="9"/>
    </row>
    <row r="28" spans="1:14" x14ac:dyDescent="0.45">
      <c r="A28" s="9"/>
      <c r="B28" s="164" t="str">
        <f t="shared" si="15"/>
        <v>13.5X Long Bitcoin</v>
      </c>
      <c r="C28" s="69">
        <v>0.25</v>
      </c>
      <c r="D28" s="69">
        <v>7.4999999999999997E-2</v>
      </c>
      <c r="E28" s="106">
        <v>13.5</v>
      </c>
      <c r="F28" s="106">
        <v>1</v>
      </c>
      <c r="G28" s="106">
        <f t="shared" si="12"/>
        <v>1</v>
      </c>
      <c r="H28" s="106">
        <f t="shared" si="13"/>
        <v>11.5</v>
      </c>
      <c r="I28" s="69">
        <f t="shared" si="14"/>
        <v>7.407407407407407E-2</v>
      </c>
      <c r="J28" s="111">
        <f t="shared" si="9"/>
        <v>0.92592592592592593</v>
      </c>
      <c r="K28" s="69">
        <f t="shared" si="8"/>
        <v>1</v>
      </c>
      <c r="L28" s="68">
        <f t="shared" si="10"/>
        <v>11.5</v>
      </c>
      <c r="M28" s="68">
        <f t="shared" si="11"/>
        <v>12.5</v>
      </c>
      <c r="N28" s="9"/>
    </row>
    <row r="29" spans="1:14" x14ac:dyDescent="0.45">
      <c r="A29" s="9"/>
      <c r="B29" s="164" t="str">
        <f t="shared" si="15"/>
        <v>14X Long Bitcoin</v>
      </c>
      <c r="C29" s="69">
        <v>0.25</v>
      </c>
      <c r="D29" s="69">
        <v>7.4999999999999997E-2</v>
      </c>
      <c r="E29" s="106">
        <v>14</v>
      </c>
      <c r="F29" s="106">
        <v>1</v>
      </c>
      <c r="G29" s="106">
        <f t="shared" si="12"/>
        <v>1</v>
      </c>
      <c r="H29" s="106">
        <f t="shared" si="13"/>
        <v>12</v>
      </c>
      <c r="I29" s="69">
        <f t="shared" si="14"/>
        <v>7.1428571428571425E-2</v>
      </c>
      <c r="J29" s="111">
        <f t="shared" si="9"/>
        <v>0.9285714285714286</v>
      </c>
      <c r="K29" s="69">
        <f t="shared" si="8"/>
        <v>1</v>
      </c>
      <c r="L29" s="68">
        <f t="shared" si="10"/>
        <v>12</v>
      </c>
      <c r="M29" s="68">
        <f t="shared" si="11"/>
        <v>13</v>
      </c>
      <c r="N29" s="9"/>
    </row>
    <row r="30" spans="1:14" x14ac:dyDescent="0.45">
      <c r="A30" s="9"/>
      <c r="B30" s="164" t="str">
        <f t="shared" si="15"/>
        <v>14.5X Long Bitcoin</v>
      </c>
      <c r="C30" s="69">
        <v>0.25</v>
      </c>
      <c r="D30" s="69">
        <v>7.4999999999999997E-2</v>
      </c>
      <c r="E30" s="106">
        <v>14.5</v>
      </c>
      <c r="F30" s="106">
        <v>1</v>
      </c>
      <c r="G30" s="106">
        <f t="shared" si="12"/>
        <v>1</v>
      </c>
      <c r="H30" s="106">
        <f t="shared" si="13"/>
        <v>12.5</v>
      </c>
      <c r="I30" s="69">
        <f t="shared" si="14"/>
        <v>6.8965517241379309E-2</v>
      </c>
      <c r="J30" s="111">
        <f t="shared" si="9"/>
        <v>0.93103448275862066</v>
      </c>
      <c r="K30" s="69">
        <f t="shared" si="8"/>
        <v>1</v>
      </c>
      <c r="L30" s="68">
        <f t="shared" si="10"/>
        <v>12.5</v>
      </c>
      <c r="M30" s="68">
        <f t="shared" si="11"/>
        <v>13.5</v>
      </c>
      <c r="N30" s="9"/>
    </row>
    <row r="31" spans="1:14" x14ac:dyDescent="0.45">
      <c r="A31" s="9"/>
      <c r="B31" s="164" t="str">
        <f t="shared" si="15"/>
        <v>15X Long Bitcoin</v>
      </c>
      <c r="C31" s="69">
        <v>0.25</v>
      </c>
      <c r="D31" s="69">
        <v>7.4999999999999997E-2</v>
      </c>
      <c r="E31" s="106">
        <v>15</v>
      </c>
      <c r="F31" s="106">
        <v>1</v>
      </c>
      <c r="G31" s="106">
        <f t="shared" si="12"/>
        <v>1</v>
      </c>
      <c r="H31" s="106">
        <f t="shared" si="13"/>
        <v>13</v>
      </c>
      <c r="I31" s="69">
        <f t="shared" si="14"/>
        <v>6.6666666666666666E-2</v>
      </c>
      <c r="J31" s="111">
        <f t="shared" si="9"/>
        <v>0.93333333333333335</v>
      </c>
      <c r="K31" s="69">
        <f t="shared" si="8"/>
        <v>1</v>
      </c>
      <c r="L31" s="68">
        <f t="shared" si="10"/>
        <v>13</v>
      </c>
      <c r="M31" s="68">
        <f t="shared" si="11"/>
        <v>14</v>
      </c>
      <c r="N31" s="9"/>
    </row>
    <row r="32" spans="1:14" x14ac:dyDescent="0.45">
      <c r="A32" s="9"/>
      <c r="B32" s="164" t="str">
        <f t="shared" si="15"/>
        <v>15.5X Long Bitcoin</v>
      </c>
      <c r="C32" s="69">
        <v>0.25</v>
      </c>
      <c r="D32" s="69">
        <v>7.4999999999999997E-2</v>
      </c>
      <c r="E32" s="106">
        <v>15.5</v>
      </c>
      <c r="F32" s="106">
        <v>1</v>
      </c>
      <c r="G32" s="106">
        <f t="shared" si="12"/>
        <v>1</v>
      </c>
      <c r="H32" s="106">
        <f t="shared" si="13"/>
        <v>13.5</v>
      </c>
      <c r="I32" s="69">
        <f t="shared" si="14"/>
        <v>6.4516129032258063E-2</v>
      </c>
      <c r="J32" s="111">
        <f t="shared" si="9"/>
        <v>0.93548387096774199</v>
      </c>
      <c r="K32" s="69">
        <f t="shared" si="8"/>
        <v>1</v>
      </c>
      <c r="L32" s="68">
        <f t="shared" si="10"/>
        <v>13.5</v>
      </c>
      <c r="M32" s="68">
        <f t="shared" si="11"/>
        <v>14.5</v>
      </c>
      <c r="N32" s="9"/>
    </row>
    <row r="33" spans="1:14" x14ac:dyDescent="0.45">
      <c r="A33" s="9"/>
      <c r="B33" s="164" t="str">
        <f t="shared" si="15"/>
        <v>16X Long Bitcoin</v>
      </c>
      <c r="C33" s="69">
        <v>0.25</v>
      </c>
      <c r="D33" s="69">
        <v>7.4999999999999997E-2</v>
      </c>
      <c r="E33" s="106">
        <v>16</v>
      </c>
      <c r="F33" s="106">
        <v>1</v>
      </c>
      <c r="G33" s="106">
        <f t="shared" si="12"/>
        <v>1</v>
      </c>
      <c r="H33" s="106">
        <f t="shared" si="13"/>
        <v>14</v>
      </c>
      <c r="I33" s="69">
        <f t="shared" si="14"/>
        <v>6.25E-2</v>
      </c>
      <c r="J33" s="111">
        <f t="shared" si="9"/>
        <v>0.9375</v>
      </c>
      <c r="K33" s="69">
        <f t="shared" si="8"/>
        <v>1</v>
      </c>
      <c r="L33" s="68">
        <f t="shared" si="10"/>
        <v>14</v>
      </c>
      <c r="M33" s="68">
        <f t="shared" si="11"/>
        <v>15</v>
      </c>
      <c r="N33" s="9"/>
    </row>
    <row r="34" spans="1:14" x14ac:dyDescent="0.45">
      <c r="A34" s="9"/>
      <c r="B34" s="164" t="str">
        <f t="shared" si="15"/>
        <v>16.5X Long Bitcoin</v>
      </c>
      <c r="C34" s="69">
        <v>0.25</v>
      </c>
      <c r="D34" s="69">
        <v>7.4999999999999997E-2</v>
      </c>
      <c r="E34" s="106">
        <v>16.5</v>
      </c>
      <c r="F34" s="106">
        <v>1</v>
      </c>
      <c r="G34" s="106">
        <f t="shared" si="12"/>
        <v>1</v>
      </c>
      <c r="H34" s="106">
        <f t="shared" si="13"/>
        <v>14.5</v>
      </c>
      <c r="I34" s="69">
        <f t="shared" si="14"/>
        <v>6.0606060606060608E-2</v>
      </c>
      <c r="J34" s="111">
        <f t="shared" si="9"/>
        <v>0.93939393939393945</v>
      </c>
      <c r="K34" s="69">
        <f t="shared" si="8"/>
        <v>1</v>
      </c>
      <c r="L34" s="68">
        <f t="shared" si="10"/>
        <v>14.5</v>
      </c>
      <c r="M34" s="68">
        <f t="shared" si="11"/>
        <v>15.5</v>
      </c>
      <c r="N34" s="9"/>
    </row>
    <row r="35" spans="1:14" x14ac:dyDescent="0.45">
      <c r="A35" s="9"/>
      <c r="B35" s="164" t="str">
        <f t="shared" si="15"/>
        <v>17X Long Bitcoin</v>
      </c>
      <c r="C35" s="69">
        <v>0.25</v>
      </c>
      <c r="D35" s="69">
        <v>7.4999999999999997E-2</v>
      </c>
      <c r="E35" s="106">
        <v>17</v>
      </c>
      <c r="F35" s="106">
        <v>1</v>
      </c>
      <c r="G35" s="106">
        <f t="shared" si="12"/>
        <v>1</v>
      </c>
      <c r="H35" s="106">
        <f t="shared" si="13"/>
        <v>15</v>
      </c>
      <c r="I35" s="69">
        <f t="shared" si="14"/>
        <v>5.8823529411764705E-2</v>
      </c>
      <c r="J35" s="111">
        <f t="shared" si="9"/>
        <v>0.94117647058823528</v>
      </c>
      <c r="K35" s="69">
        <f t="shared" si="8"/>
        <v>1</v>
      </c>
      <c r="L35" s="68">
        <f t="shared" si="10"/>
        <v>15</v>
      </c>
      <c r="M35" s="68">
        <f t="shared" si="11"/>
        <v>16</v>
      </c>
      <c r="N35" s="9"/>
    </row>
    <row r="36" spans="1:14" x14ac:dyDescent="0.45">
      <c r="A36" s="9"/>
      <c r="B36" s="164" t="str">
        <f t="shared" si="15"/>
        <v>17.5X Long Bitcoin</v>
      </c>
      <c r="C36" s="69">
        <v>0.25</v>
      </c>
      <c r="D36" s="69">
        <v>7.4999999999999997E-2</v>
      </c>
      <c r="E36" s="106">
        <v>17.5</v>
      </c>
      <c r="F36" s="106">
        <v>1</v>
      </c>
      <c r="G36" s="106">
        <f t="shared" si="12"/>
        <v>1</v>
      </c>
      <c r="H36" s="106">
        <f t="shared" si="13"/>
        <v>15.5</v>
      </c>
      <c r="I36" s="69">
        <f t="shared" si="14"/>
        <v>5.7142857142857141E-2</v>
      </c>
      <c r="J36" s="111">
        <f t="shared" si="9"/>
        <v>0.94285714285714284</v>
      </c>
      <c r="K36" s="69">
        <f t="shared" si="8"/>
        <v>1</v>
      </c>
      <c r="L36" s="68">
        <f t="shared" si="10"/>
        <v>15.5</v>
      </c>
      <c r="M36" s="68">
        <f t="shared" si="11"/>
        <v>16.5</v>
      </c>
      <c r="N36" s="9"/>
    </row>
    <row r="37" spans="1:14" x14ac:dyDescent="0.45">
      <c r="A37" s="9"/>
      <c r="B37" s="164" t="str">
        <f t="shared" si="15"/>
        <v>18X Long Bitcoin</v>
      </c>
      <c r="C37" s="69">
        <v>0.25</v>
      </c>
      <c r="D37" s="69">
        <v>7.4999999999999997E-2</v>
      </c>
      <c r="E37" s="106">
        <v>18</v>
      </c>
      <c r="F37" s="106">
        <v>1</v>
      </c>
      <c r="G37" s="106">
        <f t="shared" si="12"/>
        <v>1</v>
      </c>
      <c r="H37" s="106">
        <f t="shared" si="13"/>
        <v>16</v>
      </c>
      <c r="I37" s="69">
        <f t="shared" si="14"/>
        <v>5.5555555555555552E-2</v>
      </c>
      <c r="J37" s="111">
        <f t="shared" si="9"/>
        <v>0.94444444444444442</v>
      </c>
      <c r="K37" s="69">
        <f t="shared" si="8"/>
        <v>1</v>
      </c>
      <c r="L37" s="68">
        <f t="shared" si="10"/>
        <v>16</v>
      </c>
      <c r="M37" s="68">
        <f t="shared" si="11"/>
        <v>17</v>
      </c>
      <c r="N37" s="9"/>
    </row>
    <row r="38" spans="1:14" x14ac:dyDescent="0.45">
      <c r="A38" s="9"/>
      <c r="B38" s="164" t="str">
        <f t="shared" si="15"/>
        <v>18.5X Long Bitcoin</v>
      </c>
      <c r="C38" s="69">
        <v>0.25</v>
      </c>
      <c r="D38" s="69">
        <v>7.4999999999999997E-2</v>
      </c>
      <c r="E38" s="106">
        <v>18.5</v>
      </c>
      <c r="F38" s="106">
        <v>1</v>
      </c>
      <c r="G38" s="106">
        <f t="shared" si="12"/>
        <v>1</v>
      </c>
      <c r="H38" s="106">
        <f t="shared" si="13"/>
        <v>16.5</v>
      </c>
      <c r="I38" s="69">
        <f t="shared" si="14"/>
        <v>5.4054054054054057E-2</v>
      </c>
      <c r="J38" s="111">
        <f t="shared" si="9"/>
        <v>0.94594594594594594</v>
      </c>
      <c r="K38" s="69">
        <f t="shared" si="8"/>
        <v>1</v>
      </c>
      <c r="L38" s="68">
        <f t="shared" si="10"/>
        <v>16.5</v>
      </c>
      <c r="M38" s="68">
        <f t="shared" si="11"/>
        <v>17.5</v>
      </c>
      <c r="N38" s="9"/>
    </row>
    <row r="39" spans="1:14" x14ac:dyDescent="0.45">
      <c r="A39" s="9"/>
      <c r="B39" s="164" t="str">
        <f t="shared" si="15"/>
        <v>19X Long Bitcoin</v>
      </c>
      <c r="C39" s="69">
        <v>0.25</v>
      </c>
      <c r="D39" s="69">
        <v>7.4999999999999997E-2</v>
      </c>
      <c r="E39" s="106">
        <v>19</v>
      </c>
      <c r="F39" s="106">
        <v>1</v>
      </c>
      <c r="G39" s="106">
        <f t="shared" si="12"/>
        <v>1</v>
      </c>
      <c r="H39" s="106">
        <f t="shared" si="13"/>
        <v>17</v>
      </c>
      <c r="I39" s="69">
        <f t="shared" si="14"/>
        <v>5.2631578947368418E-2</v>
      </c>
      <c r="J39" s="111">
        <f t="shared" si="9"/>
        <v>0.94736842105263164</v>
      </c>
      <c r="K39" s="69">
        <f t="shared" si="8"/>
        <v>1</v>
      </c>
      <c r="L39" s="68">
        <f t="shared" si="10"/>
        <v>17</v>
      </c>
      <c r="M39" s="68">
        <f t="shared" si="11"/>
        <v>18</v>
      </c>
      <c r="N39" s="9"/>
    </row>
    <row r="40" spans="1:14" x14ac:dyDescent="0.45">
      <c r="A40" s="9"/>
      <c r="B40" s="164" t="str">
        <f t="shared" si="15"/>
        <v>19.5X Long Bitcoin</v>
      </c>
      <c r="C40" s="69">
        <v>0.25</v>
      </c>
      <c r="D40" s="69">
        <v>7.4999999999999997E-2</v>
      </c>
      <c r="E40" s="106">
        <v>19.5</v>
      </c>
      <c r="F40" s="106">
        <v>1</v>
      </c>
      <c r="G40" s="106">
        <f t="shared" si="12"/>
        <v>1</v>
      </c>
      <c r="H40" s="106">
        <f t="shared" si="13"/>
        <v>17.5</v>
      </c>
      <c r="I40" s="69">
        <f t="shared" si="14"/>
        <v>5.128205128205128E-2</v>
      </c>
      <c r="J40" s="111">
        <f t="shared" si="9"/>
        <v>0.94871794871794868</v>
      </c>
      <c r="K40" s="69">
        <f t="shared" si="8"/>
        <v>1</v>
      </c>
      <c r="L40" s="68">
        <f t="shared" si="10"/>
        <v>17.5</v>
      </c>
      <c r="M40" s="68">
        <f t="shared" si="11"/>
        <v>18.5</v>
      </c>
      <c r="N40" s="9"/>
    </row>
    <row r="41" spans="1:14" x14ac:dyDescent="0.45">
      <c r="A41" s="9"/>
      <c r="B41" s="164" t="str">
        <f t="shared" si="15"/>
        <v>20X Long Bitcoin</v>
      </c>
      <c r="C41" s="69">
        <v>0.25</v>
      </c>
      <c r="D41" s="69">
        <v>7.4999999999999997E-2</v>
      </c>
      <c r="E41" s="106">
        <v>20</v>
      </c>
      <c r="F41" s="106">
        <v>1</v>
      </c>
      <c r="G41" s="106">
        <f t="shared" si="12"/>
        <v>1</v>
      </c>
      <c r="H41" s="106">
        <f t="shared" si="13"/>
        <v>18</v>
      </c>
      <c r="I41" s="69">
        <f t="shared" si="14"/>
        <v>0.05</v>
      </c>
      <c r="J41" s="111">
        <f t="shared" si="9"/>
        <v>0.95</v>
      </c>
      <c r="K41" s="69">
        <f t="shared" si="8"/>
        <v>1</v>
      </c>
      <c r="L41" s="68">
        <f t="shared" si="10"/>
        <v>18</v>
      </c>
      <c r="M41" s="68">
        <f t="shared" si="11"/>
        <v>19</v>
      </c>
      <c r="N41" s="9"/>
    </row>
    <row r="42" spans="1:14" x14ac:dyDescent="0.45">
      <c r="A42" s="9"/>
      <c r="B42" s="4"/>
      <c r="C42" s="4"/>
      <c r="D42" s="4"/>
      <c r="E42" s="4"/>
      <c r="F42" s="4"/>
      <c r="G42" s="4"/>
      <c r="H42" s="4"/>
      <c r="I42" s="107"/>
      <c r="J42" s="107"/>
      <c r="K42" s="107"/>
      <c r="L42" s="107"/>
      <c r="M42" s="107"/>
      <c r="N42" s="9"/>
    </row>
    <row r="43" spans="1:14" x14ac:dyDescent="0.45">
      <c r="I43" s="13"/>
      <c r="J43" s="13"/>
      <c r="K43" s="13"/>
      <c r="L43" s="13"/>
      <c r="M43" s="13"/>
    </row>
    <row r="44" spans="1:14" x14ac:dyDescent="0.45">
      <c r="I44" s="13"/>
      <c r="J44" s="13"/>
      <c r="K44" s="13"/>
      <c r="L44" s="13"/>
      <c r="M44" s="13"/>
    </row>
  </sheetData>
  <mergeCells count="2">
    <mergeCell ref="E2:E3"/>
    <mergeCell ref="B2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8A8B3-4D3D-4488-B4BF-24906CFC65EC}">
  <dimension ref="A1:N42"/>
  <sheetViews>
    <sheetView zoomScaleNormal="100" workbookViewId="0">
      <selection activeCell="B2" sqref="B2:B8"/>
    </sheetView>
  </sheetViews>
  <sheetFormatPr defaultRowHeight="15" customHeight="1" x14ac:dyDescent="0.45"/>
  <cols>
    <col min="1" max="1" width="1.73046875" style="2" customWidth="1"/>
    <col min="2" max="2" width="40.9296875" style="2" customWidth="1"/>
    <col min="3" max="3" width="24.1328125" style="2" bestFit="1" customWidth="1"/>
    <col min="4" max="13" width="13.6640625" style="2" customWidth="1"/>
    <col min="14" max="14" width="1.6640625" style="2" customWidth="1"/>
    <col min="15" max="15" width="14.46484375" style="2" customWidth="1"/>
    <col min="16" max="16" width="1.53125" style="2" customWidth="1"/>
    <col min="17" max="16384" width="9.06640625" style="2"/>
  </cols>
  <sheetData>
    <row r="1" spans="1:14" ht="15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2"/>
    </row>
    <row r="2" spans="1:14" ht="15" customHeight="1" x14ac:dyDescent="0.45">
      <c r="A2" s="5"/>
      <c r="B2" s="121" t="s">
        <v>110</v>
      </c>
      <c r="C2" s="132" t="s">
        <v>28</v>
      </c>
      <c r="D2" s="125"/>
      <c r="E2" s="6"/>
      <c r="F2" s="157" t="s">
        <v>23</v>
      </c>
      <c r="G2" s="157"/>
      <c r="H2" s="157"/>
      <c r="I2" s="157"/>
      <c r="J2" s="7"/>
      <c r="K2" s="7"/>
      <c r="L2" s="7"/>
      <c r="M2" s="7"/>
      <c r="N2" s="5"/>
    </row>
    <row r="3" spans="1:14" ht="15" customHeight="1" x14ac:dyDescent="0.45">
      <c r="A3" s="5"/>
      <c r="B3" s="121"/>
      <c r="C3" s="126"/>
      <c r="D3" s="127"/>
      <c r="E3" s="6"/>
      <c r="F3" s="157"/>
      <c r="G3" s="157"/>
      <c r="H3" s="157"/>
      <c r="I3" s="157"/>
      <c r="J3" s="7"/>
      <c r="K3" s="7"/>
      <c r="L3" s="7"/>
      <c r="M3" s="7"/>
      <c r="N3" s="5"/>
    </row>
    <row r="4" spans="1:14" ht="15" customHeight="1" x14ac:dyDescent="0.45">
      <c r="A4" s="5"/>
      <c r="B4" s="121"/>
      <c r="C4" s="37" t="s">
        <v>2</v>
      </c>
      <c r="D4" s="38">
        <v>100000</v>
      </c>
      <c r="E4" s="6"/>
      <c r="F4" s="74" t="s">
        <v>24</v>
      </c>
      <c r="G4" s="60"/>
      <c r="H4" s="76"/>
      <c r="I4" s="86">
        <v>314.25</v>
      </c>
      <c r="J4" s="7"/>
      <c r="K4" s="7"/>
      <c r="L4" s="7"/>
      <c r="M4" s="7"/>
      <c r="N4" s="5"/>
    </row>
    <row r="5" spans="1:14" ht="15" customHeight="1" x14ac:dyDescent="0.45">
      <c r="A5" s="5"/>
      <c r="B5" s="121"/>
      <c r="C5" s="7"/>
      <c r="D5" s="7"/>
      <c r="E5" s="5"/>
      <c r="F5" s="74" t="s">
        <v>25</v>
      </c>
      <c r="G5" s="60"/>
      <c r="H5" s="76"/>
      <c r="I5" s="87">
        <v>42005</v>
      </c>
      <c r="J5" s="7"/>
      <c r="K5" s="7"/>
      <c r="L5" s="7"/>
      <c r="M5" s="7"/>
      <c r="N5" s="5"/>
    </row>
    <row r="6" spans="1:14" ht="15" customHeight="1" x14ac:dyDescent="0.45">
      <c r="A6" s="5"/>
      <c r="B6" s="121"/>
      <c r="C6" s="7"/>
      <c r="D6" s="7"/>
      <c r="E6" s="5"/>
      <c r="F6" s="74" t="s">
        <v>26</v>
      </c>
      <c r="G6" s="60"/>
      <c r="H6" s="76"/>
      <c r="I6" s="86">
        <v>94443.520000000004</v>
      </c>
      <c r="J6" s="7"/>
      <c r="K6" s="7"/>
      <c r="L6" s="7"/>
      <c r="M6" s="7"/>
      <c r="N6" s="5"/>
    </row>
    <row r="7" spans="1:14" ht="15" customHeight="1" x14ac:dyDescent="0.45">
      <c r="A7" s="5"/>
      <c r="B7" s="121"/>
      <c r="C7" s="7"/>
      <c r="D7" s="7"/>
      <c r="E7" s="5"/>
      <c r="F7" s="74" t="s">
        <v>27</v>
      </c>
      <c r="G7" s="60"/>
      <c r="H7" s="76"/>
      <c r="I7" s="87">
        <v>45658</v>
      </c>
      <c r="J7" s="7"/>
      <c r="K7" s="7"/>
      <c r="L7" s="7"/>
      <c r="M7" s="7"/>
      <c r="N7" s="5"/>
    </row>
    <row r="8" spans="1:14" ht="15" customHeight="1" x14ac:dyDescent="0.45">
      <c r="A8" s="61"/>
      <c r="B8" s="123"/>
      <c r="C8" s="7"/>
      <c r="D8" s="7"/>
      <c r="F8" s="21" t="s">
        <v>29</v>
      </c>
      <c r="G8" s="60"/>
      <c r="H8" s="76"/>
      <c r="I8" s="75">
        <f>(I6/I4)^(1/DATEDIF(I5,I7,"Y"))-1</f>
        <v>0.76925197017405411</v>
      </c>
      <c r="J8" s="7"/>
      <c r="K8" s="7"/>
      <c r="L8" s="7"/>
      <c r="M8" s="7"/>
      <c r="N8" s="5"/>
    </row>
    <row r="9" spans="1:14" ht="15" customHeight="1" x14ac:dyDescent="0.45">
      <c r="A9" s="1"/>
      <c r="B9" s="1"/>
      <c r="C9" s="77"/>
      <c r="D9" s="7"/>
      <c r="E9" s="6"/>
      <c r="F9" s="7"/>
      <c r="G9" s="7"/>
      <c r="H9" s="7"/>
      <c r="I9" s="7"/>
      <c r="J9" s="7"/>
      <c r="K9" s="7"/>
      <c r="L9" s="7"/>
      <c r="M9" s="7"/>
      <c r="N9" s="5"/>
    </row>
    <row r="10" spans="1:14" ht="30" customHeight="1" x14ac:dyDescent="0.45">
      <c r="A10" s="5"/>
      <c r="B10" s="88" t="s">
        <v>68</v>
      </c>
      <c r="C10" s="89"/>
      <c r="D10" s="133" t="s">
        <v>3</v>
      </c>
      <c r="E10" s="133" t="s">
        <v>4</v>
      </c>
      <c r="F10" s="133" t="s">
        <v>5</v>
      </c>
      <c r="G10" s="133" t="s">
        <v>6</v>
      </c>
      <c r="H10" s="133" t="s">
        <v>7</v>
      </c>
      <c r="I10" s="133" t="s">
        <v>8</v>
      </c>
      <c r="J10" s="133" t="s">
        <v>9</v>
      </c>
      <c r="K10" s="133" t="s">
        <v>10</v>
      </c>
      <c r="L10" s="133" t="s">
        <v>11</v>
      </c>
      <c r="M10" s="133" t="s">
        <v>12</v>
      </c>
      <c r="N10" s="8"/>
    </row>
    <row r="11" spans="1:14" ht="30" customHeight="1" x14ac:dyDescent="0.45">
      <c r="A11" s="5"/>
      <c r="B11" s="46" t="s">
        <v>30</v>
      </c>
      <c r="C11" s="46" t="s">
        <v>63</v>
      </c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5"/>
    </row>
    <row r="12" spans="1:14" ht="15" customHeight="1" x14ac:dyDescent="0.45">
      <c r="A12" s="5"/>
      <c r="B12" s="158">
        <v>0.2</v>
      </c>
      <c r="C12" s="72" t="s">
        <v>0</v>
      </c>
      <c r="D12" s="62">
        <f>($D$4 * $B12) + $D$4</f>
        <v>120000</v>
      </c>
      <c r="E12" s="63">
        <f>(D12 * $B12) + D12</f>
        <v>144000</v>
      </c>
      <c r="F12" s="63">
        <f t="shared" ref="F12:M12" si="0">(E12 * $B12) + E12</f>
        <v>172800</v>
      </c>
      <c r="G12" s="63">
        <f t="shared" si="0"/>
        <v>207360</v>
      </c>
      <c r="H12" s="63">
        <f t="shared" si="0"/>
        <v>248832</v>
      </c>
      <c r="I12" s="63">
        <f t="shared" si="0"/>
        <v>298598.40000000002</v>
      </c>
      <c r="J12" s="63">
        <f t="shared" si="0"/>
        <v>358318.08000000002</v>
      </c>
      <c r="K12" s="63">
        <f t="shared" si="0"/>
        <v>429981.696</v>
      </c>
      <c r="L12" s="63">
        <f t="shared" si="0"/>
        <v>515978.03519999998</v>
      </c>
      <c r="M12" s="63">
        <f t="shared" si="0"/>
        <v>619173.64223999996</v>
      </c>
      <c r="N12" s="9"/>
    </row>
    <row r="13" spans="1:14" ht="15" customHeight="1" x14ac:dyDescent="0.45">
      <c r="A13" s="5"/>
      <c r="B13" s="158"/>
      <c r="C13" s="71" t="s">
        <v>1</v>
      </c>
      <c r="D13" s="64">
        <f>D12*21000000</f>
        <v>2520000000000</v>
      </c>
      <c r="E13" s="65">
        <f t="shared" ref="E13:M13" si="1">E12*21000000</f>
        <v>3024000000000</v>
      </c>
      <c r="F13" s="65">
        <f t="shared" si="1"/>
        <v>3628800000000</v>
      </c>
      <c r="G13" s="65">
        <f t="shared" si="1"/>
        <v>4354560000000</v>
      </c>
      <c r="H13" s="65">
        <f t="shared" si="1"/>
        <v>5225472000000</v>
      </c>
      <c r="I13" s="65">
        <f t="shared" si="1"/>
        <v>6270566400000.001</v>
      </c>
      <c r="J13" s="65">
        <f t="shared" si="1"/>
        <v>7524679680000</v>
      </c>
      <c r="K13" s="65">
        <f t="shared" si="1"/>
        <v>9029615616000</v>
      </c>
      <c r="L13" s="65">
        <f t="shared" si="1"/>
        <v>10835538739200</v>
      </c>
      <c r="M13" s="65">
        <f t="shared" si="1"/>
        <v>13002646487040</v>
      </c>
      <c r="N13" s="9"/>
    </row>
    <row r="14" spans="1:14" ht="15" customHeight="1" x14ac:dyDescent="0.45">
      <c r="A14" s="5"/>
      <c r="B14" s="158"/>
      <c r="C14" s="73" t="s">
        <v>14</v>
      </c>
      <c r="D14" s="66">
        <f>( ( D12 - $D$4 ) ) / D12</f>
        <v>0.16666666666666666</v>
      </c>
      <c r="E14" s="66">
        <f t="shared" ref="E14:M14" si="2">( ( E12 - $D$4 ) ) / E12</f>
        <v>0.30555555555555558</v>
      </c>
      <c r="F14" s="66">
        <f t="shared" si="2"/>
        <v>0.42129629629629628</v>
      </c>
      <c r="G14" s="66">
        <f t="shared" si="2"/>
        <v>0.51774691358024694</v>
      </c>
      <c r="H14" s="67">
        <f t="shared" si="2"/>
        <v>0.5981224279835391</v>
      </c>
      <c r="I14" s="66">
        <f t="shared" si="2"/>
        <v>0.66510202331961599</v>
      </c>
      <c r="J14" s="66">
        <f t="shared" si="2"/>
        <v>0.72091835276634664</v>
      </c>
      <c r="K14" s="66">
        <f t="shared" si="2"/>
        <v>0.76743196063862218</v>
      </c>
      <c r="L14" s="66">
        <f t="shared" si="2"/>
        <v>0.80619330053218508</v>
      </c>
      <c r="M14" s="66">
        <f t="shared" si="2"/>
        <v>0.83849441711015427</v>
      </c>
      <c r="N14" s="10"/>
    </row>
    <row r="15" spans="1:14" ht="15" customHeight="1" x14ac:dyDescent="0.45">
      <c r="A15" s="5"/>
      <c r="B15" s="158"/>
      <c r="C15" s="73" t="s">
        <v>13</v>
      </c>
      <c r="D15" s="66">
        <f>1-D14</f>
        <v>0.83333333333333337</v>
      </c>
      <c r="E15" s="66">
        <f t="shared" ref="E15:M15" si="3">1-E14</f>
        <v>0.69444444444444442</v>
      </c>
      <c r="F15" s="66">
        <f t="shared" si="3"/>
        <v>0.57870370370370372</v>
      </c>
      <c r="G15" s="66">
        <f t="shared" si="3"/>
        <v>0.48225308641975306</v>
      </c>
      <c r="H15" s="67">
        <f t="shared" si="3"/>
        <v>0.4018775720164609</v>
      </c>
      <c r="I15" s="66">
        <f t="shared" si="3"/>
        <v>0.33489797668038401</v>
      </c>
      <c r="J15" s="66">
        <f t="shared" si="3"/>
        <v>0.27908164723365336</v>
      </c>
      <c r="K15" s="66">
        <f t="shared" si="3"/>
        <v>0.23256803936137782</v>
      </c>
      <c r="L15" s="66">
        <f t="shared" si="3"/>
        <v>0.19380669946781492</v>
      </c>
      <c r="M15" s="66">
        <f t="shared" si="3"/>
        <v>0.16150558288984573</v>
      </c>
      <c r="N15" s="10"/>
    </row>
    <row r="16" spans="1:14" ht="15" customHeight="1" x14ac:dyDescent="0.45">
      <c r="A16" s="5"/>
      <c r="B16" s="158"/>
      <c r="C16" s="71" t="s">
        <v>15</v>
      </c>
      <c r="D16" s="68">
        <f>D14</f>
        <v>0.16666666666666666</v>
      </c>
      <c r="E16" s="69">
        <f>E14-D14</f>
        <v>0.13888888888888892</v>
      </c>
      <c r="F16" s="69">
        <f>F14-E14</f>
        <v>0.1157407407407407</v>
      </c>
      <c r="G16" s="69">
        <f t="shared" ref="G16:M16" si="4">G14-F14</f>
        <v>9.6450617283950657E-2</v>
      </c>
      <c r="H16" s="69">
        <f t="shared" si="4"/>
        <v>8.0375514403292159E-2</v>
      </c>
      <c r="I16" s="69">
        <f t="shared" si="4"/>
        <v>6.6979595336076891E-2</v>
      </c>
      <c r="J16" s="69">
        <f t="shared" si="4"/>
        <v>5.581632944673065E-2</v>
      </c>
      <c r="K16" s="69">
        <f t="shared" si="4"/>
        <v>4.6513607872275542E-2</v>
      </c>
      <c r="L16" s="69">
        <f t="shared" si="4"/>
        <v>3.8761339893562896E-2</v>
      </c>
      <c r="M16" s="69">
        <f t="shared" si="4"/>
        <v>3.2301116577969191E-2</v>
      </c>
      <c r="N16" s="9"/>
    </row>
    <row r="17" spans="1:14" ht="15" customHeight="1" x14ac:dyDescent="0.45">
      <c r="A17" s="5"/>
      <c r="B17" s="161"/>
      <c r="C17" s="71" t="s">
        <v>31</v>
      </c>
      <c r="D17" s="68"/>
      <c r="E17" s="69"/>
      <c r="F17" s="69"/>
      <c r="G17" s="69"/>
      <c r="H17" s="69">
        <f>SUM(D16:H16)/5</f>
        <v>0.11962448559670782</v>
      </c>
      <c r="I17" s="70"/>
      <c r="J17" s="70"/>
      <c r="K17" s="70"/>
      <c r="L17" s="70"/>
      <c r="M17" s="69">
        <f>SUM(D16:M16)/10</f>
        <v>8.3849441711015424E-2</v>
      </c>
      <c r="N17" s="9"/>
    </row>
    <row r="18" spans="1:14" ht="15" customHeight="1" x14ac:dyDescent="0.45">
      <c r="A18" s="5"/>
      <c r="B18" s="160">
        <v>0.25</v>
      </c>
      <c r="C18" s="71" t="s">
        <v>0</v>
      </c>
      <c r="D18" s="62">
        <f>($D$4 * $B18) + $D$4</f>
        <v>125000</v>
      </c>
      <c r="E18" s="63">
        <f>(D18 * $B18) + D18</f>
        <v>156250</v>
      </c>
      <c r="F18" s="63">
        <f t="shared" ref="F18:M18" si="5">(E18 * $B18) + E18</f>
        <v>195312.5</v>
      </c>
      <c r="G18" s="63">
        <f t="shared" si="5"/>
        <v>244140.625</v>
      </c>
      <c r="H18" s="63">
        <f t="shared" si="5"/>
        <v>305175.78125</v>
      </c>
      <c r="I18" s="63">
        <f t="shared" si="5"/>
        <v>381469.7265625</v>
      </c>
      <c r="J18" s="63">
        <f t="shared" si="5"/>
        <v>476837.158203125</v>
      </c>
      <c r="K18" s="63">
        <f t="shared" si="5"/>
        <v>596046.44775390625</v>
      </c>
      <c r="L18" s="63">
        <f t="shared" si="5"/>
        <v>745058.05969238281</v>
      </c>
      <c r="M18" s="63">
        <f t="shared" si="5"/>
        <v>931322.57461547852</v>
      </c>
      <c r="N18" s="5"/>
    </row>
    <row r="19" spans="1:14" ht="15" customHeight="1" x14ac:dyDescent="0.45">
      <c r="A19" s="5"/>
      <c r="B19" s="158"/>
      <c r="C19" s="71" t="s">
        <v>1</v>
      </c>
      <c r="D19" s="64">
        <f>D18*21000000</f>
        <v>2625000000000</v>
      </c>
      <c r="E19" s="65">
        <f t="shared" ref="E19:M19" si="6">E18*21000000</f>
        <v>3281250000000</v>
      </c>
      <c r="F19" s="65">
        <f t="shared" si="6"/>
        <v>4101562500000</v>
      </c>
      <c r="G19" s="65">
        <f t="shared" si="6"/>
        <v>5126953125000</v>
      </c>
      <c r="H19" s="65">
        <f t="shared" si="6"/>
        <v>6408691406250</v>
      </c>
      <c r="I19" s="65">
        <f t="shared" si="6"/>
        <v>8010864257812.5</v>
      </c>
      <c r="J19" s="65">
        <f t="shared" si="6"/>
        <v>10013580322265.625</v>
      </c>
      <c r="K19" s="65">
        <f t="shared" si="6"/>
        <v>12516975402832.031</v>
      </c>
      <c r="L19" s="65">
        <f t="shared" si="6"/>
        <v>15646219253540.039</v>
      </c>
      <c r="M19" s="65">
        <f t="shared" si="6"/>
        <v>19557774066925.047</v>
      </c>
      <c r="N19" s="5"/>
    </row>
    <row r="20" spans="1:14" ht="15" customHeight="1" x14ac:dyDescent="0.45">
      <c r="A20" s="5"/>
      <c r="B20" s="158"/>
      <c r="C20" s="73" t="s">
        <v>14</v>
      </c>
      <c r="D20" s="66">
        <f>( ( D18 - $D$4 ) ) / D18</f>
        <v>0.2</v>
      </c>
      <c r="E20" s="66">
        <f t="shared" ref="E20:M20" si="7">( ( E18 - $D$4 ) ) / E18</f>
        <v>0.36</v>
      </c>
      <c r="F20" s="66">
        <f t="shared" si="7"/>
        <v>0.48799999999999999</v>
      </c>
      <c r="G20" s="66">
        <f t="shared" si="7"/>
        <v>0.59040000000000004</v>
      </c>
      <c r="H20" s="67">
        <f t="shared" si="7"/>
        <v>0.67232000000000003</v>
      </c>
      <c r="I20" s="66">
        <f t="shared" si="7"/>
        <v>0.73785599999999996</v>
      </c>
      <c r="J20" s="66">
        <f t="shared" si="7"/>
        <v>0.79028480000000001</v>
      </c>
      <c r="K20" s="66">
        <f t="shared" si="7"/>
        <v>0.83222784000000005</v>
      </c>
      <c r="L20" s="66">
        <f t="shared" si="7"/>
        <v>0.86578227200000002</v>
      </c>
      <c r="M20" s="66">
        <f t="shared" si="7"/>
        <v>0.89262581760000004</v>
      </c>
      <c r="N20" s="5"/>
    </row>
    <row r="21" spans="1:14" ht="15" customHeight="1" x14ac:dyDescent="0.45">
      <c r="A21" s="5"/>
      <c r="B21" s="158"/>
      <c r="C21" s="73" t="s">
        <v>13</v>
      </c>
      <c r="D21" s="66">
        <f>1-D20</f>
        <v>0.8</v>
      </c>
      <c r="E21" s="66">
        <f t="shared" ref="E21:M21" si="8">1-E20</f>
        <v>0.64</v>
      </c>
      <c r="F21" s="66">
        <f t="shared" si="8"/>
        <v>0.51200000000000001</v>
      </c>
      <c r="G21" s="66">
        <f t="shared" si="8"/>
        <v>0.40959999999999996</v>
      </c>
      <c r="H21" s="67">
        <f t="shared" si="8"/>
        <v>0.32767999999999997</v>
      </c>
      <c r="I21" s="66">
        <f t="shared" si="8"/>
        <v>0.26214400000000004</v>
      </c>
      <c r="J21" s="66">
        <f t="shared" si="8"/>
        <v>0.20971519999999999</v>
      </c>
      <c r="K21" s="66">
        <f t="shared" si="8"/>
        <v>0.16777215999999995</v>
      </c>
      <c r="L21" s="66">
        <f t="shared" si="8"/>
        <v>0.13421772799999998</v>
      </c>
      <c r="M21" s="66">
        <f t="shared" si="8"/>
        <v>0.10737418239999996</v>
      </c>
      <c r="N21" s="5"/>
    </row>
    <row r="22" spans="1:14" ht="15" customHeight="1" x14ac:dyDescent="0.45">
      <c r="A22" s="5"/>
      <c r="B22" s="158"/>
      <c r="C22" s="71" t="s">
        <v>15</v>
      </c>
      <c r="D22" s="68">
        <f>D20</f>
        <v>0.2</v>
      </c>
      <c r="E22" s="69">
        <f>E20-D20</f>
        <v>0.15999999999999998</v>
      </c>
      <c r="F22" s="69">
        <f>F20-E20</f>
        <v>0.128</v>
      </c>
      <c r="G22" s="69">
        <f t="shared" ref="G22" si="9">G20-F20</f>
        <v>0.10240000000000005</v>
      </c>
      <c r="H22" s="69">
        <f t="shared" ref="H22" si="10">H20-G20</f>
        <v>8.1919999999999993E-2</v>
      </c>
      <c r="I22" s="69">
        <f t="shared" ref="I22" si="11">I20-H20</f>
        <v>6.5535999999999928E-2</v>
      </c>
      <c r="J22" s="69">
        <f t="shared" ref="J22" si="12">J20-I20</f>
        <v>5.2428800000000053E-2</v>
      </c>
      <c r="K22" s="69">
        <f t="shared" ref="K22" si="13">K20-J20</f>
        <v>4.1943040000000043E-2</v>
      </c>
      <c r="L22" s="69">
        <f t="shared" ref="L22" si="14">L20-K20</f>
        <v>3.3554431999999967E-2</v>
      </c>
      <c r="M22" s="69">
        <f t="shared" ref="M22" si="15">M20-L20</f>
        <v>2.6843545600000018E-2</v>
      </c>
      <c r="N22" s="5"/>
    </row>
    <row r="23" spans="1:14" ht="15" customHeight="1" x14ac:dyDescent="0.45">
      <c r="A23" s="5"/>
      <c r="B23" s="161"/>
      <c r="C23" s="71" t="s">
        <v>31</v>
      </c>
      <c r="D23" s="68"/>
      <c r="E23" s="69"/>
      <c r="F23" s="69"/>
      <c r="G23" s="69"/>
      <c r="H23" s="69">
        <f>SUM(D22:H22)/5</f>
        <v>0.134464</v>
      </c>
      <c r="I23" s="70"/>
      <c r="J23" s="70"/>
      <c r="K23" s="70"/>
      <c r="L23" s="70"/>
      <c r="M23" s="69">
        <f>SUM(D22:M22)/10</f>
        <v>8.9262581760000001E-2</v>
      </c>
      <c r="N23" s="5"/>
    </row>
    <row r="24" spans="1:14" ht="15" customHeight="1" x14ac:dyDescent="0.45">
      <c r="A24" s="5"/>
      <c r="B24" s="160">
        <v>0.3</v>
      </c>
      <c r="C24" s="71" t="s">
        <v>0</v>
      </c>
      <c r="D24" s="62">
        <f>($D$4 * $B24) + $D$4</f>
        <v>130000</v>
      </c>
      <c r="E24" s="63">
        <f>(D24 * $B24) + D24</f>
        <v>169000</v>
      </c>
      <c r="F24" s="63">
        <f t="shared" ref="F24:M24" si="16">(E24 * $B24) + E24</f>
        <v>219700</v>
      </c>
      <c r="G24" s="63">
        <f t="shared" si="16"/>
        <v>285610</v>
      </c>
      <c r="H24" s="63">
        <f t="shared" si="16"/>
        <v>371293</v>
      </c>
      <c r="I24" s="63">
        <f t="shared" si="16"/>
        <v>482680.9</v>
      </c>
      <c r="J24" s="63">
        <f t="shared" si="16"/>
        <v>627485.17000000004</v>
      </c>
      <c r="K24" s="63">
        <f t="shared" si="16"/>
        <v>815730.72100000002</v>
      </c>
      <c r="L24" s="63">
        <f t="shared" si="16"/>
        <v>1060449.9373000001</v>
      </c>
      <c r="M24" s="63">
        <f t="shared" si="16"/>
        <v>1378584.9184900001</v>
      </c>
      <c r="N24" s="5"/>
    </row>
    <row r="25" spans="1:14" ht="15" customHeight="1" x14ac:dyDescent="0.45">
      <c r="A25" s="5"/>
      <c r="B25" s="158"/>
      <c r="C25" s="71" t="s">
        <v>1</v>
      </c>
      <c r="D25" s="64">
        <f>D24*21000000</f>
        <v>2730000000000</v>
      </c>
      <c r="E25" s="65">
        <f t="shared" ref="E25:M25" si="17">E24*21000000</f>
        <v>3549000000000</v>
      </c>
      <c r="F25" s="65">
        <f t="shared" si="17"/>
        <v>4613700000000</v>
      </c>
      <c r="G25" s="65">
        <f t="shared" si="17"/>
        <v>5997810000000</v>
      </c>
      <c r="H25" s="65">
        <f t="shared" si="17"/>
        <v>7797153000000</v>
      </c>
      <c r="I25" s="65">
        <f t="shared" si="17"/>
        <v>10136298900000</v>
      </c>
      <c r="J25" s="65">
        <f t="shared" si="17"/>
        <v>13177188570000</v>
      </c>
      <c r="K25" s="65">
        <f t="shared" si="17"/>
        <v>17130345141000</v>
      </c>
      <c r="L25" s="65">
        <f t="shared" si="17"/>
        <v>22269448683300.004</v>
      </c>
      <c r="M25" s="65">
        <f t="shared" si="17"/>
        <v>28950283288290</v>
      </c>
      <c r="N25" s="5"/>
    </row>
    <row r="26" spans="1:14" ht="15" customHeight="1" x14ac:dyDescent="0.45">
      <c r="A26" s="5"/>
      <c r="B26" s="158"/>
      <c r="C26" s="73" t="s">
        <v>14</v>
      </c>
      <c r="D26" s="66">
        <f>( ( D24 - $D$4 ) ) / D24</f>
        <v>0.23076923076923078</v>
      </c>
      <c r="E26" s="66">
        <f t="shared" ref="E26:M26" si="18">( ( E24 - $D$4 ) ) / E24</f>
        <v>0.40828402366863903</v>
      </c>
      <c r="F26" s="66">
        <f t="shared" si="18"/>
        <v>0.54483386436049153</v>
      </c>
      <c r="G26" s="66">
        <f t="shared" si="18"/>
        <v>0.64987220335422424</v>
      </c>
      <c r="H26" s="67">
        <f t="shared" si="18"/>
        <v>0.73067092565709557</v>
      </c>
      <c r="I26" s="66">
        <f t="shared" si="18"/>
        <v>0.79282378896699668</v>
      </c>
      <c r="J26" s="66">
        <f t="shared" si="18"/>
        <v>0.84063368382076664</v>
      </c>
      <c r="K26" s="66">
        <f t="shared" si="18"/>
        <v>0.87741052601597436</v>
      </c>
      <c r="L26" s="66">
        <f t="shared" si="18"/>
        <v>0.90570040462767254</v>
      </c>
      <c r="M26" s="66">
        <f t="shared" si="18"/>
        <v>0.92746184971359424</v>
      </c>
      <c r="N26" s="5"/>
    </row>
    <row r="27" spans="1:14" ht="15" customHeight="1" x14ac:dyDescent="0.45">
      <c r="A27" s="5"/>
      <c r="B27" s="158"/>
      <c r="C27" s="73" t="s">
        <v>13</v>
      </c>
      <c r="D27" s="66">
        <f>1-D26</f>
        <v>0.76923076923076916</v>
      </c>
      <c r="E27" s="66">
        <f t="shared" ref="E27:M27" si="19">1-E26</f>
        <v>0.59171597633136097</v>
      </c>
      <c r="F27" s="66">
        <f t="shared" si="19"/>
        <v>0.45516613563950847</v>
      </c>
      <c r="G27" s="66">
        <f t="shared" si="19"/>
        <v>0.35012779664577576</v>
      </c>
      <c r="H27" s="67">
        <f t="shared" si="19"/>
        <v>0.26932907434290443</v>
      </c>
      <c r="I27" s="66">
        <f t="shared" si="19"/>
        <v>0.20717621103300332</v>
      </c>
      <c r="J27" s="66">
        <f t="shared" si="19"/>
        <v>0.15936631617923336</v>
      </c>
      <c r="K27" s="66">
        <f t="shared" si="19"/>
        <v>0.12258947398402564</v>
      </c>
      <c r="L27" s="66">
        <f t="shared" si="19"/>
        <v>9.429959537232746E-2</v>
      </c>
      <c r="M27" s="66">
        <f t="shared" si="19"/>
        <v>7.2538150286405756E-2</v>
      </c>
      <c r="N27" s="5"/>
    </row>
    <row r="28" spans="1:14" ht="15" customHeight="1" x14ac:dyDescent="0.45">
      <c r="A28" s="5"/>
      <c r="B28" s="158"/>
      <c r="C28" s="71" t="s">
        <v>15</v>
      </c>
      <c r="D28" s="68">
        <f>D26</f>
        <v>0.23076923076923078</v>
      </c>
      <c r="E28" s="69">
        <f>E26-D26</f>
        <v>0.17751479289940825</v>
      </c>
      <c r="F28" s="69">
        <f>F26-E26</f>
        <v>0.1365498406918525</v>
      </c>
      <c r="G28" s="69">
        <f t="shared" ref="G28" si="20">G26-F26</f>
        <v>0.10503833899373272</v>
      </c>
      <c r="H28" s="69">
        <f t="shared" ref="H28" si="21">H26-G26</f>
        <v>8.0798722302871329E-2</v>
      </c>
      <c r="I28" s="69">
        <f t="shared" ref="I28" si="22">I26-H26</f>
        <v>6.2152863309901107E-2</v>
      </c>
      <c r="J28" s="69">
        <f t="shared" ref="J28" si="23">J26-I26</f>
        <v>4.7809894853769963E-2</v>
      </c>
      <c r="K28" s="69">
        <f t="shared" ref="K28" si="24">K26-J26</f>
        <v>3.6776842195207715E-2</v>
      </c>
      <c r="L28" s="69">
        <f t="shared" ref="L28" si="25">L26-K26</f>
        <v>2.8289878611698183E-2</v>
      </c>
      <c r="M28" s="69">
        <f t="shared" ref="M28" si="26">M26-L26</f>
        <v>2.1761445085921705E-2</v>
      </c>
      <c r="N28" s="5"/>
    </row>
    <row r="29" spans="1:14" ht="15" customHeight="1" x14ac:dyDescent="0.45">
      <c r="A29" s="5"/>
      <c r="B29" s="161"/>
      <c r="C29" s="71" t="s">
        <v>31</v>
      </c>
      <c r="D29" s="68"/>
      <c r="E29" s="69"/>
      <c r="F29" s="69"/>
      <c r="G29" s="69"/>
      <c r="H29" s="69">
        <f>SUM(D28:H28)/5</f>
        <v>0.14613418513141913</v>
      </c>
      <c r="I29" s="70"/>
      <c r="J29" s="70"/>
      <c r="K29" s="70"/>
      <c r="L29" s="70"/>
      <c r="M29" s="69">
        <f>SUM(D28:M28)/10</f>
        <v>9.2746184971359419E-2</v>
      </c>
      <c r="N29" s="5"/>
    </row>
    <row r="30" spans="1:14" ht="15" customHeight="1" x14ac:dyDescent="0.45">
      <c r="A30" s="5"/>
      <c r="B30" s="160">
        <v>0.35</v>
      </c>
      <c r="C30" s="71" t="s">
        <v>0</v>
      </c>
      <c r="D30" s="62">
        <f>($D$4 * $B30) + $D$4</f>
        <v>135000</v>
      </c>
      <c r="E30" s="63">
        <f>(D30 * $B30) + D30</f>
        <v>182250</v>
      </c>
      <c r="F30" s="63">
        <f t="shared" ref="F30:M30" si="27">(E30 * $B30) + E30</f>
        <v>246037.5</v>
      </c>
      <c r="G30" s="63">
        <f t="shared" si="27"/>
        <v>332150.625</v>
      </c>
      <c r="H30" s="63">
        <f t="shared" si="27"/>
        <v>448403.34375</v>
      </c>
      <c r="I30" s="63">
        <f t="shared" si="27"/>
        <v>605344.51406249998</v>
      </c>
      <c r="J30" s="63">
        <f t="shared" si="27"/>
        <v>817215.09398437501</v>
      </c>
      <c r="K30" s="63">
        <f t="shared" si="27"/>
        <v>1103240.3768789063</v>
      </c>
      <c r="L30" s="63">
        <f t="shared" si="27"/>
        <v>1489374.5087865235</v>
      </c>
      <c r="M30" s="63">
        <f t="shared" si="27"/>
        <v>2010655.5868618067</v>
      </c>
      <c r="N30" s="5"/>
    </row>
    <row r="31" spans="1:14" ht="15" customHeight="1" x14ac:dyDescent="0.45">
      <c r="A31" s="5"/>
      <c r="B31" s="158"/>
      <c r="C31" s="71" t="s">
        <v>1</v>
      </c>
      <c r="D31" s="64">
        <f>D30*21000000</f>
        <v>2835000000000</v>
      </c>
      <c r="E31" s="65">
        <f t="shared" ref="E31:M31" si="28">E30*21000000</f>
        <v>3827250000000</v>
      </c>
      <c r="F31" s="65">
        <f t="shared" si="28"/>
        <v>5166787500000</v>
      </c>
      <c r="G31" s="65">
        <f t="shared" si="28"/>
        <v>6975163125000</v>
      </c>
      <c r="H31" s="65">
        <f t="shared" si="28"/>
        <v>9416470218750</v>
      </c>
      <c r="I31" s="65">
        <f t="shared" si="28"/>
        <v>12712234795312.5</v>
      </c>
      <c r="J31" s="65">
        <f t="shared" si="28"/>
        <v>17161516973671.875</v>
      </c>
      <c r="K31" s="65">
        <f t="shared" si="28"/>
        <v>23168047914457.031</v>
      </c>
      <c r="L31" s="65">
        <f t="shared" si="28"/>
        <v>31276864684516.992</v>
      </c>
      <c r="M31" s="65">
        <f t="shared" si="28"/>
        <v>42223767324097.938</v>
      </c>
      <c r="N31" s="5"/>
    </row>
    <row r="32" spans="1:14" ht="15" customHeight="1" x14ac:dyDescent="0.45">
      <c r="A32" s="5"/>
      <c r="B32" s="158"/>
      <c r="C32" s="73" t="s">
        <v>14</v>
      </c>
      <c r="D32" s="66">
        <f>( ( D30 - $D$4 ) ) / D30</f>
        <v>0.25925925925925924</v>
      </c>
      <c r="E32" s="66">
        <f t="shared" ref="E32:M32" si="29">( ( E30 - $D$4 ) ) / E30</f>
        <v>0.45130315500685869</v>
      </c>
      <c r="F32" s="66">
        <f t="shared" si="29"/>
        <v>0.59355789259767311</v>
      </c>
      <c r="G32" s="66">
        <f t="shared" ref="G32" si="30">( ( G30 - $D$4 ) ) / G30</f>
        <v>0.69893177229457271</v>
      </c>
      <c r="H32" s="67">
        <f t="shared" si="29"/>
        <v>0.77698649799597974</v>
      </c>
      <c r="I32" s="66">
        <f t="shared" si="29"/>
        <v>0.83480481333035539</v>
      </c>
      <c r="J32" s="66">
        <f t="shared" si="29"/>
        <v>0.87763319505952253</v>
      </c>
      <c r="K32" s="66">
        <f t="shared" si="29"/>
        <v>0.90935792226631296</v>
      </c>
      <c r="L32" s="66">
        <f t="shared" si="29"/>
        <v>0.93285772019726887</v>
      </c>
      <c r="M32" s="66">
        <f t="shared" si="29"/>
        <v>0.95026497792390285</v>
      </c>
      <c r="N32" s="5"/>
    </row>
    <row r="33" spans="1:14" ht="15" customHeight="1" x14ac:dyDescent="0.45">
      <c r="A33" s="5"/>
      <c r="B33" s="158"/>
      <c r="C33" s="73" t="s">
        <v>13</v>
      </c>
      <c r="D33" s="66">
        <f>1-D32</f>
        <v>0.7407407407407407</v>
      </c>
      <c r="E33" s="66">
        <f t="shared" ref="E33:M33" si="31">1-E32</f>
        <v>0.54869684499314131</v>
      </c>
      <c r="F33" s="66">
        <f t="shared" si="31"/>
        <v>0.40644210740232689</v>
      </c>
      <c r="G33" s="66">
        <f t="shared" ref="G33" si="32">1-G32</f>
        <v>0.30106822770542729</v>
      </c>
      <c r="H33" s="67">
        <f t="shared" si="31"/>
        <v>0.22301350200402026</v>
      </c>
      <c r="I33" s="66">
        <f t="shared" si="31"/>
        <v>0.16519518666964461</v>
      </c>
      <c r="J33" s="66">
        <f t="shared" si="31"/>
        <v>0.12236680494047747</v>
      </c>
      <c r="K33" s="66">
        <f t="shared" si="31"/>
        <v>9.0642077733687043E-2</v>
      </c>
      <c r="L33" s="66">
        <f t="shared" si="31"/>
        <v>6.7142279802731131E-2</v>
      </c>
      <c r="M33" s="66">
        <f t="shared" si="31"/>
        <v>4.9735022076097146E-2</v>
      </c>
      <c r="N33" s="5"/>
    </row>
    <row r="34" spans="1:14" ht="15" customHeight="1" x14ac:dyDescent="0.45">
      <c r="A34" s="5"/>
      <c r="B34" s="158"/>
      <c r="C34" s="71" t="s">
        <v>15</v>
      </c>
      <c r="D34" s="68">
        <f>D32</f>
        <v>0.25925925925925924</v>
      </c>
      <c r="E34" s="69">
        <f>E32-D32</f>
        <v>0.19204389574759945</v>
      </c>
      <c r="F34" s="69">
        <f>F32-E32</f>
        <v>0.14225473759081442</v>
      </c>
      <c r="G34" s="69">
        <f t="shared" ref="G34" si="33">G32-F32</f>
        <v>0.1053738796968996</v>
      </c>
      <c r="H34" s="69">
        <f t="shared" ref="H34" si="34">H32-G32</f>
        <v>7.8054725701407035E-2</v>
      </c>
      <c r="I34" s="69">
        <f t="shared" ref="I34" si="35">I32-H32</f>
        <v>5.7818315334375647E-2</v>
      </c>
      <c r="J34" s="69">
        <f t="shared" ref="J34" si="36">J32-I32</f>
        <v>4.2828381729167142E-2</v>
      </c>
      <c r="K34" s="69">
        <f t="shared" ref="K34" si="37">K32-J32</f>
        <v>3.1724727206790426E-2</v>
      </c>
      <c r="L34" s="69">
        <f t="shared" ref="L34" si="38">L32-K32</f>
        <v>2.3499797930955912E-2</v>
      </c>
      <c r="M34" s="69">
        <f t="shared" ref="M34" si="39">M32-L32</f>
        <v>1.7407257726633985E-2</v>
      </c>
      <c r="N34" s="5"/>
    </row>
    <row r="35" spans="1:14" ht="15" customHeight="1" x14ac:dyDescent="0.45">
      <c r="A35" s="5"/>
      <c r="B35" s="161"/>
      <c r="C35" s="71" t="s">
        <v>31</v>
      </c>
      <c r="D35" s="68"/>
      <c r="E35" s="69"/>
      <c r="F35" s="69"/>
      <c r="G35" s="69"/>
      <c r="H35" s="69">
        <f>SUM(D34:H34)/5</f>
        <v>0.15539729959919596</v>
      </c>
      <c r="I35" s="70"/>
      <c r="J35" s="70"/>
      <c r="K35" s="70"/>
      <c r="L35" s="70"/>
      <c r="M35" s="69">
        <f>SUM(D34:M34)/10</f>
        <v>9.502649779239028E-2</v>
      </c>
      <c r="N35" s="5"/>
    </row>
    <row r="36" spans="1:14" ht="15" customHeight="1" x14ac:dyDescent="0.45">
      <c r="A36" s="5"/>
      <c r="B36" s="158">
        <v>0.4</v>
      </c>
      <c r="C36" s="71" t="s">
        <v>0</v>
      </c>
      <c r="D36" s="62">
        <f>($D$4 * $B36) + $D$4</f>
        <v>140000</v>
      </c>
      <c r="E36" s="63">
        <f>(D36 * $B36) + D36</f>
        <v>196000</v>
      </c>
      <c r="F36" s="63">
        <f t="shared" ref="F36:M36" si="40">(E36 * $B36) + E36</f>
        <v>274400</v>
      </c>
      <c r="G36" s="63">
        <f t="shared" si="40"/>
        <v>384160</v>
      </c>
      <c r="H36" s="63">
        <f t="shared" si="40"/>
        <v>537824</v>
      </c>
      <c r="I36" s="63">
        <f t="shared" si="40"/>
        <v>752953.6</v>
      </c>
      <c r="J36" s="63">
        <f t="shared" si="40"/>
        <v>1054135.04</v>
      </c>
      <c r="K36" s="63">
        <f t="shared" si="40"/>
        <v>1475789.0560000001</v>
      </c>
      <c r="L36" s="63">
        <f t="shared" si="40"/>
        <v>2066104.6784000001</v>
      </c>
      <c r="M36" s="63">
        <f t="shared" si="40"/>
        <v>2892546.5497600003</v>
      </c>
      <c r="N36" s="5"/>
    </row>
    <row r="37" spans="1:14" ht="15" customHeight="1" x14ac:dyDescent="0.45">
      <c r="A37" s="5"/>
      <c r="B37" s="158"/>
      <c r="C37" s="71" t="s">
        <v>1</v>
      </c>
      <c r="D37" s="64">
        <f>D36*21000000</f>
        <v>2940000000000</v>
      </c>
      <c r="E37" s="65">
        <f t="shared" ref="E37:M37" si="41">E36*21000000</f>
        <v>4116000000000</v>
      </c>
      <c r="F37" s="65">
        <f t="shared" si="41"/>
        <v>5762400000000</v>
      </c>
      <c r="G37" s="65">
        <f t="shared" si="41"/>
        <v>8067360000000</v>
      </c>
      <c r="H37" s="65">
        <f t="shared" si="41"/>
        <v>11294304000000</v>
      </c>
      <c r="I37" s="65">
        <f t="shared" si="41"/>
        <v>15812025600000</v>
      </c>
      <c r="J37" s="65">
        <f t="shared" si="41"/>
        <v>22136835840000</v>
      </c>
      <c r="K37" s="65">
        <f t="shared" si="41"/>
        <v>30991570176000.004</v>
      </c>
      <c r="L37" s="65">
        <f t="shared" si="41"/>
        <v>43388198246400</v>
      </c>
      <c r="M37" s="65">
        <f t="shared" si="41"/>
        <v>60743477544960.008</v>
      </c>
      <c r="N37" s="5"/>
    </row>
    <row r="38" spans="1:14" ht="15" customHeight="1" x14ac:dyDescent="0.45">
      <c r="A38" s="5"/>
      <c r="B38" s="158"/>
      <c r="C38" s="73" t="s">
        <v>14</v>
      </c>
      <c r="D38" s="66">
        <f>( ( D36 - $D$4 ) ) / D36</f>
        <v>0.2857142857142857</v>
      </c>
      <c r="E38" s="66">
        <f t="shared" ref="E38:M38" si="42">( ( E36 - $D$4 ) ) / E36</f>
        <v>0.48979591836734693</v>
      </c>
      <c r="F38" s="66">
        <f t="shared" ref="F38" si="43">( ( F36 - $D$4 ) ) / F36</f>
        <v>0.63556851311953355</v>
      </c>
      <c r="G38" s="66">
        <f t="shared" si="42"/>
        <v>0.73969179508538108</v>
      </c>
      <c r="H38" s="67">
        <f t="shared" si="42"/>
        <v>0.81406556791812934</v>
      </c>
      <c r="I38" s="66">
        <f t="shared" si="42"/>
        <v>0.86718969137009239</v>
      </c>
      <c r="J38" s="66">
        <f t="shared" si="42"/>
        <v>0.90513549383578029</v>
      </c>
      <c r="K38" s="66">
        <f t="shared" si="42"/>
        <v>0.93223963845412883</v>
      </c>
      <c r="L38" s="66">
        <f t="shared" si="42"/>
        <v>0.95159974175294915</v>
      </c>
      <c r="M38" s="66">
        <f t="shared" si="42"/>
        <v>0.96542838696639222</v>
      </c>
      <c r="N38" s="5"/>
    </row>
    <row r="39" spans="1:14" ht="15" customHeight="1" x14ac:dyDescent="0.45">
      <c r="A39" s="5"/>
      <c r="B39" s="158"/>
      <c r="C39" s="73" t="s">
        <v>13</v>
      </c>
      <c r="D39" s="66">
        <f>1-D38</f>
        <v>0.7142857142857143</v>
      </c>
      <c r="E39" s="66">
        <f t="shared" ref="E39:M39" si="44">1-E38</f>
        <v>0.51020408163265307</v>
      </c>
      <c r="F39" s="66">
        <f t="shared" ref="F39" si="45">1-F38</f>
        <v>0.36443148688046645</v>
      </c>
      <c r="G39" s="66">
        <f t="shared" si="44"/>
        <v>0.26030820491461892</v>
      </c>
      <c r="H39" s="67">
        <f t="shared" si="44"/>
        <v>0.18593443208187066</v>
      </c>
      <c r="I39" s="66">
        <f t="shared" si="44"/>
        <v>0.13281030862990761</v>
      </c>
      <c r="J39" s="66">
        <f t="shared" si="44"/>
        <v>9.4864506164219708E-2</v>
      </c>
      <c r="K39" s="66">
        <f t="shared" si="44"/>
        <v>6.7760361545871173E-2</v>
      </c>
      <c r="L39" s="66">
        <f t="shared" si="44"/>
        <v>4.8400258247050854E-2</v>
      </c>
      <c r="M39" s="66">
        <f t="shared" si="44"/>
        <v>3.4571613033607784E-2</v>
      </c>
      <c r="N39" s="5"/>
    </row>
    <row r="40" spans="1:14" ht="15" customHeight="1" x14ac:dyDescent="0.45">
      <c r="A40" s="5"/>
      <c r="B40" s="158"/>
      <c r="C40" s="71" t="s">
        <v>15</v>
      </c>
      <c r="D40" s="68">
        <f>D38</f>
        <v>0.2857142857142857</v>
      </c>
      <c r="E40" s="69">
        <f>E38-D38</f>
        <v>0.20408163265306123</v>
      </c>
      <c r="F40" s="69">
        <f>F38-E38</f>
        <v>0.14577259475218662</v>
      </c>
      <c r="G40" s="69">
        <f t="shared" ref="G40" si="46">G38-F38</f>
        <v>0.10412328196584753</v>
      </c>
      <c r="H40" s="69">
        <f t="shared" ref="H40" si="47">H38-G38</f>
        <v>7.4373772832748264E-2</v>
      </c>
      <c r="I40" s="69">
        <f t="shared" ref="I40" si="48">I38-H38</f>
        <v>5.3124123451963046E-2</v>
      </c>
      <c r="J40" s="69">
        <f t="shared" ref="J40" si="49">J38-I38</f>
        <v>3.7945802465687906E-2</v>
      </c>
      <c r="K40" s="69">
        <f t="shared" ref="K40" si="50">K38-J38</f>
        <v>2.7104144618348536E-2</v>
      </c>
      <c r="L40" s="69">
        <f t="shared" ref="L40" si="51">L38-K38</f>
        <v>1.9360103298820319E-2</v>
      </c>
      <c r="M40" s="69">
        <f t="shared" ref="M40" si="52">M38-L38</f>
        <v>1.3828645213443069E-2</v>
      </c>
      <c r="N40" s="5"/>
    </row>
    <row r="41" spans="1:14" ht="15" customHeight="1" x14ac:dyDescent="0.45">
      <c r="A41" s="5"/>
      <c r="B41" s="159"/>
      <c r="C41" s="71" t="s">
        <v>31</v>
      </c>
      <c r="D41" s="68"/>
      <c r="E41" s="69"/>
      <c r="F41" s="69"/>
      <c r="G41" s="69"/>
      <c r="H41" s="69">
        <f>SUM(D40:H40)/5</f>
        <v>0.16281311358362588</v>
      </c>
      <c r="I41" s="70"/>
      <c r="J41" s="70"/>
      <c r="K41" s="70"/>
      <c r="L41" s="70"/>
      <c r="M41" s="69">
        <f>SUM(D40:M40)/10</f>
        <v>9.6542838696639224E-2</v>
      </c>
      <c r="N41" s="5"/>
    </row>
    <row r="42" spans="1:14" ht="15" customHeight="1" x14ac:dyDescent="0.45">
      <c r="A42" s="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9"/>
    </row>
  </sheetData>
  <mergeCells count="18">
    <mergeCell ref="B2:B8"/>
    <mergeCell ref="B36:B41"/>
    <mergeCell ref="B18:B23"/>
    <mergeCell ref="B24:B29"/>
    <mergeCell ref="B30:B35"/>
    <mergeCell ref="B12:B17"/>
    <mergeCell ref="J10:J11"/>
    <mergeCell ref="K10:K11"/>
    <mergeCell ref="L10:L11"/>
    <mergeCell ref="M10:M11"/>
    <mergeCell ref="C2:D3"/>
    <mergeCell ref="F2:I3"/>
    <mergeCell ref="H10:H11"/>
    <mergeCell ref="I10:I11"/>
    <mergeCell ref="D10:D11"/>
    <mergeCell ref="E10:E11"/>
    <mergeCell ref="F10:F11"/>
    <mergeCell ref="G10:G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Yield Estimate Calculator</vt:lpstr>
      <vt:lpstr>Bitcoin Mortgage Services</vt:lpstr>
      <vt:lpstr>10 Year Burndown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Hutchinson</dc:creator>
  <cp:lastModifiedBy>Kyle Hutchinson</cp:lastModifiedBy>
  <dcterms:created xsi:type="dcterms:W3CDTF">2025-08-18T00:15:32Z</dcterms:created>
  <dcterms:modified xsi:type="dcterms:W3CDTF">2025-11-19T17:52:31Z</dcterms:modified>
</cp:coreProperties>
</file>