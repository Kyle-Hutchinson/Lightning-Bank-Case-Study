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0eb409204932c1c/Lightning Bank Case Study/"/>
    </mc:Choice>
  </mc:AlternateContent>
  <xr:revisionPtr revIDLastSave="986" documentId="13_ncr:1_{A1D80A6C-387D-4552-9CDD-172DEE0EEFD3}" xr6:coauthVersionLast="47" xr6:coauthVersionMax="47" xr10:uidLastSave="{AD1C3751-3FEB-43A9-95D0-C04948EAE7AE}"/>
  <bookViews>
    <workbookView xWindow="-98" yWindow="-98" windowWidth="28996" windowHeight="15675" activeTab="4" xr2:uid="{10396A79-A4B2-467C-A467-ECE59C587EB2}"/>
  </bookViews>
  <sheets>
    <sheet name="YIELD_CALCULATOR" sheetId="36" r:id="rId1"/>
    <sheet name="YIELD_BURNDOWN" sheetId="13" r:id="rId2"/>
    <sheet name="BTC_MORTGAGE" sheetId="19" r:id="rId3"/>
    <sheet name="DC2" sheetId="37" r:id="rId4"/>
    <sheet name="SUMMARY" sheetId="39" r:id="rId5"/>
    <sheet name="2X" sheetId="18" r:id="rId6"/>
    <sheet name="2.5X" sheetId="23" r:id="rId7"/>
    <sheet name="3X" sheetId="25" r:id="rId8"/>
    <sheet name="3.5X" sheetId="27" r:id="rId9"/>
    <sheet name="4X" sheetId="29" r:id="rId10"/>
    <sheet name="4.5X" sheetId="31" r:id="rId11"/>
    <sheet name="5X" sheetId="3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34" l="1"/>
  <c r="E10" i="31"/>
  <c r="E10" i="29"/>
  <c r="E10" i="27"/>
  <c r="E10" i="25"/>
  <c r="E10" i="23"/>
  <c r="E10" i="18"/>
  <c r="E11" i="34"/>
  <c r="E9" i="34"/>
  <c r="E8" i="34"/>
  <c r="E39" i="34" s="1"/>
  <c r="E7" i="34"/>
  <c r="E6" i="34"/>
  <c r="E5" i="34"/>
  <c r="E11" i="31"/>
  <c r="E9" i="31"/>
  <c r="E8" i="31"/>
  <c r="E39" i="31" s="1"/>
  <c r="E7" i="31"/>
  <c r="E6" i="31"/>
  <c r="E5" i="31"/>
  <c r="E15" i="31" s="1"/>
  <c r="E11" i="29"/>
  <c r="E9" i="29"/>
  <c r="E8" i="29"/>
  <c r="E39" i="29" s="1"/>
  <c r="E7" i="29"/>
  <c r="E6" i="29"/>
  <c r="E5" i="29"/>
  <c r="E11" i="27"/>
  <c r="E9" i="27"/>
  <c r="E8" i="27"/>
  <c r="E7" i="27"/>
  <c r="E6" i="27"/>
  <c r="E5" i="27"/>
  <c r="E11" i="25"/>
  <c r="E9" i="25"/>
  <c r="E8" i="25"/>
  <c r="E39" i="25"/>
  <c r="E7" i="25"/>
  <c r="E6" i="25"/>
  <c r="E5" i="25"/>
  <c r="E11" i="23"/>
  <c r="E9" i="23"/>
  <c r="E8" i="23"/>
  <c r="E39" i="23" s="1"/>
  <c r="E7" i="23"/>
  <c r="E6" i="23"/>
  <c r="E5" i="23"/>
  <c r="E11" i="18"/>
  <c r="E9" i="18"/>
  <c r="E8" i="18"/>
  <c r="E39" i="18" s="1"/>
  <c r="E7" i="18"/>
  <c r="E6" i="18"/>
  <c r="E5" i="18"/>
  <c r="D64" i="34"/>
  <c r="D48" i="34"/>
  <c r="D32" i="34"/>
  <c r="K9" i="34"/>
  <c r="K8" i="34"/>
  <c r="K7" i="34"/>
  <c r="K6" i="34"/>
  <c r="K5" i="34"/>
  <c r="K4" i="34"/>
  <c r="D64" i="31"/>
  <c r="D48" i="31"/>
  <c r="D32" i="31"/>
  <c r="K9" i="31"/>
  <c r="K8" i="31"/>
  <c r="K7" i="31"/>
  <c r="K6" i="31"/>
  <c r="K5" i="31"/>
  <c r="K4" i="31"/>
  <c r="D64" i="29"/>
  <c r="D48" i="29"/>
  <c r="D32" i="29"/>
  <c r="K9" i="29"/>
  <c r="K8" i="29"/>
  <c r="K7" i="29"/>
  <c r="K6" i="29"/>
  <c r="K5" i="29"/>
  <c r="K4" i="29"/>
  <c r="D64" i="27"/>
  <c r="D48" i="27"/>
  <c r="D32" i="27"/>
  <c r="K9" i="27"/>
  <c r="K8" i="27"/>
  <c r="E39" i="27"/>
  <c r="F39" i="27" s="1"/>
  <c r="K7" i="27"/>
  <c r="K6" i="27"/>
  <c r="K5" i="27"/>
  <c r="K4" i="27"/>
  <c r="D64" i="25"/>
  <c r="D48" i="25"/>
  <c r="D32" i="25"/>
  <c r="K9" i="25"/>
  <c r="K8" i="25"/>
  <c r="K7" i="25"/>
  <c r="K6" i="25"/>
  <c r="K5" i="25"/>
  <c r="K4" i="25"/>
  <c r="D64" i="23"/>
  <c r="D48" i="23"/>
  <c r="D32" i="23"/>
  <c r="K9" i="23"/>
  <c r="K8" i="23"/>
  <c r="K7" i="23"/>
  <c r="K6" i="23"/>
  <c r="K5" i="23"/>
  <c r="K4" i="23"/>
  <c r="D64" i="18"/>
  <c r="D48" i="18"/>
  <c r="D32" i="18"/>
  <c r="K9" i="18"/>
  <c r="K8" i="18"/>
  <c r="K7" i="18"/>
  <c r="K6" i="18"/>
  <c r="K5" i="18"/>
  <c r="K4" i="18"/>
  <c r="E39" i="36"/>
  <c r="F39" i="36"/>
  <c r="G39" i="36" s="1"/>
  <c r="H39" i="36" s="1"/>
  <c r="I39" i="36" s="1"/>
  <c r="J39" i="36" s="1"/>
  <c r="K39" i="36" s="1"/>
  <c r="L39" i="36" s="1"/>
  <c r="M39" i="36" s="1"/>
  <c r="N39" i="36" s="1"/>
  <c r="E17" i="36"/>
  <c r="D36" i="13"/>
  <c r="E36" i="13" s="1"/>
  <c r="E55" i="36"/>
  <c r="K9" i="36"/>
  <c r="K8" i="36"/>
  <c r="K5" i="36"/>
  <c r="K6" i="36"/>
  <c r="K7" i="36"/>
  <c r="K4" i="36"/>
  <c r="F55" i="36"/>
  <c r="G55" i="36"/>
  <c r="H55" i="36"/>
  <c r="I55" i="36"/>
  <c r="J55" i="36"/>
  <c r="K55" i="36"/>
  <c r="L55" i="36"/>
  <c r="M55" i="36"/>
  <c r="N55" i="36"/>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12" i="19"/>
  <c r="B6" i="19"/>
  <c r="B7" i="19"/>
  <c r="B8" i="19"/>
  <c r="B9" i="19"/>
  <c r="B10" i="19"/>
  <c r="B11" i="19"/>
  <c r="B5" i="19"/>
  <c r="D48" i="36"/>
  <c r="D64" i="36"/>
  <c r="D32" i="36"/>
  <c r="E15" i="36"/>
  <c r="I8" i="13"/>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10" i="19"/>
  <c r="G5" i="19"/>
  <c r="K5" i="19" s="1"/>
  <c r="G6" i="19"/>
  <c r="G7" i="19"/>
  <c r="H7" i="19" s="1"/>
  <c r="L7" i="19" s="1"/>
  <c r="G8" i="19"/>
  <c r="K8" i="19" s="1"/>
  <c r="G9" i="19"/>
  <c r="I5" i="19"/>
  <c r="J5" i="19" s="1"/>
  <c r="I11" i="19"/>
  <c r="J11" i="19" s="1"/>
  <c r="I12" i="19"/>
  <c r="J12" i="19" s="1"/>
  <c r="I13" i="19"/>
  <c r="J13" i="19" s="1"/>
  <c r="I14" i="19"/>
  <c r="J14" i="19" s="1"/>
  <c r="I15" i="19"/>
  <c r="J15" i="19" s="1"/>
  <c r="I16" i="19"/>
  <c r="J16" i="19" s="1"/>
  <c r="I17" i="19"/>
  <c r="J17" i="19" s="1"/>
  <c r="I18" i="19"/>
  <c r="J18" i="19" s="1"/>
  <c r="I19" i="19"/>
  <c r="J19" i="19" s="1"/>
  <c r="I20" i="19"/>
  <c r="J20" i="19" s="1"/>
  <c r="I21" i="19"/>
  <c r="J21" i="19" s="1"/>
  <c r="I22" i="19"/>
  <c r="J22" i="19" s="1"/>
  <c r="I23" i="19"/>
  <c r="J23" i="19" s="1"/>
  <c r="I24" i="19"/>
  <c r="J24" i="19" s="1"/>
  <c r="I25" i="19"/>
  <c r="J25" i="19" s="1"/>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10" i="19"/>
  <c r="J10" i="19" s="1"/>
  <c r="I6" i="19"/>
  <c r="J6" i="19" s="1"/>
  <c r="I7" i="19"/>
  <c r="J7" i="19" s="1"/>
  <c r="I8" i="19"/>
  <c r="J8" i="19" s="1"/>
  <c r="I9" i="19"/>
  <c r="J9" i="19" s="1"/>
  <c r="D30" i="13"/>
  <c r="D32" i="13" s="1"/>
  <c r="D24" i="13"/>
  <c r="E24" i="13" s="1"/>
  <c r="F24" i="13" s="1"/>
  <c r="G24" i="13" s="1"/>
  <c r="H24" i="13" s="1"/>
  <c r="I24" i="13" s="1"/>
  <c r="J24" i="13" s="1"/>
  <c r="K24" i="13" s="1"/>
  <c r="L24" i="13" s="1"/>
  <c r="M24" i="13" s="1"/>
  <c r="M26" i="13" s="1"/>
  <c r="D18" i="13"/>
  <c r="D20" i="13" s="1"/>
  <c r="D12" i="13"/>
  <c r="D14" i="13" s="1"/>
  <c r="E30" i="13"/>
  <c r="F30" i="13" s="1"/>
  <c r="G30" i="13" s="1"/>
  <c r="H30" i="13" s="1"/>
  <c r="I30" i="13" s="1"/>
  <c r="J30" i="13" s="1"/>
  <c r="K30" i="13" s="1"/>
  <c r="L30" i="13" s="1"/>
  <c r="M30" i="13" s="1"/>
  <c r="M32" i="13" s="1"/>
  <c r="E17" i="31" l="1"/>
  <c r="F15" i="31"/>
  <c r="G15" i="31" s="1"/>
  <c r="G16" i="31" s="1"/>
  <c r="E15" i="34"/>
  <c r="E16" i="34" s="1"/>
  <c r="E16" i="31"/>
  <c r="G55" i="29"/>
  <c r="E55" i="23"/>
  <c r="K55" i="23"/>
  <c r="J55" i="18"/>
  <c r="F55" i="29"/>
  <c r="E15" i="23"/>
  <c r="E17" i="23" s="1"/>
  <c r="E15" i="18"/>
  <c r="F15" i="18" s="1"/>
  <c r="F16" i="18" s="1"/>
  <c r="E15" i="27"/>
  <c r="E16" i="27" s="1"/>
  <c r="E15" i="29"/>
  <c r="F15" i="29" s="1"/>
  <c r="E15" i="25"/>
  <c r="F39" i="34"/>
  <c r="I55" i="34"/>
  <c r="L55" i="34"/>
  <c r="M55" i="34"/>
  <c r="K55" i="34"/>
  <c r="H55" i="34"/>
  <c r="G55" i="34"/>
  <c r="F55" i="34"/>
  <c r="N55" i="34"/>
  <c r="E55" i="34"/>
  <c r="E50" i="34" s="1"/>
  <c r="F15" i="34"/>
  <c r="J55" i="34"/>
  <c r="E19" i="31"/>
  <c r="E34" i="31"/>
  <c r="F39" i="31"/>
  <c r="E18" i="31"/>
  <c r="J55" i="31"/>
  <c r="H55" i="31"/>
  <c r="G55" i="31"/>
  <c r="M55" i="31"/>
  <c r="L55" i="31"/>
  <c r="I55" i="31"/>
  <c r="F55" i="31"/>
  <c r="E55" i="31"/>
  <c r="E50" i="31" s="1"/>
  <c r="E52" i="31" s="1"/>
  <c r="N55" i="31"/>
  <c r="K55" i="31"/>
  <c r="F39" i="29"/>
  <c r="L55" i="29"/>
  <c r="J55" i="29"/>
  <c r="H55" i="29"/>
  <c r="E55" i="29"/>
  <c r="N55" i="29"/>
  <c r="M55" i="29"/>
  <c r="K55" i="29"/>
  <c r="I55" i="29"/>
  <c r="G39" i="27"/>
  <c r="J55" i="27"/>
  <c r="G55" i="27"/>
  <c r="N55" i="27"/>
  <c r="F55" i="27"/>
  <c r="M55" i="27"/>
  <c r="L55" i="27"/>
  <c r="K55" i="27"/>
  <c r="I55" i="27"/>
  <c r="H55" i="27"/>
  <c r="E55" i="27"/>
  <c r="J55" i="25"/>
  <c r="I55" i="25"/>
  <c r="H55" i="25"/>
  <c r="G55" i="25"/>
  <c r="M55" i="25"/>
  <c r="E55" i="25"/>
  <c r="N55" i="25"/>
  <c r="L55" i="25"/>
  <c r="F55" i="25"/>
  <c r="K55" i="25"/>
  <c r="F39" i="25"/>
  <c r="F39" i="23"/>
  <c r="M55" i="23"/>
  <c r="L55" i="23"/>
  <c r="I55" i="23"/>
  <c r="H55" i="23"/>
  <c r="G55" i="23"/>
  <c r="F55" i="23"/>
  <c r="J55" i="23"/>
  <c r="N55" i="23"/>
  <c r="K55" i="18"/>
  <c r="F39" i="18"/>
  <c r="I55" i="18"/>
  <c r="H55" i="18"/>
  <c r="G55" i="18"/>
  <c r="N55" i="18"/>
  <c r="F55" i="18"/>
  <c r="M55" i="18"/>
  <c r="E55" i="18"/>
  <c r="L55" i="18"/>
  <c r="E50" i="36"/>
  <c r="E53" i="36" s="1"/>
  <c r="E130" i="36" s="1"/>
  <c r="E34" i="36"/>
  <c r="F15" i="36"/>
  <c r="F16" i="36" s="1"/>
  <c r="E16" i="36"/>
  <c r="H5" i="19"/>
  <c r="L5" i="19" s="1"/>
  <c r="M5" i="19" s="1"/>
  <c r="K7" i="19"/>
  <c r="M7" i="19" s="1"/>
  <c r="K10" i="19"/>
  <c r="K6" i="19"/>
  <c r="H6" i="19"/>
  <c r="L6" i="19" s="1"/>
  <c r="H9" i="19"/>
  <c r="L9" i="19" s="1"/>
  <c r="H10" i="19"/>
  <c r="L10" i="19" s="1"/>
  <c r="H8" i="19"/>
  <c r="L8" i="19" s="1"/>
  <c r="M8" i="19" s="1"/>
  <c r="J32" i="13"/>
  <c r="K32" i="13"/>
  <c r="I26" i="13"/>
  <c r="E18" i="13"/>
  <c r="F18" i="13" s="1"/>
  <c r="G18" i="13" s="1"/>
  <c r="J26" i="13"/>
  <c r="E26" i="13"/>
  <c r="I32" i="13"/>
  <c r="I33" i="13" s="1"/>
  <c r="F26" i="13"/>
  <c r="H32" i="13"/>
  <c r="H33" i="13" s="1"/>
  <c r="F36" i="13"/>
  <c r="E38" i="13"/>
  <c r="D38" i="13"/>
  <c r="G26" i="13"/>
  <c r="K26" i="13"/>
  <c r="E32" i="13"/>
  <c r="L32" i="13"/>
  <c r="G32" i="13"/>
  <c r="G33" i="13" s="1"/>
  <c r="D26" i="13"/>
  <c r="H26" i="13"/>
  <c r="L26" i="13"/>
  <c r="F32" i="13"/>
  <c r="D13" i="13"/>
  <c r="E12" i="13"/>
  <c r="G50" i="31" l="1"/>
  <c r="G53" i="31" s="1"/>
  <c r="G127" i="31" s="1"/>
  <c r="G17" i="31"/>
  <c r="H15" i="31"/>
  <c r="F17" i="31"/>
  <c r="G19" i="31" s="1"/>
  <c r="G52" i="31" s="1"/>
  <c r="F50" i="31"/>
  <c r="F53" i="31" s="1"/>
  <c r="F56" i="31" s="1"/>
  <c r="E17" i="34"/>
  <c r="E34" i="34"/>
  <c r="F16" i="31"/>
  <c r="E36" i="31"/>
  <c r="E42" i="31" s="1"/>
  <c r="F50" i="34"/>
  <c r="F53" i="34" s="1"/>
  <c r="F56" i="34" s="1"/>
  <c r="H50" i="31"/>
  <c r="H53" i="31" s="1"/>
  <c r="H56" i="31" s="1"/>
  <c r="E34" i="29"/>
  <c r="E37" i="29" s="1"/>
  <c r="E40" i="29" s="1"/>
  <c r="E41" i="29" s="1"/>
  <c r="E34" i="23"/>
  <c r="E37" i="23" s="1"/>
  <c r="E40" i="23" s="1"/>
  <c r="E41" i="23" s="1"/>
  <c r="E50" i="23"/>
  <c r="E53" i="23" s="1"/>
  <c r="F15" i="23"/>
  <c r="F50" i="23" s="1"/>
  <c r="F53" i="23" s="1"/>
  <c r="E16" i="23"/>
  <c r="E50" i="29"/>
  <c r="E53" i="29" s="1"/>
  <c r="E34" i="27"/>
  <c r="E37" i="27" s="1"/>
  <c r="E40" i="27" s="1"/>
  <c r="E41" i="27" s="1"/>
  <c r="E50" i="25"/>
  <c r="E53" i="25" s="1"/>
  <c r="E50" i="27"/>
  <c r="E53" i="27" s="1"/>
  <c r="F17" i="18"/>
  <c r="E34" i="18"/>
  <c r="E37" i="18" s="1"/>
  <c r="E40" i="18" s="1"/>
  <c r="E41" i="18" s="1"/>
  <c r="G15" i="18"/>
  <c r="H15" i="18" s="1"/>
  <c r="H50" i="18" s="1"/>
  <c r="H53" i="18" s="1"/>
  <c r="E17" i="18"/>
  <c r="E19" i="18" s="1"/>
  <c r="E21" i="18" s="1"/>
  <c r="E16" i="18"/>
  <c r="F15" i="27"/>
  <c r="F50" i="27" s="1"/>
  <c r="F53" i="27" s="1"/>
  <c r="F50" i="18"/>
  <c r="F53" i="18" s="1"/>
  <c r="F56" i="18" s="1"/>
  <c r="E50" i="18"/>
  <c r="E53" i="18" s="1"/>
  <c r="E17" i="27"/>
  <c r="F15" i="25"/>
  <c r="F50" i="25" s="1"/>
  <c r="F53" i="25" s="1"/>
  <c r="F127" i="25" s="1"/>
  <c r="E17" i="25"/>
  <c r="E34" i="25"/>
  <c r="E37" i="25" s="1"/>
  <c r="E40" i="25" s="1"/>
  <c r="E41" i="25" s="1"/>
  <c r="E16" i="25"/>
  <c r="E16" i="29"/>
  <c r="E17" i="29"/>
  <c r="G15" i="29"/>
  <c r="F16" i="29"/>
  <c r="F17" i="29"/>
  <c r="F50" i="29"/>
  <c r="F53" i="29" s="1"/>
  <c r="G15" i="34"/>
  <c r="G50" i="34" s="1"/>
  <c r="G53" i="34" s="1"/>
  <c r="F17" i="34"/>
  <c r="F16" i="34"/>
  <c r="E53" i="34"/>
  <c r="F130" i="34"/>
  <c r="F133" i="34"/>
  <c r="E37" i="34"/>
  <c r="E40" i="34" s="1"/>
  <c r="E41" i="34" s="1"/>
  <c r="E19" i="34"/>
  <c r="E36" i="34" s="1"/>
  <c r="E18" i="34"/>
  <c r="F34" i="34"/>
  <c r="F37" i="34" s="1"/>
  <c r="F40" i="34" s="1"/>
  <c r="G39" i="34"/>
  <c r="G130" i="31"/>
  <c r="G133" i="31"/>
  <c r="G56" i="31"/>
  <c r="E37" i="31"/>
  <c r="E40" i="31" s="1"/>
  <c r="E41" i="31" s="1"/>
  <c r="E58" i="31"/>
  <c r="E54" i="31"/>
  <c r="F127" i="31"/>
  <c r="F133" i="31"/>
  <c r="F130" i="31"/>
  <c r="E53" i="31"/>
  <c r="G18" i="31"/>
  <c r="E28" i="31"/>
  <c r="E25" i="31"/>
  <c r="E21" i="31"/>
  <c r="E23" i="31" s="1"/>
  <c r="I15" i="31"/>
  <c r="H17" i="31"/>
  <c r="H16" i="31"/>
  <c r="G39" i="31"/>
  <c r="F34" i="31"/>
  <c r="F37" i="31" s="1"/>
  <c r="F40" i="31" s="1"/>
  <c r="F34" i="29"/>
  <c r="G39" i="29"/>
  <c r="H39" i="27"/>
  <c r="G39" i="25"/>
  <c r="G39" i="23"/>
  <c r="E18" i="23"/>
  <c r="E19" i="23"/>
  <c r="G39" i="18"/>
  <c r="F34" i="18"/>
  <c r="F37" i="18" s="1"/>
  <c r="F40" i="18" s="1"/>
  <c r="F34" i="36"/>
  <c r="G15" i="36"/>
  <c r="E37" i="36"/>
  <c r="E40" i="36" s="1"/>
  <c r="E41" i="36" s="1"/>
  <c r="F50" i="36"/>
  <c r="F17" i="36"/>
  <c r="F18" i="36" s="1"/>
  <c r="F37" i="36"/>
  <c r="F40" i="36" s="1"/>
  <c r="G16" i="36"/>
  <c r="G17" i="36"/>
  <c r="H15" i="36"/>
  <c r="H34" i="36" s="1"/>
  <c r="E19" i="36"/>
  <c r="E21" i="36" s="1"/>
  <c r="E18" i="36"/>
  <c r="E133" i="36"/>
  <c r="E127" i="36"/>
  <c r="E56" i="36"/>
  <c r="E57" i="36" s="1"/>
  <c r="M6" i="19"/>
  <c r="M10" i="19"/>
  <c r="K13" i="19"/>
  <c r="K9" i="19"/>
  <c r="M9" i="19" s="1"/>
  <c r="K14" i="19"/>
  <c r="K12" i="19"/>
  <c r="H12" i="19"/>
  <c r="L12" i="19" s="1"/>
  <c r="H14" i="19"/>
  <c r="L14" i="19" s="1"/>
  <c r="H13" i="19"/>
  <c r="L13" i="19" s="1"/>
  <c r="H11" i="19"/>
  <c r="L11" i="19" s="1"/>
  <c r="K11" i="19"/>
  <c r="E20" i="13"/>
  <c r="F20" i="13"/>
  <c r="H18" i="13"/>
  <c r="G20" i="13"/>
  <c r="G36" i="13"/>
  <c r="F38" i="13"/>
  <c r="F39" i="13" s="1"/>
  <c r="F12" i="13"/>
  <c r="E14" i="13"/>
  <c r="F19" i="31" l="1"/>
  <c r="F52" i="31" s="1"/>
  <c r="F18" i="31"/>
  <c r="F127" i="34"/>
  <c r="E38" i="31"/>
  <c r="E46" i="31" s="1"/>
  <c r="E44" i="31" s="1"/>
  <c r="E52" i="34"/>
  <c r="E58" i="34" s="1"/>
  <c r="H133" i="31"/>
  <c r="H127" i="31"/>
  <c r="H130" i="31"/>
  <c r="F41" i="34"/>
  <c r="F133" i="18"/>
  <c r="F16" i="23"/>
  <c r="E52" i="23"/>
  <c r="E54" i="23" s="1"/>
  <c r="G15" i="23"/>
  <c r="G17" i="23" s="1"/>
  <c r="F17" i="23"/>
  <c r="F19" i="23" s="1"/>
  <c r="F34" i="23"/>
  <c r="F37" i="23" s="1"/>
  <c r="F40" i="23" s="1"/>
  <c r="F41" i="23" s="1"/>
  <c r="F19" i="18"/>
  <c r="F36" i="18" s="1"/>
  <c r="F38" i="18" s="1"/>
  <c r="F46" i="18" s="1"/>
  <c r="E18" i="18"/>
  <c r="E25" i="18" s="1"/>
  <c r="F133" i="27"/>
  <c r="F130" i="27"/>
  <c r="G50" i="18"/>
  <c r="G53" i="18" s="1"/>
  <c r="G127" i="18" s="1"/>
  <c r="G15" i="27"/>
  <c r="G16" i="27" s="1"/>
  <c r="F18" i="18"/>
  <c r="F28" i="18" s="1"/>
  <c r="F94" i="18" s="1"/>
  <c r="G16" i="18"/>
  <c r="F127" i="27"/>
  <c r="E52" i="18"/>
  <c r="E58" i="18" s="1"/>
  <c r="G17" i="18"/>
  <c r="G19" i="18" s="1"/>
  <c r="F34" i="25"/>
  <c r="F37" i="25" s="1"/>
  <c r="F40" i="25" s="1"/>
  <c r="F41" i="25" s="1"/>
  <c r="E36" i="23"/>
  <c r="E42" i="23" s="1"/>
  <c r="F16" i="27"/>
  <c r="F34" i="27"/>
  <c r="F37" i="27" s="1"/>
  <c r="F40" i="27" s="1"/>
  <c r="F41" i="27" s="1"/>
  <c r="F17" i="27"/>
  <c r="E19" i="27"/>
  <c r="E18" i="27"/>
  <c r="F127" i="18"/>
  <c r="F130" i="18"/>
  <c r="F56" i="27"/>
  <c r="E36" i="18"/>
  <c r="F56" i="25"/>
  <c r="F133" i="25"/>
  <c r="F130" i="25"/>
  <c r="E19" i="29"/>
  <c r="E18" i="29"/>
  <c r="E19" i="25"/>
  <c r="E18" i="25"/>
  <c r="E25" i="25" s="1"/>
  <c r="G15" i="25"/>
  <c r="G34" i="25" s="1"/>
  <c r="G37" i="25" s="1"/>
  <c r="G40" i="25" s="1"/>
  <c r="F17" i="25"/>
  <c r="F16" i="25"/>
  <c r="G16" i="29"/>
  <c r="G50" i="29"/>
  <c r="G53" i="29" s="1"/>
  <c r="G17" i="29"/>
  <c r="H15" i="29"/>
  <c r="F133" i="29"/>
  <c r="F56" i="29"/>
  <c r="F130" i="29"/>
  <c r="F127" i="29"/>
  <c r="F18" i="29"/>
  <c r="F19" i="29"/>
  <c r="F36" i="29" s="1"/>
  <c r="E54" i="34"/>
  <c r="E28" i="34"/>
  <c r="E25" i="34"/>
  <c r="E127" i="34"/>
  <c r="E133" i="34"/>
  <c r="E130" i="34"/>
  <c r="E56" i="34"/>
  <c r="E57" i="34" s="1"/>
  <c r="F57" i="34" s="1"/>
  <c r="H39" i="34"/>
  <c r="G34" i="34"/>
  <c r="G37" i="34" s="1"/>
  <c r="G40" i="34" s="1"/>
  <c r="E21" i="34"/>
  <c r="E23" i="34" s="1"/>
  <c r="F19" i="34"/>
  <c r="F36" i="34" s="1"/>
  <c r="F18" i="34"/>
  <c r="G130" i="34"/>
  <c r="G127" i="34"/>
  <c r="G133" i="34"/>
  <c r="G56" i="34"/>
  <c r="E42" i="34"/>
  <c r="E38" i="34"/>
  <c r="E46" i="34" s="1"/>
  <c r="E44" i="34" s="1"/>
  <c r="G17" i="34"/>
  <c r="G16" i="34"/>
  <c r="H15" i="34"/>
  <c r="F36" i="31"/>
  <c r="E94" i="31"/>
  <c r="E30" i="31"/>
  <c r="H19" i="31"/>
  <c r="H18" i="31"/>
  <c r="E66" i="31"/>
  <c r="H39" i="31"/>
  <c r="G34" i="31"/>
  <c r="I17" i="31"/>
  <c r="J15" i="31"/>
  <c r="I16" i="31"/>
  <c r="I50" i="31"/>
  <c r="F41" i="31"/>
  <c r="G28" i="31"/>
  <c r="G94" i="31" s="1"/>
  <c r="G25" i="31"/>
  <c r="G79" i="31" s="1"/>
  <c r="E127" i="31"/>
  <c r="E130" i="31"/>
  <c r="E133" i="31"/>
  <c r="E56" i="31"/>
  <c r="E57" i="31" s="1"/>
  <c r="F57" i="31" s="1"/>
  <c r="G57" i="31" s="1"/>
  <c r="H57" i="31" s="1"/>
  <c r="E135" i="31"/>
  <c r="E129" i="31"/>
  <c r="E132" i="31"/>
  <c r="E62" i="31"/>
  <c r="E60" i="31" s="1"/>
  <c r="F54" i="31"/>
  <c r="F58" i="31"/>
  <c r="G58" i="31" s="1"/>
  <c r="G54" i="31"/>
  <c r="F21" i="31"/>
  <c r="G21" i="31"/>
  <c r="G23" i="31" s="1"/>
  <c r="G66" i="31" s="1"/>
  <c r="F25" i="31"/>
  <c r="F79" i="31" s="1"/>
  <c r="F28" i="31"/>
  <c r="F94" i="31" s="1"/>
  <c r="E79" i="31"/>
  <c r="E27" i="31"/>
  <c r="F37" i="29"/>
  <c r="F40" i="29" s="1"/>
  <c r="F41" i="29" s="1"/>
  <c r="E127" i="29"/>
  <c r="E130" i="29"/>
  <c r="E133" i="29"/>
  <c r="E56" i="29"/>
  <c r="E57" i="29" s="1"/>
  <c r="G34" i="29"/>
  <c r="H39" i="29"/>
  <c r="I39" i="27"/>
  <c r="E130" i="27"/>
  <c r="E133" i="27"/>
  <c r="E127" i="27"/>
  <c r="E56" i="27"/>
  <c r="E57" i="27" s="1"/>
  <c r="E130" i="25"/>
  <c r="E127" i="25"/>
  <c r="E133" i="25"/>
  <c r="E56" i="25"/>
  <c r="E57" i="25" s="1"/>
  <c r="H39" i="25"/>
  <c r="E127" i="23"/>
  <c r="E133" i="23"/>
  <c r="E130" i="23"/>
  <c r="E56" i="23"/>
  <c r="E57" i="23" s="1"/>
  <c r="F127" i="23"/>
  <c r="F133" i="23"/>
  <c r="F130" i="23"/>
  <c r="F56" i="23"/>
  <c r="E21" i="23"/>
  <c r="E23" i="23" s="1"/>
  <c r="E25" i="23"/>
  <c r="E28" i="23"/>
  <c r="H39" i="23"/>
  <c r="F41" i="18"/>
  <c r="E127" i="18"/>
  <c r="E130" i="18"/>
  <c r="E133" i="18"/>
  <c r="E56" i="18"/>
  <c r="E57" i="18" s="1"/>
  <c r="F57" i="18" s="1"/>
  <c r="H130" i="18"/>
  <c r="H133" i="18"/>
  <c r="H127" i="18"/>
  <c r="H56" i="18"/>
  <c r="H17" i="18"/>
  <c r="H16" i="18"/>
  <c r="I15" i="18"/>
  <c r="E23" i="18"/>
  <c r="H39" i="18"/>
  <c r="G34" i="18"/>
  <c r="F28" i="36"/>
  <c r="F94" i="36" s="1"/>
  <c r="F25" i="36"/>
  <c r="F79" i="36" s="1"/>
  <c r="E28" i="36"/>
  <c r="E30" i="36" s="1"/>
  <c r="E96" i="36" s="1"/>
  <c r="E25" i="36"/>
  <c r="E79" i="36" s="1"/>
  <c r="F41" i="36"/>
  <c r="G34" i="36"/>
  <c r="G37" i="36" s="1"/>
  <c r="G40" i="36" s="1"/>
  <c r="G50" i="36"/>
  <c r="G53" i="36" s="1"/>
  <c r="M14" i="19"/>
  <c r="M12" i="19"/>
  <c r="H37" i="36"/>
  <c r="H40" i="36" s="1"/>
  <c r="E52" i="36"/>
  <c r="E58" i="36" s="1"/>
  <c r="E94" i="36"/>
  <c r="F53" i="36"/>
  <c r="F56" i="36" s="1"/>
  <c r="F57" i="36" s="1"/>
  <c r="F19" i="36"/>
  <c r="F97" i="36"/>
  <c r="F101" i="36" s="1"/>
  <c r="F99" i="36"/>
  <c r="F21" i="36"/>
  <c r="F23" i="36" s="1"/>
  <c r="F66" i="36" s="1"/>
  <c r="F52" i="36"/>
  <c r="I15" i="36"/>
  <c r="H50" i="36"/>
  <c r="H17" i="36"/>
  <c r="H16" i="36"/>
  <c r="E36" i="36"/>
  <c r="G18" i="36"/>
  <c r="G19" i="36"/>
  <c r="M11" i="19"/>
  <c r="M13" i="19"/>
  <c r="H17" i="19"/>
  <c r="L17" i="19" s="1"/>
  <c r="K17" i="19"/>
  <c r="H18" i="19"/>
  <c r="L18" i="19" s="1"/>
  <c r="K18" i="19"/>
  <c r="H15" i="19"/>
  <c r="L15" i="19" s="1"/>
  <c r="K15" i="19"/>
  <c r="H16" i="19"/>
  <c r="L16" i="19" s="1"/>
  <c r="K16" i="19"/>
  <c r="I18" i="13"/>
  <c r="H20" i="13"/>
  <c r="H36" i="13"/>
  <c r="G38" i="13"/>
  <c r="G39" i="13" s="1"/>
  <c r="G12" i="13"/>
  <c r="F14" i="13"/>
  <c r="E79" i="18" l="1"/>
  <c r="E82" i="18" s="1"/>
  <c r="E86" i="18" s="1"/>
  <c r="G41" i="34"/>
  <c r="E58" i="23"/>
  <c r="G18" i="18"/>
  <c r="G25" i="18" s="1"/>
  <c r="G79" i="18" s="1"/>
  <c r="F25" i="18"/>
  <c r="F79" i="18" s="1"/>
  <c r="F84" i="18" s="1"/>
  <c r="G17" i="27"/>
  <c r="G19" i="27" s="1"/>
  <c r="G50" i="23"/>
  <c r="G53" i="23" s="1"/>
  <c r="G34" i="23"/>
  <c r="G37" i="23" s="1"/>
  <c r="G40" i="23" s="1"/>
  <c r="G41" i="23" s="1"/>
  <c r="E28" i="18"/>
  <c r="E94" i="18" s="1"/>
  <c r="E99" i="18" s="1"/>
  <c r="F57" i="25"/>
  <c r="G56" i="18"/>
  <c r="G57" i="18" s="1"/>
  <c r="H57" i="18" s="1"/>
  <c r="F36" i="23"/>
  <c r="F42" i="23" s="1"/>
  <c r="H15" i="23"/>
  <c r="H50" i="23" s="1"/>
  <c r="H53" i="23" s="1"/>
  <c r="G16" i="23"/>
  <c r="E54" i="18"/>
  <c r="E135" i="18" s="1"/>
  <c r="F18" i="23"/>
  <c r="F28" i="23" s="1"/>
  <c r="F94" i="23" s="1"/>
  <c r="F21" i="18"/>
  <c r="F23" i="18" s="1"/>
  <c r="F57" i="27"/>
  <c r="F52" i="18"/>
  <c r="F54" i="18" s="1"/>
  <c r="F62" i="18" s="1"/>
  <c r="G130" i="18"/>
  <c r="G52" i="18"/>
  <c r="G54" i="18" s="1"/>
  <c r="H15" i="27"/>
  <c r="H17" i="27" s="1"/>
  <c r="G133" i="18"/>
  <c r="G34" i="27"/>
  <c r="G37" i="27" s="1"/>
  <c r="G40" i="27" s="1"/>
  <c r="G41" i="27" s="1"/>
  <c r="G50" i="27"/>
  <c r="G53" i="27" s="1"/>
  <c r="E38" i="23"/>
  <c r="E46" i="23" s="1"/>
  <c r="E44" i="23" s="1"/>
  <c r="F57" i="29"/>
  <c r="E42" i="18"/>
  <c r="F42" i="18" s="1"/>
  <c r="E38" i="18"/>
  <c r="E46" i="18" s="1"/>
  <c r="E44" i="18" s="1"/>
  <c r="E36" i="27"/>
  <c r="E21" i="27"/>
  <c r="E23" i="27" s="1"/>
  <c r="E66" i="27" s="1"/>
  <c r="E52" i="27"/>
  <c r="E28" i="27"/>
  <c r="E25" i="27"/>
  <c r="F19" i="27"/>
  <c r="F18" i="27"/>
  <c r="E28" i="29"/>
  <c r="E25" i="29"/>
  <c r="G50" i="25"/>
  <c r="G53" i="25" s="1"/>
  <c r="G16" i="25"/>
  <c r="G17" i="25"/>
  <c r="H15" i="25"/>
  <c r="H34" i="25" s="1"/>
  <c r="F52" i="23"/>
  <c r="F52" i="29"/>
  <c r="F54" i="29" s="1"/>
  <c r="F135" i="29" s="1"/>
  <c r="G41" i="25"/>
  <c r="E52" i="25"/>
  <c r="E21" i="25"/>
  <c r="E23" i="25" s="1"/>
  <c r="E66" i="25" s="1"/>
  <c r="E36" i="29"/>
  <c r="E52" i="29"/>
  <c r="E21" i="29"/>
  <c r="E23" i="29" s="1"/>
  <c r="E66" i="29" s="1"/>
  <c r="E69" i="29" s="1"/>
  <c r="E72" i="29" s="1"/>
  <c r="E73" i="29" s="1"/>
  <c r="F19" i="25"/>
  <c r="F21" i="25" s="1"/>
  <c r="F23" i="25" s="1"/>
  <c r="F66" i="25" s="1"/>
  <c r="F18" i="25"/>
  <c r="E28" i="25"/>
  <c r="E36" i="25"/>
  <c r="G133" i="29"/>
  <c r="G127" i="29"/>
  <c r="G130" i="29"/>
  <c r="G56" i="29"/>
  <c r="H16" i="29"/>
  <c r="H50" i="29"/>
  <c r="H53" i="29" s="1"/>
  <c r="H17" i="29"/>
  <c r="I15" i="29"/>
  <c r="F28" i="29"/>
  <c r="F94" i="29" s="1"/>
  <c r="F25" i="29"/>
  <c r="F79" i="29" s="1"/>
  <c r="F21" i="29"/>
  <c r="F23" i="29" s="1"/>
  <c r="F66" i="29" s="1"/>
  <c r="G18" i="29"/>
  <c r="G19" i="29"/>
  <c r="G21" i="29" s="1"/>
  <c r="G23" i="29" s="1"/>
  <c r="G66" i="29" s="1"/>
  <c r="F57" i="23"/>
  <c r="G36" i="18"/>
  <c r="G38" i="18" s="1"/>
  <c r="G46" i="18" s="1"/>
  <c r="G44" i="18" s="1"/>
  <c r="E135" i="34"/>
  <c r="E129" i="34"/>
  <c r="E132" i="34"/>
  <c r="E62" i="34"/>
  <c r="E60" i="34" s="1"/>
  <c r="E66" i="34"/>
  <c r="H16" i="34"/>
  <c r="I15" i="34"/>
  <c r="H17" i="34"/>
  <c r="H50" i="34"/>
  <c r="H34" i="34"/>
  <c r="I39" i="34"/>
  <c r="E79" i="34"/>
  <c r="E27" i="34"/>
  <c r="F25" i="34"/>
  <c r="F79" i="34" s="1"/>
  <c r="F28" i="34"/>
  <c r="F94" i="34" s="1"/>
  <c r="E94" i="34"/>
  <c r="E30" i="34"/>
  <c r="G19" i="34"/>
  <c r="G36" i="34" s="1"/>
  <c r="G18" i="34"/>
  <c r="F21" i="34"/>
  <c r="F23" i="34" s="1"/>
  <c r="F66" i="34" s="1"/>
  <c r="F42" i="34"/>
  <c r="F38" i="34"/>
  <c r="F46" i="34" s="1"/>
  <c r="F44" i="34" s="1"/>
  <c r="F52" i="34"/>
  <c r="G57" i="34"/>
  <c r="E97" i="31"/>
  <c r="E101" i="31" s="1"/>
  <c r="E99" i="31"/>
  <c r="F99" i="31"/>
  <c r="F97" i="31"/>
  <c r="F101" i="31" s="1"/>
  <c r="G99" i="31"/>
  <c r="G97" i="31"/>
  <c r="G101" i="31" s="1"/>
  <c r="F82" i="31"/>
  <c r="F86" i="31" s="1"/>
  <c r="F84" i="31"/>
  <c r="I53" i="31"/>
  <c r="I51" i="31"/>
  <c r="I9" i="31" s="1"/>
  <c r="H52" i="31"/>
  <c r="F42" i="31"/>
  <c r="F38" i="31"/>
  <c r="F46" i="31" s="1"/>
  <c r="F44" i="31" s="1"/>
  <c r="F23" i="31"/>
  <c r="G129" i="31"/>
  <c r="G132" i="31"/>
  <c r="G135" i="31"/>
  <c r="G62" i="31"/>
  <c r="G109" i="31"/>
  <c r="G112" i="31" s="1"/>
  <c r="G116" i="31" s="1"/>
  <c r="G71" i="31"/>
  <c r="G69" i="31"/>
  <c r="G72" i="31" s="1"/>
  <c r="G68" i="31"/>
  <c r="J17" i="31"/>
  <c r="K15" i="31"/>
  <c r="J16" i="31"/>
  <c r="J50" i="31"/>
  <c r="J53" i="31" s="1"/>
  <c r="E96" i="31"/>
  <c r="F30" i="31"/>
  <c r="H28" i="31"/>
  <c r="H94" i="31" s="1"/>
  <c r="H25" i="31"/>
  <c r="E81" i="31"/>
  <c r="F27" i="31"/>
  <c r="F135" i="31"/>
  <c r="F129" i="31"/>
  <c r="F132" i="31"/>
  <c r="F62" i="31"/>
  <c r="F60" i="31" s="1"/>
  <c r="I19" i="31"/>
  <c r="I52" i="31" s="1"/>
  <c r="I18" i="31"/>
  <c r="I39" i="31"/>
  <c r="H34" i="31"/>
  <c r="G37" i="31"/>
  <c r="G40" i="31" s="1"/>
  <c r="G41" i="31" s="1"/>
  <c r="G36" i="31"/>
  <c r="E109" i="31"/>
  <c r="E71" i="31"/>
  <c r="E69" i="31"/>
  <c r="E72" i="31" s="1"/>
  <c r="E73" i="31" s="1"/>
  <c r="E68" i="31"/>
  <c r="E84" i="31"/>
  <c r="E82" i="31"/>
  <c r="E86" i="31" s="1"/>
  <c r="G82" i="31"/>
  <c r="G86" i="31" s="1"/>
  <c r="G84" i="31"/>
  <c r="H21" i="31"/>
  <c r="F38" i="29"/>
  <c r="F46" i="29" s="1"/>
  <c r="I39" i="29"/>
  <c r="H34" i="29"/>
  <c r="G37" i="29"/>
  <c r="G40" i="29" s="1"/>
  <c r="G41" i="29" s="1"/>
  <c r="J39" i="27"/>
  <c r="I39" i="25"/>
  <c r="E66" i="23"/>
  <c r="G19" i="23"/>
  <c r="G18" i="23"/>
  <c r="E94" i="23"/>
  <c r="E30" i="23"/>
  <c r="E79" i="23"/>
  <c r="E27" i="23"/>
  <c r="I39" i="23"/>
  <c r="F21" i="23"/>
  <c r="F23" i="23" s="1"/>
  <c r="F66" i="23" s="1"/>
  <c r="E135" i="23"/>
  <c r="E129" i="23"/>
  <c r="E132" i="23"/>
  <c r="E62" i="23"/>
  <c r="E60" i="23" s="1"/>
  <c r="F97" i="18"/>
  <c r="F101" i="18" s="1"/>
  <c r="F99" i="18"/>
  <c r="G21" i="18"/>
  <c r="J15" i="18"/>
  <c r="I17" i="18"/>
  <c r="I16" i="18"/>
  <c r="I50" i="18"/>
  <c r="H19" i="18"/>
  <c r="H18" i="18"/>
  <c r="E66" i="18"/>
  <c r="G37" i="18"/>
  <c r="G40" i="18" s="1"/>
  <c r="G41" i="18" s="1"/>
  <c r="H34" i="18"/>
  <c r="H37" i="18" s="1"/>
  <c r="H40" i="18" s="1"/>
  <c r="I39" i="18"/>
  <c r="G36" i="36"/>
  <c r="E54" i="36"/>
  <c r="E82" i="36"/>
  <c r="E86" i="36" s="1"/>
  <c r="E84" i="36"/>
  <c r="F82" i="36"/>
  <c r="F86" i="36" s="1"/>
  <c r="F109" i="36"/>
  <c r="F84" i="36"/>
  <c r="E27" i="36"/>
  <c r="F27" i="36" s="1"/>
  <c r="G28" i="36"/>
  <c r="G25" i="36"/>
  <c r="G79" i="36" s="1"/>
  <c r="F127" i="36"/>
  <c r="G133" i="36"/>
  <c r="G127" i="36"/>
  <c r="G56" i="36"/>
  <c r="G57" i="36" s="1"/>
  <c r="G130" i="36"/>
  <c r="F130" i="36"/>
  <c r="F133" i="36"/>
  <c r="G41" i="36"/>
  <c r="H41" i="36" s="1"/>
  <c r="M15" i="19"/>
  <c r="M17" i="19"/>
  <c r="F36" i="36"/>
  <c r="F38" i="36" s="1"/>
  <c r="F46" i="36" s="1"/>
  <c r="G94" i="36"/>
  <c r="G38" i="36"/>
  <c r="G46" i="36" s="1"/>
  <c r="H19" i="36"/>
  <c r="H18" i="36"/>
  <c r="F58" i="36"/>
  <c r="F54" i="36"/>
  <c r="E99" i="36"/>
  <c r="E97" i="36"/>
  <c r="E101" i="36" s="1"/>
  <c r="H53" i="36"/>
  <c r="F30" i="36"/>
  <c r="F96" i="36" s="1"/>
  <c r="I17" i="36"/>
  <c r="I50" i="36"/>
  <c r="I16" i="36"/>
  <c r="J15" i="36"/>
  <c r="I34" i="36"/>
  <c r="E23" i="36"/>
  <c r="G21" i="36"/>
  <c r="G52" i="36"/>
  <c r="E42" i="36"/>
  <c r="E38" i="36"/>
  <c r="E46" i="36" s="1"/>
  <c r="E44" i="36" s="1"/>
  <c r="E135" i="36"/>
  <c r="E129" i="36"/>
  <c r="E132" i="36"/>
  <c r="E62" i="36"/>
  <c r="E60" i="36" s="1"/>
  <c r="M16" i="19"/>
  <c r="M18" i="19"/>
  <c r="H21" i="19"/>
  <c r="L21" i="19" s="1"/>
  <c r="K21" i="19"/>
  <c r="M21" i="19" s="1"/>
  <c r="K20" i="19"/>
  <c r="H20" i="19"/>
  <c r="L20" i="19" s="1"/>
  <c r="H19" i="19"/>
  <c r="L19" i="19" s="1"/>
  <c r="K19" i="19"/>
  <c r="M19" i="19" s="1"/>
  <c r="K22" i="19"/>
  <c r="H22" i="19"/>
  <c r="L22" i="19" s="1"/>
  <c r="J18" i="13"/>
  <c r="I20" i="13"/>
  <c r="I36" i="13"/>
  <c r="H38" i="13"/>
  <c r="H39" i="13" s="1"/>
  <c r="H12" i="13"/>
  <c r="G14" i="13"/>
  <c r="D31" i="13"/>
  <c r="E37" i="13"/>
  <c r="D37" i="13"/>
  <c r="E25" i="13"/>
  <c r="D25" i="13"/>
  <c r="E19" i="13"/>
  <c r="D19" i="13"/>
  <c r="D16" i="13"/>
  <c r="G52" i="34" l="1"/>
  <c r="I20" i="31"/>
  <c r="E114" i="31"/>
  <c r="E27" i="18"/>
  <c r="E81" i="18" s="1"/>
  <c r="E83" i="18" s="1"/>
  <c r="E93" i="18" s="1"/>
  <c r="E91" i="18" s="1"/>
  <c r="F25" i="23"/>
  <c r="F79" i="23" s="1"/>
  <c r="F84" i="23" s="1"/>
  <c r="G60" i="31"/>
  <c r="F38" i="23"/>
  <c r="F46" i="23" s="1"/>
  <c r="F44" i="23" s="1"/>
  <c r="F58" i="23"/>
  <c r="G28" i="18"/>
  <c r="G94" i="18" s="1"/>
  <c r="E97" i="18"/>
  <c r="E101" i="18" s="1"/>
  <c r="E103" i="18" s="1"/>
  <c r="F103" i="18" s="1"/>
  <c r="E30" i="18"/>
  <c r="E96" i="18" s="1"/>
  <c r="E104" i="18" s="1"/>
  <c r="F82" i="18"/>
  <c r="F86" i="18" s="1"/>
  <c r="H19" i="27"/>
  <c r="H21" i="27" s="1"/>
  <c r="H23" i="27" s="1"/>
  <c r="G18" i="27"/>
  <c r="G25" i="27" s="1"/>
  <c r="G79" i="27" s="1"/>
  <c r="H17" i="23"/>
  <c r="H18" i="23" s="1"/>
  <c r="I15" i="23"/>
  <c r="I17" i="23" s="1"/>
  <c r="H16" i="23"/>
  <c r="E132" i="18"/>
  <c r="E62" i="18"/>
  <c r="E60" i="18" s="1"/>
  <c r="G36" i="23"/>
  <c r="G42" i="23" s="1"/>
  <c r="E129" i="18"/>
  <c r="E84" i="18"/>
  <c r="H34" i="23"/>
  <c r="H37" i="23" s="1"/>
  <c r="H40" i="23" s="1"/>
  <c r="H41" i="23" s="1"/>
  <c r="F132" i="18"/>
  <c r="G36" i="27"/>
  <c r="G38" i="27" s="1"/>
  <c r="G46" i="27" s="1"/>
  <c r="F129" i="18"/>
  <c r="F58" i="18"/>
  <c r="G58" i="18" s="1"/>
  <c r="F135" i="18"/>
  <c r="G42" i="18"/>
  <c r="H34" i="27"/>
  <c r="H37" i="27" s="1"/>
  <c r="H40" i="27" s="1"/>
  <c r="H41" i="27" s="1"/>
  <c r="I15" i="27"/>
  <c r="H50" i="27"/>
  <c r="H53" i="27" s="1"/>
  <c r="H127" i="27" s="1"/>
  <c r="H16" i="27"/>
  <c r="G133" i="27"/>
  <c r="G56" i="27"/>
  <c r="G57" i="27" s="1"/>
  <c r="G127" i="27"/>
  <c r="G130" i="27"/>
  <c r="G57" i="29"/>
  <c r="G21" i="27"/>
  <c r="G23" i="27" s="1"/>
  <c r="G66" i="27" s="1"/>
  <c r="E68" i="29"/>
  <c r="E74" i="29" s="1"/>
  <c r="G52" i="27"/>
  <c r="G54" i="27" s="1"/>
  <c r="G132" i="27" s="1"/>
  <c r="E42" i="27"/>
  <c r="E38" i="27"/>
  <c r="E46" i="27" s="1"/>
  <c r="E44" i="27" s="1"/>
  <c r="F129" i="29"/>
  <c r="E94" i="27"/>
  <c r="E30" i="27"/>
  <c r="F62" i="29"/>
  <c r="F44" i="18"/>
  <c r="F28" i="27"/>
  <c r="F94" i="27" s="1"/>
  <c r="F25" i="27"/>
  <c r="F79" i="27" s="1"/>
  <c r="E58" i="27"/>
  <c r="E54" i="27"/>
  <c r="G36" i="29"/>
  <c r="G38" i="29" s="1"/>
  <c r="G46" i="29" s="1"/>
  <c r="G44" i="29" s="1"/>
  <c r="F132" i="29"/>
  <c r="F36" i="27"/>
  <c r="F38" i="27" s="1"/>
  <c r="F46" i="27" s="1"/>
  <c r="F52" i="27"/>
  <c r="F21" i="27"/>
  <c r="F23" i="27" s="1"/>
  <c r="F66" i="27" s="1"/>
  <c r="E27" i="27"/>
  <c r="E79" i="27"/>
  <c r="H18" i="27"/>
  <c r="H25" i="27" s="1"/>
  <c r="H79" i="27" s="1"/>
  <c r="F71" i="25"/>
  <c r="F69" i="25"/>
  <c r="F72" i="25" s="1"/>
  <c r="F68" i="25"/>
  <c r="F70" i="25" s="1"/>
  <c r="F78" i="25" s="1"/>
  <c r="E71" i="29"/>
  <c r="E79" i="25"/>
  <c r="E27" i="25"/>
  <c r="E54" i="29"/>
  <c r="E58" i="29"/>
  <c r="F58" i="29" s="1"/>
  <c r="G133" i="25"/>
  <c r="G127" i="25"/>
  <c r="G130" i="25"/>
  <c r="G56" i="25"/>
  <c r="G57" i="25" s="1"/>
  <c r="F28" i="25"/>
  <c r="F94" i="25" s="1"/>
  <c r="F25" i="25"/>
  <c r="F79" i="25" s="1"/>
  <c r="H50" i="25"/>
  <c r="H17" i="25"/>
  <c r="H16" i="25"/>
  <c r="I15" i="25"/>
  <c r="G18" i="25"/>
  <c r="G19" i="25"/>
  <c r="G21" i="25" s="1"/>
  <c r="G23" i="25" s="1"/>
  <c r="G66" i="25" s="1"/>
  <c r="E94" i="25"/>
  <c r="E30" i="25"/>
  <c r="E42" i="29"/>
  <c r="F42" i="29" s="1"/>
  <c r="E38" i="29"/>
  <c r="E46" i="29" s="1"/>
  <c r="E44" i="29" s="1"/>
  <c r="E79" i="29"/>
  <c r="E27" i="29"/>
  <c r="F54" i="23"/>
  <c r="F62" i="23" s="1"/>
  <c r="F60" i="23" s="1"/>
  <c r="E30" i="29"/>
  <c r="E94" i="29"/>
  <c r="E58" i="25"/>
  <c r="E54" i="25"/>
  <c r="E42" i="25"/>
  <c r="E38" i="25"/>
  <c r="E46" i="25" s="1"/>
  <c r="E44" i="25" s="1"/>
  <c r="F52" i="25"/>
  <c r="F36" i="25"/>
  <c r="F109" i="29"/>
  <c r="F112" i="29" s="1"/>
  <c r="F116" i="29" s="1"/>
  <c r="F68" i="29"/>
  <c r="F70" i="29" s="1"/>
  <c r="F78" i="29" s="1"/>
  <c r="F71" i="29"/>
  <c r="F69" i="29"/>
  <c r="F72" i="29" s="1"/>
  <c r="F73" i="29" s="1"/>
  <c r="H18" i="29"/>
  <c r="H19" i="29"/>
  <c r="H56" i="29"/>
  <c r="H133" i="29"/>
  <c r="H130" i="29"/>
  <c r="H127" i="29"/>
  <c r="F97" i="29"/>
  <c r="F101" i="29" s="1"/>
  <c r="F99" i="29"/>
  <c r="G25" i="29"/>
  <c r="G79" i="29" s="1"/>
  <c r="G28" i="29"/>
  <c r="G94" i="29" s="1"/>
  <c r="G52" i="29"/>
  <c r="I17" i="29"/>
  <c r="I50" i="29"/>
  <c r="I53" i="29" s="1"/>
  <c r="J15" i="29"/>
  <c r="I16" i="29"/>
  <c r="F84" i="29"/>
  <c r="F82" i="29"/>
  <c r="F86" i="29" s="1"/>
  <c r="G21" i="34"/>
  <c r="J39" i="34"/>
  <c r="I34" i="34"/>
  <c r="H37" i="34"/>
  <c r="H40" i="34" s="1"/>
  <c r="H41" i="34" s="1"/>
  <c r="H53" i="34"/>
  <c r="F99" i="34"/>
  <c r="F97" i="34"/>
  <c r="F101" i="34" s="1"/>
  <c r="H18" i="34"/>
  <c r="H19" i="34"/>
  <c r="E96" i="34"/>
  <c r="F30" i="34"/>
  <c r="F82" i="34"/>
  <c r="F86" i="34" s="1"/>
  <c r="F84" i="34"/>
  <c r="I17" i="34"/>
  <c r="I16" i="34"/>
  <c r="J15" i="34"/>
  <c r="I50" i="34"/>
  <c r="I53" i="34" s="1"/>
  <c r="F109" i="34"/>
  <c r="F112" i="34" s="1"/>
  <c r="F116" i="34" s="1"/>
  <c r="F69" i="34"/>
  <c r="F72" i="34" s="1"/>
  <c r="F71" i="34"/>
  <c r="F68" i="34"/>
  <c r="E97" i="34"/>
  <c r="E101" i="34" s="1"/>
  <c r="E99" i="34"/>
  <c r="F58" i="34"/>
  <c r="G58" i="34" s="1"/>
  <c r="F54" i="34"/>
  <c r="G42" i="34"/>
  <c r="G38" i="34"/>
  <c r="G46" i="34" s="1"/>
  <c r="G44" i="34" s="1"/>
  <c r="E109" i="34"/>
  <c r="E71" i="34"/>
  <c r="E69" i="34"/>
  <c r="E72" i="34" s="1"/>
  <c r="E73" i="34" s="1"/>
  <c r="E68" i="34"/>
  <c r="G54" i="34"/>
  <c r="E81" i="34"/>
  <c r="F27" i="34"/>
  <c r="G25" i="34"/>
  <c r="G28" i="34"/>
  <c r="E82" i="34"/>
  <c r="E86" i="34" s="1"/>
  <c r="E84" i="34"/>
  <c r="F81" i="31"/>
  <c r="G27" i="31"/>
  <c r="E104" i="31"/>
  <c r="E98" i="31"/>
  <c r="E108" i="31" s="1"/>
  <c r="E106" i="31" s="1"/>
  <c r="F66" i="31"/>
  <c r="E83" i="31"/>
  <c r="E93" i="31" s="1"/>
  <c r="E91" i="31" s="1"/>
  <c r="E89" i="31"/>
  <c r="G114" i="31"/>
  <c r="E111" i="31"/>
  <c r="E113" i="31" s="1"/>
  <c r="E123" i="31" s="1"/>
  <c r="E121" i="31" s="1"/>
  <c r="E74" i="31"/>
  <c r="E70" i="31"/>
  <c r="E78" i="31" s="1"/>
  <c r="E76" i="31" s="1"/>
  <c r="I25" i="31"/>
  <c r="I79" i="31" s="1"/>
  <c r="I28" i="31"/>
  <c r="J133" i="31"/>
  <c r="J127" i="31"/>
  <c r="J130" i="31"/>
  <c r="J56" i="31"/>
  <c r="I21" i="31"/>
  <c r="I22" i="31" s="1"/>
  <c r="I133" i="31"/>
  <c r="I127" i="31"/>
  <c r="I130" i="31"/>
  <c r="I56" i="31"/>
  <c r="I57" i="31" s="1"/>
  <c r="E103" i="31"/>
  <c r="F103" i="31" s="1"/>
  <c r="G103" i="31" s="1"/>
  <c r="H37" i="31"/>
  <c r="H40" i="31" s="1"/>
  <c r="H41" i="31" s="1"/>
  <c r="H36" i="31"/>
  <c r="I54" i="31"/>
  <c r="H79" i="31"/>
  <c r="K16" i="31"/>
  <c r="K17" i="31"/>
  <c r="L15" i="31"/>
  <c r="K50" i="31"/>
  <c r="K53" i="31" s="1"/>
  <c r="H23" i="31"/>
  <c r="H66" i="31" s="1"/>
  <c r="E88" i="31"/>
  <c r="F88" i="31" s="1"/>
  <c r="G88" i="31" s="1"/>
  <c r="G42" i="31"/>
  <c r="G38" i="31"/>
  <c r="G46" i="31" s="1"/>
  <c r="G44" i="31" s="1"/>
  <c r="J39" i="31"/>
  <c r="I34" i="31"/>
  <c r="I35" i="31" s="1"/>
  <c r="I8" i="31" s="1"/>
  <c r="H99" i="31"/>
  <c r="H97" i="31"/>
  <c r="H101" i="31" s="1"/>
  <c r="J19" i="31"/>
  <c r="J52" i="31" s="1"/>
  <c r="J18" i="31"/>
  <c r="E112" i="31"/>
  <c r="E116" i="31" s="1"/>
  <c r="F96" i="31"/>
  <c r="G30" i="31"/>
  <c r="G70" i="31"/>
  <c r="G78" i="31" s="1"/>
  <c r="H58" i="31"/>
  <c r="H54" i="31"/>
  <c r="I34" i="29"/>
  <c r="J39" i="29"/>
  <c r="G69" i="29"/>
  <c r="G72" i="29" s="1"/>
  <c r="G71" i="29"/>
  <c r="G68" i="29"/>
  <c r="H37" i="29"/>
  <c r="H40" i="29" s="1"/>
  <c r="H41" i="29" s="1"/>
  <c r="K39" i="27"/>
  <c r="E71" i="27"/>
  <c r="E69" i="27"/>
  <c r="E72" i="27" s="1"/>
  <c r="E73" i="27" s="1"/>
  <c r="E68" i="27"/>
  <c r="E71" i="25"/>
  <c r="E69" i="25"/>
  <c r="E72" i="25" s="1"/>
  <c r="E73" i="25" s="1"/>
  <c r="E68" i="25"/>
  <c r="J39" i="25"/>
  <c r="H37" i="25"/>
  <c r="H40" i="25" s="1"/>
  <c r="H41" i="25" s="1"/>
  <c r="G25" i="23"/>
  <c r="G79" i="23" s="1"/>
  <c r="G28" i="23"/>
  <c r="J39" i="23"/>
  <c r="E97" i="23"/>
  <c r="E101" i="23" s="1"/>
  <c r="E99" i="23"/>
  <c r="F97" i="23"/>
  <c r="F101" i="23" s="1"/>
  <c r="F99" i="23"/>
  <c r="G21" i="23"/>
  <c r="G23" i="23" s="1"/>
  <c r="G66" i="23" s="1"/>
  <c r="H130" i="23"/>
  <c r="H127" i="23"/>
  <c r="H133" i="23"/>
  <c r="H56" i="23"/>
  <c r="G52" i="23"/>
  <c r="E109" i="23"/>
  <c r="E69" i="23"/>
  <c r="E72" i="23" s="1"/>
  <c r="E73" i="23" s="1"/>
  <c r="E71" i="23"/>
  <c r="E68" i="23"/>
  <c r="E81" i="23"/>
  <c r="F71" i="23"/>
  <c r="F69" i="23"/>
  <c r="F72" i="23" s="1"/>
  <c r="F68" i="23"/>
  <c r="E84" i="23"/>
  <c r="E82" i="23"/>
  <c r="E86" i="23" s="1"/>
  <c r="E96" i="23"/>
  <c r="F30" i="23"/>
  <c r="G130" i="23"/>
  <c r="G133" i="23"/>
  <c r="G127" i="23"/>
  <c r="G56" i="23"/>
  <c r="G57" i="23" s="1"/>
  <c r="G23" i="18"/>
  <c r="F66" i="18"/>
  <c r="H21" i="18"/>
  <c r="G129" i="18"/>
  <c r="G132" i="18"/>
  <c r="G135" i="18"/>
  <c r="G62" i="18"/>
  <c r="G60" i="18" s="1"/>
  <c r="I53" i="18"/>
  <c r="I51" i="18"/>
  <c r="G84" i="18"/>
  <c r="G82" i="18"/>
  <c r="G86" i="18" s="1"/>
  <c r="E88" i="18"/>
  <c r="H41" i="18"/>
  <c r="I18" i="18"/>
  <c r="I19" i="18"/>
  <c r="I20" i="18" s="1"/>
  <c r="H36" i="18"/>
  <c r="H52" i="18"/>
  <c r="J17" i="18"/>
  <c r="J16" i="18"/>
  <c r="K15" i="18"/>
  <c r="J50" i="18"/>
  <c r="J53" i="18" s="1"/>
  <c r="I34" i="18"/>
  <c r="I37" i="18" s="1"/>
  <c r="I40" i="18" s="1"/>
  <c r="J39" i="18"/>
  <c r="E109" i="18"/>
  <c r="E71" i="18"/>
  <c r="E69" i="18"/>
  <c r="E72" i="18" s="1"/>
  <c r="E73" i="18" s="1"/>
  <c r="E68" i="18"/>
  <c r="H28" i="18"/>
  <c r="H94" i="18" s="1"/>
  <c r="H25" i="18"/>
  <c r="G84" i="36"/>
  <c r="G82" i="36"/>
  <c r="G86" i="36" s="1"/>
  <c r="E88" i="36"/>
  <c r="F88" i="36" s="1"/>
  <c r="F81" i="36"/>
  <c r="E81" i="36"/>
  <c r="H28" i="36"/>
  <c r="H25" i="36"/>
  <c r="H79" i="36" s="1"/>
  <c r="G44" i="36"/>
  <c r="G27" i="36"/>
  <c r="I51" i="36"/>
  <c r="I35" i="36"/>
  <c r="I8" i="36" s="1"/>
  <c r="H36" i="36"/>
  <c r="H38" i="36" s="1"/>
  <c r="H46" i="36" s="1"/>
  <c r="H44" i="36" s="1"/>
  <c r="H94" i="36"/>
  <c r="E66" i="36"/>
  <c r="E109" i="36" s="1"/>
  <c r="I53" i="36"/>
  <c r="I130" i="36" s="1"/>
  <c r="I37" i="36"/>
  <c r="I40" i="36" s="1"/>
  <c r="I41" i="36" s="1"/>
  <c r="I19" i="36"/>
  <c r="I20" i="36" s="1"/>
  <c r="I18" i="36"/>
  <c r="F69" i="36"/>
  <c r="F72" i="36" s="1"/>
  <c r="F112" i="36"/>
  <c r="F116" i="36" s="1"/>
  <c r="F71" i="36"/>
  <c r="F114" i="36" s="1"/>
  <c r="F68" i="36"/>
  <c r="H52" i="36"/>
  <c r="G58" i="36"/>
  <c r="G54" i="36"/>
  <c r="G30" i="36"/>
  <c r="G96" i="36" s="1"/>
  <c r="H133" i="36"/>
  <c r="H127" i="36"/>
  <c r="H130" i="36"/>
  <c r="H56" i="36"/>
  <c r="H57" i="36" s="1"/>
  <c r="G97" i="36"/>
  <c r="G101" i="36" s="1"/>
  <c r="G99" i="36"/>
  <c r="F135" i="36"/>
  <c r="F129" i="36"/>
  <c r="F132" i="36"/>
  <c r="F62" i="36"/>
  <c r="F60" i="36" s="1"/>
  <c r="H21" i="36"/>
  <c r="F42" i="36"/>
  <c r="J17" i="36"/>
  <c r="J16" i="36"/>
  <c r="K15" i="36"/>
  <c r="J34" i="36"/>
  <c r="J50" i="36"/>
  <c r="E98" i="36"/>
  <c r="E108" i="36" s="1"/>
  <c r="E106" i="36" s="1"/>
  <c r="E104" i="36"/>
  <c r="E103" i="36"/>
  <c r="F103" i="36" s="1"/>
  <c r="F44" i="36"/>
  <c r="G23" i="36"/>
  <c r="M22" i="19"/>
  <c r="M20" i="19"/>
  <c r="H26" i="19"/>
  <c r="L26" i="19" s="1"/>
  <c r="K26" i="19"/>
  <c r="H25" i="19"/>
  <c r="L25" i="19" s="1"/>
  <c r="K25" i="19"/>
  <c r="H23" i="19"/>
  <c r="L23" i="19" s="1"/>
  <c r="K23" i="19"/>
  <c r="K24" i="19"/>
  <c r="H24" i="19"/>
  <c r="L24" i="19" s="1"/>
  <c r="K18" i="13"/>
  <c r="J20" i="13"/>
  <c r="J36" i="13"/>
  <c r="I38" i="13"/>
  <c r="I39" i="13" s="1"/>
  <c r="I12" i="13"/>
  <c r="H14" i="13"/>
  <c r="D15" i="13"/>
  <c r="E39" i="13"/>
  <c r="E40" i="13"/>
  <c r="F37" i="13"/>
  <c r="D40" i="13"/>
  <c r="D39" i="13"/>
  <c r="E31" i="13"/>
  <c r="D33" i="13"/>
  <c r="D34" i="13"/>
  <c r="D28" i="13"/>
  <c r="D27" i="13"/>
  <c r="E27" i="13"/>
  <c r="E28" i="13"/>
  <c r="F25" i="13"/>
  <c r="D22" i="13"/>
  <c r="D21" i="13"/>
  <c r="F19" i="13"/>
  <c r="E21" i="13"/>
  <c r="E22" i="13"/>
  <c r="E13" i="13"/>
  <c r="F73" i="34" l="1"/>
  <c r="E89" i="18"/>
  <c r="F27" i="18"/>
  <c r="G27" i="18" s="1"/>
  <c r="H27" i="18" s="1"/>
  <c r="F82" i="23"/>
  <c r="F86" i="23" s="1"/>
  <c r="F109" i="23"/>
  <c r="F112" i="23" s="1"/>
  <c r="F116" i="23" s="1"/>
  <c r="F27" i="23"/>
  <c r="G27" i="23" s="1"/>
  <c r="F30" i="18"/>
  <c r="G30" i="18" s="1"/>
  <c r="G96" i="18" s="1"/>
  <c r="G129" i="27"/>
  <c r="E98" i="18"/>
  <c r="E108" i="18" s="1"/>
  <c r="E106" i="18" s="1"/>
  <c r="F88" i="18"/>
  <c r="G88" i="18" s="1"/>
  <c r="G28" i="27"/>
  <c r="G94" i="27" s="1"/>
  <c r="G99" i="27" s="1"/>
  <c r="E114" i="18"/>
  <c r="I34" i="23"/>
  <c r="I37" i="23" s="1"/>
  <c r="I40" i="23" s="1"/>
  <c r="I41" i="23" s="1"/>
  <c r="J15" i="23"/>
  <c r="J17" i="23" s="1"/>
  <c r="I16" i="23"/>
  <c r="G38" i="23"/>
  <c r="G46" i="23" s="1"/>
  <c r="G44" i="23" s="1"/>
  <c r="I50" i="23"/>
  <c r="I51" i="23" s="1"/>
  <c r="I9" i="23" s="1"/>
  <c r="G42" i="29"/>
  <c r="H19" i="23"/>
  <c r="H52" i="23" s="1"/>
  <c r="H54" i="23" s="1"/>
  <c r="F60" i="18"/>
  <c r="F132" i="23"/>
  <c r="F129" i="23"/>
  <c r="F135" i="23"/>
  <c r="H28" i="27"/>
  <c r="H94" i="27" s="1"/>
  <c r="H99" i="27" s="1"/>
  <c r="H57" i="29"/>
  <c r="F73" i="25"/>
  <c r="I16" i="27"/>
  <c r="J15" i="27"/>
  <c r="I50" i="27"/>
  <c r="I53" i="27" s="1"/>
  <c r="I17" i="27"/>
  <c r="I34" i="27"/>
  <c r="I37" i="27" s="1"/>
  <c r="I40" i="27" s="1"/>
  <c r="I41" i="27" s="1"/>
  <c r="H56" i="27"/>
  <c r="H57" i="27" s="1"/>
  <c r="F44" i="27"/>
  <c r="H130" i="27"/>
  <c r="G62" i="27"/>
  <c r="H133" i="27"/>
  <c r="G135" i="27"/>
  <c r="H52" i="27"/>
  <c r="H54" i="27" s="1"/>
  <c r="H132" i="27" s="1"/>
  <c r="H36" i="27"/>
  <c r="H38" i="27" s="1"/>
  <c r="H46" i="27" s="1"/>
  <c r="H44" i="27" s="1"/>
  <c r="E70" i="29"/>
  <c r="E78" i="29" s="1"/>
  <c r="E76" i="29" s="1"/>
  <c r="G52" i="25"/>
  <c r="G54" i="25" s="1"/>
  <c r="G135" i="25" s="1"/>
  <c r="G36" i="25"/>
  <c r="G38" i="25" s="1"/>
  <c r="G46" i="25" s="1"/>
  <c r="E109" i="29"/>
  <c r="E112" i="29" s="1"/>
  <c r="E116" i="29" s="1"/>
  <c r="E118" i="29" s="1"/>
  <c r="F118" i="29" s="1"/>
  <c r="F71" i="27"/>
  <c r="F109" i="27"/>
  <c r="F112" i="27" s="1"/>
  <c r="F116" i="27" s="1"/>
  <c r="F69" i="27"/>
  <c r="F72" i="27" s="1"/>
  <c r="F73" i="27" s="1"/>
  <c r="F68" i="27"/>
  <c r="F70" i="27" s="1"/>
  <c r="F78" i="27" s="1"/>
  <c r="E97" i="27"/>
  <c r="E101" i="27" s="1"/>
  <c r="E103" i="27" s="1"/>
  <c r="E99" i="27"/>
  <c r="G44" i="27"/>
  <c r="F58" i="27"/>
  <c r="G58" i="27" s="1"/>
  <c r="F54" i="27"/>
  <c r="E132" i="27"/>
  <c r="E135" i="27"/>
  <c r="E62" i="27"/>
  <c r="E60" i="27" s="1"/>
  <c r="E129" i="27"/>
  <c r="F27" i="27"/>
  <c r="E81" i="27"/>
  <c r="F84" i="27"/>
  <c r="F82" i="27"/>
  <c r="F86" i="27" s="1"/>
  <c r="E109" i="27"/>
  <c r="E112" i="27" s="1"/>
  <c r="E116" i="27" s="1"/>
  <c r="F42" i="27"/>
  <c r="G42" i="27" s="1"/>
  <c r="F99" i="27"/>
  <c r="F97" i="27"/>
  <c r="F101" i="27" s="1"/>
  <c r="E84" i="27"/>
  <c r="E82" i="27"/>
  <c r="E86" i="27" s="1"/>
  <c r="E88" i="27" s="1"/>
  <c r="F30" i="27"/>
  <c r="E96" i="27"/>
  <c r="G73" i="29"/>
  <c r="I9" i="18"/>
  <c r="F44" i="29"/>
  <c r="F82" i="25"/>
  <c r="F86" i="25" s="1"/>
  <c r="F84" i="25"/>
  <c r="I16" i="25"/>
  <c r="I17" i="25"/>
  <c r="J15" i="25"/>
  <c r="J34" i="25" s="1"/>
  <c r="I50" i="25"/>
  <c r="I53" i="25" s="1"/>
  <c r="I127" i="25" s="1"/>
  <c r="E96" i="29"/>
  <c r="F30" i="29"/>
  <c r="F96" i="29" s="1"/>
  <c r="F98" i="29" s="1"/>
  <c r="F108" i="29" s="1"/>
  <c r="E96" i="25"/>
  <c r="F30" i="25"/>
  <c r="H18" i="25"/>
  <c r="H19" i="25"/>
  <c r="F42" i="25"/>
  <c r="F38" i="25"/>
  <c r="F46" i="25" s="1"/>
  <c r="F44" i="25" s="1"/>
  <c r="F99" i="25"/>
  <c r="F97" i="25"/>
  <c r="F101" i="25" s="1"/>
  <c r="E82" i="25"/>
  <c r="E86" i="25" s="1"/>
  <c r="E88" i="25" s="1"/>
  <c r="E84" i="25"/>
  <c r="E97" i="29"/>
  <c r="E101" i="29" s="1"/>
  <c r="E103" i="29" s="1"/>
  <c r="F103" i="29" s="1"/>
  <c r="E99" i="29"/>
  <c r="F58" i="25"/>
  <c r="F54" i="25"/>
  <c r="E97" i="25"/>
  <c r="E101" i="25" s="1"/>
  <c r="E103" i="25" s="1"/>
  <c r="E99" i="25"/>
  <c r="H53" i="25"/>
  <c r="E109" i="25"/>
  <c r="E112" i="25" s="1"/>
  <c r="E116" i="25" s="1"/>
  <c r="F27" i="29"/>
  <c r="E81" i="29"/>
  <c r="E135" i="29"/>
  <c r="E129" i="29"/>
  <c r="E132" i="29"/>
  <c r="E62" i="29"/>
  <c r="F109" i="25"/>
  <c r="F112" i="25" s="1"/>
  <c r="F116" i="25" s="1"/>
  <c r="I34" i="25"/>
  <c r="I37" i="25" s="1"/>
  <c r="I40" i="25" s="1"/>
  <c r="I41" i="25" s="1"/>
  <c r="E62" i="25"/>
  <c r="E60" i="25" s="1"/>
  <c r="E129" i="25"/>
  <c r="E135" i="25"/>
  <c r="E132" i="25"/>
  <c r="E82" i="29"/>
  <c r="E86" i="29" s="1"/>
  <c r="E88" i="29" s="1"/>
  <c r="F88" i="29" s="1"/>
  <c r="E84" i="29"/>
  <c r="G28" i="25"/>
  <c r="G94" i="25" s="1"/>
  <c r="G99" i="25" s="1"/>
  <c r="G25" i="25"/>
  <c r="G79" i="25" s="1"/>
  <c r="G82" i="25" s="1"/>
  <c r="G86" i="25" s="1"/>
  <c r="E81" i="25"/>
  <c r="F27" i="25"/>
  <c r="G99" i="29"/>
  <c r="G97" i="29"/>
  <c r="G101" i="29" s="1"/>
  <c r="J16" i="29"/>
  <c r="K15" i="29"/>
  <c r="J17" i="29"/>
  <c r="J50" i="29"/>
  <c r="J53" i="29" s="1"/>
  <c r="G82" i="29"/>
  <c r="G86" i="29" s="1"/>
  <c r="G84" i="29"/>
  <c r="F114" i="29"/>
  <c r="I133" i="29"/>
  <c r="I134" i="29" s="1"/>
  <c r="M8" i="29" s="1"/>
  <c r="I130" i="29"/>
  <c r="I131" i="29" s="1"/>
  <c r="M6" i="29" s="1"/>
  <c r="I127" i="29"/>
  <c r="I128" i="29" s="1"/>
  <c r="M4" i="29" s="1"/>
  <c r="I56" i="29"/>
  <c r="I51" i="29"/>
  <c r="I9" i="29" s="1"/>
  <c r="G109" i="29"/>
  <c r="G112" i="29" s="1"/>
  <c r="G116" i="29" s="1"/>
  <c r="H28" i="29"/>
  <c r="H94" i="29" s="1"/>
  <c r="H97" i="29" s="1"/>
  <c r="H101" i="29" s="1"/>
  <c r="H25" i="29"/>
  <c r="H79" i="29" s="1"/>
  <c r="H84" i="29" s="1"/>
  <c r="I19" i="29"/>
  <c r="I36" i="29" s="1"/>
  <c r="I18" i="29"/>
  <c r="H21" i="29"/>
  <c r="H23" i="29" s="1"/>
  <c r="H66" i="29" s="1"/>
  <c r="H52" i="29"/>
  <c r="H36" i="29"/>
  <c r="H38" i="29" s="1"/>
  <c r="H46" i="29" s="1"/>
  <c r="H44" i="29" s="1"/>
  <c r="G58" i="29"/>
  <c r="G54" i="29"/>
  <c r="H57" i="23"/>
  <c r="F73" i="23"/>
  <c r="I52" i="18"/>
  <c r="I54" i="18" s="1"/>
  <c r="F114" i="34"/>
  <c r="F135" i="34"/>
  <c r="F129" i="34"/>
  <c r="F132" i="34"/>
  <c r="F62" i="34"/>
  <c r="F60" i="34" s="1"/>
  <c r="F96" i="34"/>
  <c r="G30" i="34"/>
  <c r="E114" i="34"/>
  <c r="I133" i="34"/>
  <c r="I127" i="34"/>
  <c r="I130" i="34"/>
  <c r="I56" i="34"/>
  <c r="H28" i="34"/>
  <c r="H94" i="34" s="1"/>
  <c r="H25" i="34"/>
  <c r="H79" i="34" s="1"/>
  <c r="I37" i="34"/>
  <c r="I40" i="34" s="1"/>
  <c r="I41" i="34" s="1"/>
  <c r="E88" i="34"/>
  <c r="F88" i="34" s="1"/>
  <c r="E112" i="34"/>
  <c r="E116" i="34" s="1"/>
  <c r="J17" i="34"/>
  <c r="K15" i="34"/>
  <c r="J16" i="34"/>
  <c r="J50" i="34"/>
  <c r="J53" i="34" s="1"/>
  <c r="H52" i="34"/>
  <c r="K39" i="34"/>
  <c r="J34" i="34"/>
  <c r="J37" i="34" s="1"/>
  <c r="J40" i="34" s="1"/>
  <c r="I51" i="34"/>
  <c r="I9" i="34" s="1"/>
  <c r="G94" i="34"/>
  <c r="G27" i="34"/>
  <c r="F81" i="34"/>
  <c r="I18" i="34"/>
  <c r="I19" i="34"/>
  <c r="I20" i="34" s="1"/>
  <c r="H130" i="34"/>
  <c r="H133" i="34"/>
  <c r="H127" i="34"/>
  <c r="H56" i="34"/>
  <c r="H57" i="34" s="1"/>
  <c r="E103" i="34"/>
  <c r="F103" i="34" s="1"/>
  <c r="E83" i="34"/>
  <c r="E93" i="34" s="1"/>
  <c r="E91" i="34" s="1"/>
  <c r="E89" i="34"/>
  <c r="E111" i="34"/>
  <c r="E113" i="34" s="1"/>
  <c r="E123" i="34" s="1"/>
  <c r="E121" i="34" s="1"/>
  <c r="E74" i="34"/>
  <c r="F74" i="34" s="1"/>
  <c r="E70" i="34"/>
  <c r="E78" i="34" s="1"/>
  <c r="E76" i="34" s="1"/>
  <c r="I35" i="34"/>
  <c r="I8" i="34" s="1"/>
  <c r="G132" i="34"/>
  <c r="G135" i="34"/>
  <c r="G129" i="34"/>
  <c r="G62" i="34"/>
  <c r="G23" i="34"/>
  <c r="H21" i="34"/>
  <c r="H23" i="34" s="1"/>
  <c r="H66" i="34" s="1"/>
  <c r="G79" i="34"/>
  <c r="F70" i="34"/>
  <c r="F78" i="34" s="1"/>
  <c r="E104" i="34"/>
  <c r="E98" i="34"/>
  <c r="E108" i="34" s="1"/>
  <c r="E106" i="34" s="1"/>
  <c r="H36" i="34"/>
  <c r="I26" i="31"/>
  <c r="P12" i="39" s="1"/>
  <c r="J57" i="31"/>
  <c r="I23" i="31"/>
  <c r="I66" i="31" s="1"/>
  <c r="I67" i="31" s="1"/>
  <c r="I5" i="31" s="1"/>
  <c r="H103" i="31"/>
  <c r="J54" i="31"/>
  <c r="G96" i="31"/>
  <c r="H30" i="31"/>
  <c r="K127" i="31"/>
  <c r="K130" i="31"/>
  <c r="K133" i="31"/>
  <c r="K56" i="31"/>
  <c r="H38" i="31"/>
  <c r="H46" i="31" s="1"/>
  <c r="H44" i="31" s="1"/>
  <c r="H42" i="31"/>
  <c r="F109" i="31"/>
  <c r="F69" i="31"/>
  <c r="F72" i="31" s="1"/>
  <c r="F73" i="31" s="1"/>
  <c r="G73" i="31" s="1"/>
  <c r="F71" i="31"/>
  <c r="F114" i="31" s="1"/>
  <c r="F68" i="31"/>
  <c r="F104" i="31"/>
  <c r="F98" i="31"/>
  <c r="F108" i="31" s="1"/>
  <c r="F106" i="31" s="1"/>
  <c r="L16" i="31"/>
  <c r="M15" i="31"/>
  <c r="L17" i="31"/>
  <c r="L50" i="31"/>
  <c r="L53" i="31" s="1"/>
  <c r="I131" i="31"/>
  <c r="M6" i="31" s="1"/>
  <c r="I69" i="31"/>
  <c r="I72" i="31" s="1"/>
  <c r="I94" i="31"/>
  <c r="I29" i="31"/>
  <c r="P13" i="39" s="1"/>
  <c r="G81" i="31"/>
  <c r="H27" i="31"/>
  <c r="K18" i="31"/>
  <c r="K19" i="31"/>
  <c r="I128" i="31"/>
  <c r="M4" i="31" s="1"/>
  <c r="I82" i="31"/>
  <c r="I86" i="31" s="1"/>
  <c r="I84" i="31"/>
  <c r="F89" i="31"/>
  <c r="F83" i="31"/>
  <c r="F93" i="31" s="1"/>
  <c r="F91" i="31" s="1"/>
  <c r="E119" i="31"/>
  <c r="J25" i="31"/>
  <c r="J28" i="31"/>
  <c r="J94" i="31" s="1"/>
  <c r="H82" i="31"/>
  <c r="H86" i="31" s="1"/>
  <c r="H88" i="31" s="1"/>
  <c r="H84" i="31"/>
  <c r="I80" i="31"/>
  <c r="I6" i="31" s="1"/>
  <c r="I134" i="31"/>
  <c r="M8" i="31" s="1"/>
  <c r="H132" i="31"/>
  <c r="H135" i="31"/>
  <c r="H129" i="31"/>
  <c r="H62" i="31"/>
  <c r="H60" i="31" s="1"/>
  <c r="E118" i="31"/>
  <c r="J21" i="31"/>
  <c r="J23" i="31" s="1"/>
  <c r="H109" i="31"/>
  <c r="H112" i="31" s="1"/>
  <c r="H116" i="31" s="1"/>
  <c r="H69" i="31"/>
  <c r="H72" i="31" s="1"/>
  <c r="H71" i="31"/>
  <c r="H68" i="31"/>
  <c r="I129" i="31"/>
  <c r="M5" i="31" s="1"/>
  <c r="I132" i="31"/>
  <c r="M7" i="31" s="1"/>
  <c r="I135" i="31"/>
  <c r="M9" i="31" s="1"/>
  <c r="I62" i="31"/>
  <c r="K39" i="31"/>
  <c r="J34" i="31"/>
  <c r="I37" i="31"/>
  <c r="I40" i="31" s="1"/>
  <c r="I41" i="31" s="1"/>
  <c r="I36" i="31"/>
  <c r="I58" i="31"/>
  <c r="I59" i="31" s="1"/>
  <c r="G70" i="29"/>
  <c r="G78" i="29" s="1"/>
  <c r="G76" i="29" s="1"/>
  <c r="F74" i="29"/>
  <c r="G74" i="29" s="1"/>
  <c r="K39" i="29"/>
  <c r="J34" i="29"/>
  <c r="I37" i="29"/>
  <c r="I40" i="29" s="1"/>
  <c r="I41" i="29" s="1"/>
  <c r="I35" i="29"/>
  <c r="I8" i="29" s="1"/>
  <c r="H66" i="27"/>
  <c r="G82" i="27"/>
  <c r="G86" i="27" s="1"/>
  <c r="G84" i="27"/>
  <c r="L39" i="27"/>
  <c r="E74" i="27"/>
  <c r="E70" i="27"/>
  <c r="E78" i="27" s="1"/>
  <c r="E76" i="27" s="1"/>
  <c r="G71" i="27"/>
  <c r="G69" i="27"/>
  <c r="G72" i="27" s="1"/>
  <c r="G68" i="27"/>
  <c r="H82" i="27"/>
  <c r="H86" i="27" s="1"/>
  <c r="H84" i="27"/>
  <c r="E74" i="25"/>
  <c r="E70" i="25"/>
  <c r="E78" i="25" s="1"/>
  <c r="K39" i="25"/>
  <c r="G69" i="25"/>
  <c r="G72" i="25" s="1"/>
  <c r="G71" i="25"/>
  <c r="G68" i="25"/>
  <c r="I19" i="23"/>
  <c r="I18" i="23"/>
  <c r="F70" i="23"/>
  <c r="F78" i="23" s="1"/>
  <c r="E112" i="23"/>
  <c r="E116" i="23" s="1"/>
  <c r="E103" i="23"/>
  <c r="F103" i="23" s="1"/>
  <c r="E88" i="23"/>
  <c r="G94" i="23"/>
  <c r="G109" i="23" s="1"/>
  <c r="G112" i="23" s="1"/>
  <c r="G116" i="23" s="1"/>
  <c r="F114" i="23"/>
  <c r="E89" i="23"/>
  <c r="E83" i="23"/>
  <c r="E93" i="23" s="1"/>
  <c r="E91" i="23" s="1"/>
  <c r="G84" i="23"/>
  <c r="G82" i="23"/>
  <c r="G86" i="23" s="1"/>
  <c r="E111" i="23"/>
  <c r="E113" i="23" s="1"/>
  <c r="E123" i="23" s="1"/>
  <c r="E121" i="23" s="1"/>
  <c r="E74" i="23"/>
  <c r="F74" i="23" s="1"/>
  <c r="E70" i="23"/>
  <c r="E78" i="23" s="1"/>
  <c r="E76" i="23" s="1"/>
  <c r="F96" i="23"/>
  <c r="G30" i="23"/>
  <c r="E104" i="23"/>
  <c r="E98" i="23"/>
  <c r="E108" i="23" s="1"/>
  <c r="E106" i="23" s="1"/>
  <c r="H28" i="23"/>
  <c r="H94" i="23" s="1"/>
  <c r="H25" i="23"/>
  <c r="E114" i="23"/>
  <c r="G71" i="23"/>
  <c r="G69" i="23"/>
  <c r="G72" i="23" s="1"/>
  <c r="G68" i="23"/>
  <c r="G58" i="23"/>
  <c r="G54" i="23"/>
  <c r="K39" i="23"/>
  <c r="F109" i="18"/>
  <c r="F112" i="18" s="1"/>
  <c r="F116" i="18" s="1"/>
  <c r="F71" i="18"/>
  <c r="F114" i="18" s="1"/>
  <c r="F69" i="18"/>
  <c r="F72" i="18" s="1"/>
  <c r="F73" i="18" s="1"/>
  <c r="F68" i="18"/>
  <c r="I41" i="18"/>
  <c r="H23" i="18"/>
  <c r="H79" i="18"/>
  <c r="E112" i="18"/>
  <c r="E116" i="18" s="1"/>
  <c r="I36" i="18"/>
  <c r="K17" i="18"/>
  <c r="K16" i="18"/>
  <c r="L15" i="18"/>
  <c r="K50" i="18"/>
  <c r="K53" i="18" s="1"/>
  <c r="I21" i="18"/>
  <c r="I22" i="18" s="1"/>
  <c r="I133" i="18"/>
  <c r="I127" i="18"/>
  <c r="I130" i="18"/>
  <c r="I56" i="18"/>
  <c r="I57" i="18" s="1"/>
  <c r="J133" i="18"/>
  <c r="J127" i="18"/>
  <c r="J130" i="18"/>
  <c r="J56" i="18"/>
  <c r="G66" i="18"/>
  <c r="G81" i="18"/>
  <c r="E111" i="18"/>
  <c r="E113" i="18" s="1"/>
  <c r="E123" i="18" s="1"/>
  <c r="E121" i="18" s="1"/>
  <c r="E74" i="18"/>
  <c r="E70" i="18"/>
  <c r="E78" i="18" s="1"/>
  <c r="E76" i="18" s="1"/>
  <c r="H42" i="18"/>
  <c r="H38" i="18"/>
  <c r="H46" i="18" s="1"/>
  <c r="H44" i="18" s="1"/>
  <c r="H58" i="18"/>
  <c r="H54" i="18"/>
  <c r="I35" i="18"/>
  <c r="H99" i="18"/>
  <c r="H97" i="18"/>
  <c r="H101" i="18" s="1"/>
  <c r="G99" i="18"/>
  <c r="G97" i="18"/>
  <c r="G101" i="18" s="1"/>
  <c r="G103" i="18" s="1"/>
  <c r="J34" i="18"/>
  <c r="J37" i="18" s="1"/>
  <c r="J40" i="18" s="1"/>
  <c r="K39" i="18"/>
  <c r="J18" i="18"/>
  <c r="J19" i="18"/>
  <c r="I28" i="18"/>
  <c r="I25" i="18"/>
  <c r="I79" i="18" s="1"/>
  <c r="H27" i="36"/>
  <c r="H81" i="36" s="1"/>
  <c r="G81" i="36"/>
  <c r="E111" i="36"/>
  <c r="E89" i="36"/>
  <c r="F89" i="36" s="1"/>
  <c r="E83" i="36"/>
  <c r="E93" i="36" s="1"/>
  <c r="E91" i="36" s="1"/>
  <c r="G88" i="36"/>
  <c r="H84" i="36"/>
  <c r="H82" i="36"/>
  <c r="H86" i="36" s="1"/>
  <c r="F111" i="36"/>
  <c r="F113" i="36" s="1"/>
  <c r="F123" i="36" s="1"/>
  <c r="F83" i="36"/>
  <c r="F93" i="36" s="1"/>
  <c r="F91" i="36" s="1"/>
  <c r="I28" i="36"/>
  <c r="I94" i="36" s="1"/>
  <c r="I25" i="36"/>
  <c r="I127" i="36"/>
  <c r="I56" i="36"/>
  <c r="I57" i="36" s="1"/>
  <c r="I133" i="36"/>
  <c r="I134" i="36" s="1"/>
  <c r="G42" i="36"/>
  <c r="H42" i="36" s="1"/>
  <c r="J37" i="36"/>
  <c r="J40" i="36" s="1"/>
  <c r="J41" i="36" s="1"/>
  <c r="E68" i="36"/>
  <c r="I128" i="36"/>
  <c r="I131" i="36"/>
  <c r="H23" i="36"/>
  <c r="H66" i="36" s="1"/>
  <c r="H109" i="36" s="1"/>
  <c r="G66" i="36"/>
  <c r="G109" i="36" s="1"/>
  <c r="H99" i="36"/>
  <c r="H97" i="36"/>
  <c r="H101" i="36" s="1"/>
  <c r="I21" i="36"/>
  <c r="K16" i="36"/>
  <c r="K17" i="36"/>
  <c r="L15" i="36"/>
  <c r="K50" i="36"/>
  <c r="K34" i="36"/>
  <c r="K37" i="36" s="1"/>
  <c r="K40" i="36" s="1"/>
  <c r="I36" i="36"/>
  <c r="G103" i="36"/>
  <c r="H30" i="36"/>
  <c r="H96" i="36" s="1"/>
  <c r="H58" i="36"/>
  <c r="H54" i="36"/>
  <c r="G132" i="36"/>
  <c r="G129" i="36"/>
  <c r="G135" i="36"/>
  <c r="G62" i="36"/>
  <c r="G60" i="36" s="1"/>
  <c r="E71" i="36"/>
  <c r="E114" i="36" s="1"/>
  <c r="E69" i="36"/>
  <c r="E72" i="36" s="1"/>
  <c r="E73" i="36" s="1"/>
  <c r="F73" i="36" s="1"/>
  <c r="F70" i="36"/>
  <c r="F78" i="36" s="1"/>
  <c r="J53" i="36"/>
  <c r="J18" i="36"/>
  <c r="J19" i="36"/>
  <c r="J36" i="36" s="1"/>
  <c r="F104" i="36"/>
  <c r="F98" i="36"/>
  <c r="F108" i="36" s="1"/>
  <c r="F106" i="36" s="1"/>
  <c r="I52" i="36"/>
  <c r="M24" i="19"/>
  <c r="M23" i="19"/>
  <c r="M26" i="19"/>
  <c r="M25" i="19"/>
  <c r="K28" i="19"/>
  <c r="H28" i="19"/>
  <c r="L28" i="19" s="1"/>
  <c r="H30" i="19"/>
  <c r="L30" i="19" s="1"/>
  <c r="K30" i="19"/>
  <c r="K27" i="19"/>
  <c r="H27" i="19"/>
  <c r="L27" i="19" s="1"/>
  <c r="H29" i="19"/>
  <c r="L29" i="19" s="1"/>
  <c r="K29" i="19"/>
  <c r="L18" i="13"/>
  <c r="K20" i="13"/>
  <c r="K36" i="13"/>
  <c r="J38" i="13"/>
  <c r="J12" i="13"/>
  <c r="I14" i="13"/>
  <c r="F40" i="13"/>
  <c r="G37" i="13"/>
  <c r="E33" i="13"/>
  <c r="E34" i="13"/>
  <c r="F31" i="13"/>
  <c r="F28" i="13"/>
  <c r="F27" i="13"/>
  <c r="G25" i="13"/>
  <c r="F21" i="13"/>
  <c r="F22" i="13"/>
  <c r="G19" i="13"/>
  <c r="E15" i="13"/>
  <c r="E16" i="13"/>
  <c r="F13" i="13"/>
  <c r="F111" i="34" l="1"/>
  <c r="F113" i="34" s="1"/>
  <c r="F123" i="34" s="1"/>
  <c r="F121" i="34" s="1"/>
  <c r="I109" i="31"/>
  <c r="I112" i="31" s="1"/>
  <c r="I116" i="31" s="1"/>
  <c r="I68" i="31"/>
  <c r="I70" i="31" s="1"/>
  <c r="I78" i="31" s="1"/>
  <c r="I71" i="31"/>
  <c r="I24" i="31"/>
  <c r="P11" i="39" s="1"/>
  <c r="P14" i="39" s="1"/>
  <c r="I88" i="31"/>
  <c r="H114" i="31"/>
  <c r="F81" i="18"/>
  <c r="F83" i="18" s="1"/>
  <c r="F93" i="18" s="1"/>
  <c r="F91" i="18" s="1"/>
  <c r="K57" i="31"/>
  <c r="J41" i="34"/>
  <c r="F81" i="23"/>
  <c r="F111" i="23" s="1"/>
  <c r="F113" i="23" s="1"/>
  <c r="F123" i="23" s="1"/>
  <c r="F121" i="23" s="1"/>
  <c r="F88" i="23"/>
  <c r="G88" i="23" s="1"/>
  <c r="K15" i="23"/>
  <c r="K17" i="23" s="1"/>
  <c r="H30" i="18"/>
  <c r="H96" i="18" s="1"/>
  <c r="F96" i="18"/>
  <c r="F98" i="18" s="1"/>
  <c r="F108" i="18" s="1"/>
  <c r="F106" i="18" s="1"/>
  <c r="I51" i="27"/>
  <c r="I9" i="27" s="1"/>
  <c r="I53" i="23"/>
  <c r="I56" i="23" s="1"/>
  <c r="I57" i="23" s="1"/>
  <c r="N6" i="31"/>
  <c r="N8" i="31"/>
  <c r="N9" i="31"/>
  <c r="N4" i="31"/>
  <c r="N7" i="31"/>
  <c r="N5" i="31"/>
  <c r="I36" i="23"/>
  <c r="I38" i="23" s="1"/>
  <c r="I46" i="23" s="1"/>
  <c r="J34" i="23"/>
  <c r="J37" i="23" s="1"/>
  <c r="J40" i="23" s="1"/>
  <c r="J41" i="23" s="1"/>
  <c r="G109" i="27"/>
  <c r="G112" i="27" s="1"/>
  <c r="G116" i="27" s="1"/>
  <c r="J50" i="23"/>
  <c r="J53" i="23" s="1"/>
  <c r="J56" i="23" s="1"/>
  <c r="I35" i="23"/>
  <c r="I8" i="23" s="1"/>
  <c r="J16" i="23"/>
  <c r="G97" i="27"/>
  <c r="G101" i="27" s="1"/>
  <c r="G73" i="25"/>
  <c r="E111" i="27"/>
  <c r="E113" i="27" s="1"/>
  <c r="E123" i="27" s="1"/>
  <c r="E121" i="27" s="1"/>
  <c r="H97" i="27"/>
  <c r="H101" i="27" s="1"/>
  <c r="H36" i="23"/>
  <c r="H21" i="23"/>
  <c r="H23" i="23" s="1"/>
  <c r="H66" i="23" s="1"/>
  <c r="H42" i="27"/>
  <c r="G62" i="25"/>
  <c r="G132" i="25"/>
  <c r="G129" i="25"/>
  <c r="G84" i="25"/>
  <c r="G114" i="25" s="1"/>
  <c r="G109" i="25"/>
  <c r="G112" i="25" s="1"/>
  <c r="G116" i="25" s="1"/>
  <c r="I57" i="29"/>
  <c r="H58" i="27"/>
  <c r="E114" i="27"/>
  <c r="I35" i="27"/>
  <c r="I8" i="27" s="1"/>
  <c r="I18" i="27"/>
  <c r="I19" i="27"/>
  <c r="I130" i="27"/>
  <c r="I131" i="27" s="1"/>
  <c r="M6" i="27" s="1"/>
  <c r="I133" i="27"/>
  <c r="I134" i="27" s="1"/>
  <c r="M8" i="27" s="1"/>
  <c r="I127" i="27"/>
  <c r="I128" i="27" s="1"/>
  <c r="M4" i="27" s="1"/>
  <c r="I56" i="27"/>
  <c r="I57" i="27" s="1"/>
  <c r="J17" i="27"/>
  <c r="J34" i="27"/>
  <c r="J37" i="27" s="1"/>
  <c r="J40" i="27" s="1"/>
  <c r="J41" i="27" s="1"/>
  <c r="J16" i="27"/>
  <c r="K15" i="27"/>
  <c r="J50" i="27"/>
  <c r="J53" i="27" s="1"/>
  <c r="J133" i="27" s="1"/>
  <c r="G97" i="25"/>
  <c r="G101" i="25" s="1"/>
  <c r="F76" i="29"/>
  <c r="F103" i="25"/>
  <c r="H99" i="29"/>
  <c r="I52" i="23"/>
  <c r="I54" i="23" s="1"/>
  <c r="G42" i="25"/>
  <c r="F114" i="25"/>
  <c r="H42" i="29"/>
  <c r="I42" i="29" s="1"/>
  <c r="I43" i="29" s="1"/>
  <c r="I4" i="29" s="1"/>
  <c r="I133" i="25"/>
  <c r="H62" i="27"/>
  <c r="H60" i="27" s="1"/>
  <c r="G88" i="29"/>
  <c r="F88" i="27"/>
  <c r="G88" i="27" s="1"/>
  <c r="H88" i="27" s="1"/>
  <c r="H129" i="27"/>
  <c r="G30" i="29"/>
  <c r="I56" i="25"/>
  <c r="I51" i="25"/>
  <c r="I9" i="25" s="1"/>
  <c r="G103" i="29"/>
  <c r="H103" i="29" s="1"/>
  <c r="I130" i="25"/>
  <c r="I58" i="18"/>
  <c r="I59" i="18" s="1"/>
  <c r="H135" i="27"/>
  <c r="I35" i="25"/>
  <c r="I8" i="25" s="1"/>
  <c r="G58" i="25"/>
  <c r="E114" i="25"/>
  <c r="E111" i="25"/>
  <c r="E113" i="25" s="1"/>
  <c r="E123" i="25" s="1"/>
  <c r="E121" i="25" s="1"/>
  <c r="G44" i="25"/>
  <c r="G73" i="27"/>
  <c r="F103" i="27"/>
  <c r="E83" i="27"/>
  <c r="E93" i="27" s="1"/>
  <c r="E91" i="27" s="1"/>
  <c r="E89" i="27"/>
  <c r="F62" i="27"/>
  <c r="F129" i="27"/>
  <c r="F132" i="27"/>
  <c r="F135" i="27"/>
  <c r="G27" i="27"/>
  <c r="F81" i="27"/>
  <c r="E104" i="27"/>
  <c r="E98" i="27"/>
  <c r="E108" i="27" s="1"/>
  <c r="E106" i="27" s="1"/>
  <c r="G118" i="29"/>
  <c r="F88" i="25"/>
  <c r="G88" i="25" s="1"/>
  <c r="F96" i="27"/>
  <c r="G30" i="27"/>
  <c r="F114" i="27"/>
  <c r="H52" i="25"/>
  <c r="H21" i="25"/>
  <c r="H23" i="25" s="1"/>
  <c r="H36" i="25"/>
  <c r="J17" i="25"/>
  <c r="J16" i="25"/>
  <c r="J50" i="25"/>
  <c r="J53" i="25" s="1"/>
  <c r="K15" i="25"/>
  <c r="I8" i="18"/>
  <c r="H28" i="25"/>
  <c r="H94" i="25" s="1"/>
  <c r="H25" i="25"/>
  <c r="H79" i="25" s="1"/>
  <c r="I19" i="25"/>
  <c r="I18" i="25"/>
  <c r="F81" i="25"/>
  <c r="G27" i="25"/>
  <c r="E83" i="25"/>
  <c r="E93" i="25" s="1"/>
  <c r="E91" i="25" s="1"/>
  <c r="E89" i="25"/>
  <c r="E111" i="29"/>
  <c r="E113" i="29" s="1"/>
  <c r="E123" i="29" s="1"/>
  <c r="E121" i="29" s="1"/>
  <c r="E89" i="29"/>
  <c r="E83" i="29"/>
  <c r="E93" i="29" s="1"/>
  <c r="E91" i="29" s="1"/>
  <c r="E104" i="25"/>
  <c r="E98" i="25"/>
  <c r="E108" i="25" s="1"/>
  <c r="E106" i="25" s="1"/>
  <c r="F96" i="25"/>
  <c r="G30" i="25"/>
  <c r="G27" i="29"/>
  <c r="G81" i="29" s="1"/>
  <c r="G83" i="29" s="1"/>
  <c r="G93" i="29" s="1"/>
  <c r="F81" i="29"/>
  <c r="F129" i="25"/>
  <c r="F135" i="25"/>
  <c r="F132" i="25"/>
  <c r="F62" i="25"/>
  <c r="F60" i="25" s="1"/>
  <c r="E98" i="29"/>
  <c r="E108" i="29" s="1"/>
  <c r="E106" i="29" s="1"/>
  <c r="E104" i="29"/>
  <c r="F104" i="29" s="1"/>
  <c r="E114" i="29"/>
  <c r="H130" i="25"/>
  <c r="H133" i="25"/>
  <c r="H56" i="25"/>
  <c r="H57" i="25" s="1"/>
  <c r="H127" i="25"/>
  <c r="I128" i="25" s="1"/>
  <c r="M4" i="25" s="1"/>
  <c r="E60" i="29"/>
  <c r="F60" i="29"/>
  <c r="G114" i="29"/>
  <c r="H109" i="29"/>
  <c r="H112" i="29" s="1"/>
  <c r="H116" i="29" s="1"/>
  <c r="H82" i="29"/>
  <c r="H86" i="29" s="1"/>
  <c r="N8" i="29"/>
  <c r="I28" i="29"/>
  <c r="I25" i="29"/>
  <c r="K16" i="29"/>
  <c r="K17" i="29"/>
  <c r="L15" i="29"/>
  <c r="K50" i="29"/>
  <c r="K53" i="29" s="1"/>
  <c r="N6" i="29"/>
  <c r="I52" i="29"/>
  <c r="I54" i="29" s="1"/>
  <c r="I21" i="29"/>
  <c r="I20" i="29"/>
  <c r="J19" i="29"/>
  <c r="J21" i="29" s="1"/>
  <c r="J18" i="29"/>
  <c r="G135" i="29"/>
  <c r="G132" i="29"/>
  <c r="G62" i="29"/>
  <c r="G60" i="29" s="1"/>
  <c r="G129" i="29"/>
  <c r="N4" i="29"/>
  <c r="H71" i="29"/>
  <c r="H69" i="29"/>
  <c r="H72" i="29" s="1"/>
  <c r="H73" i="29" s="1"/>
  <c r="H68" i="29"/>
  <c r="H70" i="29" s="1"/>
  <c r="H78" i="29" s="1"/>
  <c r="H76" i="29" s="1"/>
  <c r="J130" i="29"/>
  <c r="J133" i="29"/>
  <c r="J127" i="29"/>
  <c r="J56" i="29"/>
  <c r="H54" i="29"/>
  <c r="H58" i="29"/>
  <c r="G73" i="23"/>
  <c r="F76" i="34"/>
  <c r="I57" i="34"/>
  <c r="H109" i="34"/>
  <c r="H112" i="34" s="1"/>
  <c r="H116" i="34" s="1"/>
  <c r="H71" i="34"/>
  <c r="H69" i="34"/>
  <c r="H72" i="34" s="1"/>
  <c r="H68" i="34"/>
  <c r="I131" i="34"/>
  <c r="M6" i="34" s="1"/>
  <c r="K34" i="34"/>
  <c r="L39" i="34"/>
  <c r="J19" i="34"/>
  <c r="J52" i="34" s="1"/>
  <c r="J18" i="34"/>
  <c r="H99" i="34"/>
  <c r="H97" i="34"/>
  <c r="H101" i="34" s="1"/>
  <c r="I25" i="34"/>
  <c r="I28" i="34"/>
  <c r="I29" i="34" s="1"/>
  <c r="G60" i="34"/>
  <c r="I128" i="34"/>
  <c r="M4" i="34" s="1"/>
  <c r="F83" i="34"/>
  <c r="F93" i="34" s="1"/>
  <c r="F91" i="34" s="1"/>
  <c r="F89" i="34"/>
  <c r="E118" i="34"/>
  <c r="F118" i="34" s="1"/>
  <c r="H42" i="34"/>
  <c r="H38" i="34"/>
  <c r="H46" i="34" s="1"/>
  <c r="H44" i="34" s="1"/>
  <c r="E119" i="34"/>
  <c r="I21" i="34"/>
  <c r="I22" i="34" s="1"/>
  <c r="G81" i="34"/>
  <c r="H27" i="34"/>
  <c r="G96" i="34"/>
  <c r="H30" i="34"/>
  <c r="G82" i="34"/>
  <c r="G86" i="34" s="1"/>
  <c r="G84" i="34"/>
  <c r="G66" i="34"/>
  <c r="I36" i="34"/>
  <c r="G99" i="34"/>
  <c r="G97" i="34"/>
  <c r="G101" i="34" s="1"/>
  <c r="G103" i="34" s="1"/>
  <c r="J133" i="34"/>
  <c r="J127" i="34"/>
  <c r="J130" i="34"/>
  <c r="J56" i="34"/>
  <c r="F104" i="34"/>
  <c r="F98" i="34"/>
  <c r="F108" i="34" s="1"/>
  <c r="F106" i="34" s="1"/>
  <c r="H58" i="34"/>
  <c r="H54" i="34"/>
  <c r="I134" i="34"/>
  <c r="M8" i="34" s="1"/>
  <c r="I52" i="34"/>
  <c r="K17" i="34"/>
  <c r="K16" i="34"/>
  <c r="L15" i="34"/>
  <c r="K50" i="34"/>
  <c r="H82" i="34"/>
  <c r="H86" i="34" s="1"/>
  <c r="H84" i="34"/>
  <c r="K21" i="31"/>
  <c r="K23" i="31" s="1"/>
  <c r="L18" i="31"/>
  <c r="L19" i="31"/>
  <c r="K34" i="31"/>
  <c r="L39" i="31"/>
  <c r="I87" i="31"/>
  <c r="K52" i="31"/>
  <c r="M17" i="31"/>
  <c r="M16" i="31"/>
  <c r="N15" i="31"/>
  <c r="M50" i="31"/>
  <c r="M53" i="31" s="1"/>
  <c r="G104" i="31"/>
  <c r="G98" i="31"/>
  <c r="G108" i="31" s="1"/>
  <c r="G106" i="31" s="1"/>
  <c r="I85" i="31"/>
  <c r="I42" i="31"/>
  <c r="I43" i="31" s="1"/>
  <c r="I4" i="31" s="1"/>
  <c r="I38" i="31"/>
  <c r="I46" i="31" s="1"/>
  <c r="I44" i="31" s="1"/>
  <c r="I45" i="31" s="1"/>
  <c r="H73" i="31"/>
  <c r="I73" i="31" s="1"/>
  <c r="H96" i="31"/>
  <c r="I30" i="31"/>
  <c r="K25" i="31"/>
  <c r="K79" i="31" s="1"/>
  <c r="K28" i="31"/>
  <c r="F112" i="31"/>
  <c r="F116" i="31" s="1"/>
  <c r="F118" i="31" s="1"/>
  <c r="G118" i="31" s="1"/>
  <c r="H118" i="31" s="1"/>
  <c r="I110" i="31"/>
  <c r="J37" i="31"/>
  <c r="J40" i="31" s="1"/>
  <c r="J41" i="31" s="1"/>
  <c r="J36" i="31"/>
  <c r="I99" i="31"/>
  <c r="I97" i="31"/>
  <c r="I101" i="31" s="1"/>
  <c r="I95" i="31"/>
  <c r="I7" i="31" s="1"/>
  <c r="J129" i="31"/>
  <c r="J135" i="31"/>
  <c r="J62" i="31"/>
  <c r="J60" i="31" s="1"/>
  <c r="J132" i="31"/>
  <c r="J79" i="31"/>
  <c r="F111" i="31"/>
  <c r="F113" i="31" s="1"/>
  <c r="F123" i="31" s="1"/>
  <c r="F121" i="31" s="1"/>
  <c r="F74" i="31"/>
  <c r="F70" i="31"/>
  <c r="F78" i="31" s="1"/>
  <c r="J66" i="31"/>
  <c r="J58" i="31"/>
  <c r="I60" i="31"/>
  <c r="I61" i="31" s="1"/>
  <c r="H81" i="31"/>
  <c r="I27" i="31"/>
  <c r="H70" i="31"/>
  <c r="H78" i="31" s="1"/>
  <c r="H76" i="31" s="1"/>
  <c r="J99" i="31"/>
  <c r="J97" i="31"/>
  <c r="J101" i="31" s="1"/>
  <c r="G83" i="31"/>
  <c r="G93" i="31" s="1"/>
  <c r="G91" i="31" s="1"/>
  <c r="G89" i="31"/>
  <c r="G111" i="31"/>
  <c r="G113" i="31" s="1"/>
  <c r="G123" i="31" s="1"/>
  <c r="L130" i="31"/>
  <c r="L133" i="31"/>
  <c r="L127" i="31"/>
  <c r="L56" i="31"/>
  <c r="I38" i="29"/>
  <c r="I46" i="29" s="1"/>
  <c r="I44" i="29" s="1"/>
  <c r="I45" i="29" s="1"/>
  <c r="L39" i="29"/>
  <c r="K34" i="29"/>
  <c r="J37" i="29"/>
  <c r="J40" i="29" s="1"/>
  <c r="J41" i="29" s="1"/>
  <c r="G70" i="27"/>
  <c r="G78" i="27" s="1"/>
  <c r="G76" i="27" s="1"/>
  <c r="F74" i="27"/>
  <c r="M39" i="27"/>
  <c r="G114" i="27"/>
  <c r="E118" i="27"/>
  <c r="F118" i="27" s="1"/>
  <c r="F76" i="27"/>
  <c r="H69" i="27"/>
  <c r="H72" i="27" s="1"/>
  <c r="H71" i="27"/>
  <c r="H114" i="27" s="1"/>
  <c r="H109" i="27"/>
  <c r="H112" i="27" s="1"/>
  <c r="H116" i="27" s="1"/>
  <c r="H68" i="27"/>
  <c r="G70" i="25"/>
  <c r="G78" i="25" s="1"/>
  <c r="G76" i="25" s="1"/>
  <c r="E118" i="25"/>
  <c r="F118" i="25" s="1"/>
  <c r="E76" i="25"/>
  <c r="F76" i="25"/>
  <c r="J37" i="25"/>
  <c r="J40" i="25" s="1"/>
  <c r="J41" i="25" s="1"/>
  <c r="F74" i="25"/>
  <c r="L39" i="25"/>
  <c r="I28" i="23"/>
  <c r="I25" i="23"/>
  <c r="I79" i="23" s="1"/>
  <c r="L39" i="23"/>
  <c r="H79" i="23"/>
  <c r="H132" i="23"/>
  <c r="H129" i="23"/>
  <c r="H135" i="23"/>
  <c r="H62" i="23"/>
  <c r="I21" i="23"/>
  <c r="I20" i="23"/>
  <c r="G132" i="23"/>
  <c r="G129" i="23"/>
  <c r="G135" i="23"/>
  <c r="G62" i="23"/>
  <c r="G60" i="23" s="1"/>
  <c r="G74" i="23"/>
  <c r="G70" i="23"/>
  <c r="G78" i="23" s="1"/>
  <c r="G76" i="23" s="1"/>
  <c r="H97" i="23"/>
  <c r="H101" i="23" s="1"/>
  <c r="H99" i="23"/>
  <c r="H58" i="23"/>
  <c r="G96" i="23"/>
  <c r="H30" i="23"/>
  <c r="J19" i="23"/>
  <c r="J18" i="23"/>
  <c r="F76" i="23"/>
  <c r="F104" i="23"/>
  <c r="F98" i="23"/>
  <c r="F108" i="23" s="1"/>
  <c r="F106" i="23" s="1"/>
  <c r="E119" i="23"/>
  <c r="G97" i="23"/>
  <c r="G101" i="23" s="1"/>
  <c r="G103" i="23" s="1"/>
  <c r="G99" i="23"/>
  <c r="G81" i="23"/>
  <c r="H27" i="23"/>
  <c r="E118" i="23"/>
  <c r="F118" i="23" s="1"/>
  <c r="G118" i="23" s="1"/>
  <c r="H103" i="18"/>
  <c r="I23" i="18"/>
  <c r="I66" i="18" s="1"/>
  <c r="J21" i="18"/>
  <c r="J23" i="18" s="1"/>
  <c r="J66" i="18" s="1"/>
  <c r="G83" i="18"/>
  <c r="G93" i="18" s="1"/>
  <c r="G98" i="18"/>
  <c r="G108" i="18" s="1"/>
  <c r="I131" i="18"/>
  <c r="M6" i="18" s="1"/>
  <c r="J25" i="18"/>
  <c r="J79" i="18" s="1"/>
  <c r="J28" i="18"/>
  <c r="J94" i="18" s="1"/>
  <c r="I128" i="18"/>
  <c r="M4" i="18" s="1"/>
  <c r="L17" i="18"/>
  <c r="L16" i="18"/>
  <c r="M15" i="18"/>
  <c r="L50" i="18"/>
  <c r="L53" i="18" s="1"/>
  <c r="H66" i="18"/>
  <c r="J52" i="18"/>
  <c r="L39" i="18"/>
  <c r="K34" i="18"/>
  <c r="K37" i="18" s="1"/>
  <c r="K40" i="18" s="1"/>
  <c r="H129" i="18"/>
  <c r="H132" i="18"/>
  <c r="H135" i="18"/>
  <c r="H62" i="18"/>
  <c r="H60" i="18" s="1"/>
  <c r="G109" i="18"/>
  <c r="G71" i="18"/>
  <c r="G114" i="18" s="1"/>
  <c r="G69" i="18"/>
  <c r="G72" i="18" s="1"/>
  <c r="G73" i="18" s="1"/>
  <c r="G68" i="18"/>
  <c r="I134" i="18"/>
  <c r="M8" i="18" s="1"/>
  <c r="J41" i="18"/>
  <c r="H84" i="18"/>
  <c r="H82" i="18"/>
  <c r="H86" i="18" s="1"/>
  <c r="I80" i="18"/>
  <c r="I6" i="18" s="1"/>
  <c r="I82" i="18"/>
  <c r="I86" i="18" s="1"/>
  <c r="I84" i="18"/>
  <c r="K19" i="18"/>
  <c r="K18" i="18"/>
  <c r="F74" i="18"/>
  <c r="F70" i="18"/>
  <c r="F78" i="18" s="1"/>
  <c r="F76" i="18" s="1"/>
  <c r="I94" i="18"/>
  <c r="I26" i="18"/>
  <c r="I42" i="18"/>
  <c r="I38" i="18"/>
  <c r="I46" i="18" s="1"/>
  <c r="I44" i="18" s="1"/>
  <c r="I45" i="18" s="1"/>
  <c r="I29" i="18"/>
  <c r="I129" i="18"/>
  <c r="M5" i="18" s="1"/>
  <c r="I132" i="18"/>
  <c r="M7" i="18" s="1"/>
  <c r="I135" i="18"/>
  <c r="M9" i="18" s="1"/>
  <c r="I62" i="18"/>
  <c r="E118" i="18"/>
  <c r="F118" i="18" s="1"/>
  <c r="K127" i="18"/>
  <c r="K130" i="18"/>
  <c r="K133" i="18"/>
  <c r="K56" i="18"/>
  <c r="J36" i="18"/>
  <c r="E119" i="18"/>
  <c r="H81" i="18"/>
  <c r="I27" i="18"/>
  <c r="J57" i="18"/>
  <c r="I29" i="36"/>
  <c r="H88" i="36"/>
  <c r="G89" i="36"/>
  <c r="I26" i="36"/>
  <c r="I79" i="36"/>
  <c r="G83" i="36"/>
  <c r="G93" i="36" s="1"/>
  <c r="G91" i="36" s="1"/>
  <c r="H83" i="36"/>
  <c r="H93" i="36" s="1"/>
  <c r="H89" i="36"/>
  <c r="J28" i="36"/>
  <c r="J94" i="36" s="1"/>
  <c r="J25" i="36"/>
  <c r="J79" i="36" s="1"/>
  <c r="I27" i="36"/>
  <c r="I95" i="36"/>
  <c r="G112" i="36"/>
  <c r="G116" i="36" s="1"/>
  <c r="I22" i="36"/>
  <c r="I23" i="36"/>
  <c r="K41" i="36"/>
  <c r="I54" i="36"/>
  <c r="I58" i="36"/>
  <c r="I59" i="36" s="1"/>
  <c r="I42" i="36"/>
  <c r="J42" i="36" s="1"/>
  <c r="I38" i="36"/>
  <c r="I46" i="36" s="1"/>
  <c r="I44" i="36" s="1"/>
  <c r="K53" i="36"/>
  <c r="J38" i="36"/>
  <c r="J46" i="36" s="1"/>
  <c r="E113" i="36"/>
  <c r="E123" i="36" s="1"/>
  <c r="E121" i="36" s="1"/>
  <c r="E74" i="36"/>
  <c r="E119" i="36" s="1"/>
  <c r="E70" i="36"/>
  <c r="E78" i="36" s="1"/>
  <c r="E76" i="36" s="1"/>
  <c r="J130" i="36"/>
  <c r="J133" i="36"/>
  <c r="J56" i="36"/>
  <c r="J57" i="36" s="1"/>
  <c r="J127" i="36"/>
  <c r="H112" i="36"/>
  <c r="H116" i="36" s="1"/>
  <c r="H69" i="36"/>
  <c r="H72" i="36" s="1"/>
  <c r="H71" i="36"/>
  <c r="H114" i="36" s="1"/>
  <c r="H68" i="36"/>
  <c r="H111" i="36" s="1"/>
  <c r="E112" i="36"/>
  <c r="E116" i="36" s="1"/>
  <c r="I99" i="36"/>
  <c r="I97" i="36"/>
  <c r="I101" i="36" s="1"/>
  <c r="H132" i="36"/>
  <c r="H129" i="36"/>
  <c r="H135" i="36"/>
  <c r="H62" i="36"/>
  <c r="H60" i="36" s="1"/>
  <c r="H103" i="36"/>
  <c r="M15" i="36"/>
  <c r="L17" i="36"/>
  <c r="L16" i="36"/>
  <c r="L50" i="36"/>
  <c r="L53" i="36" s="1"/>
  <c r="L34" i="36"/>
  <c r="J21" i="36"/>
  <c r="J23" i="36" s="1"/>
  <c r="J66" i="36" s="1"/>
  <c r="J52" i="36"/>
  <c r="I30" i="36"/>
  <c r="I96" i="36" s="1"/>
  <c r="K18" i="36"/>
  <c r="K19" i="36"/>
  <c r="K36" i="36" s="1"/>
  <c r="G104" i="36"/>
  <c r="G98" i="36"/>
  <c r="G108" i="36" s="1"/>
  <c r="G106" i="36" s="1"/>
  <c r="G71" i="36"/>
  <c r="G114" i="36" s="1"/>
  <c r="G69" i="36"/>
  <c r="G72" i="36" s="1"/>
  <c r="G73" i="36" s="1"/>
  <c r="H73" i="36" s="1"/>
  <c r="G68" i="36"/>
  <c r="G111" i="36" s="1"/>
  <c r="M27" i="19"/>
  <c r="M28" i="19"/>
  <c r="M29" i="19"/>
  <c r="M30" i="19"/>
  <c r="H33" i="19"/>
  <c r="L33" i="19" s="1"/>
  <c r="K33" i="19"/>
  <c r="M33" i="19" s="1"/>
  <c r="K32" i="19"/>
  <c r="H32" i="19"/>
  <c r="L32" i="19" s="1"/>
  <c r="H31" i="19"/>
  <c r="L31" i="19" s="1"/>
  <c r="K31" i="19"/>
  <c r="M31" i="19" s="1"/>
  <c r="H34" i="19"/>
  <c r="L34" i="19" s="1"/>
  <c r="K34" i="19"/>
  <c r="M18" i="13"/>
  <c r="M20" i="13" s="1"/>
  <c r="L20" i="13"/>
  <c r="L36" i="13"/>
  <c r="K38" i="13"/>
  <c r="K12" i="13"/>
  <c r="J14" i="13"/>
  <c r="G40" i="13"/>
  <c r="H37" i="13"/>
  <c r="F34" i="13"/>
  <c r="F33" i="13"/>
  <c r="G31" i="13"/>
  <c r="G28" i="13"/>
  <c r="G27" i="13"/>
  <c r="H25" i="13"/>
  <c r="G22" i="13"/>
  <c r="G21" i="13"/>
  <c r="H19" i="13"/>
  <c r="G13" i="13"/>
  <c r="F16" i="13"/>
  <c r="F15" i="13"/>
  <c r="I118" i="31" l="1"/>
  <c r="I10" i="31"/>
  <c r="P15" i="39"/>
  <c r="G91" i="18"/>
  <c r="F89" i="18"/>
  <c r="G89" i="18" s="1"/>
  <c r="H89" i="18" s="1"/>
  <c r="I76" i="31"/>
  <c r="F119" i="34"/>
  <c r="H103" i="34"/>
  <c r="R13" i="39"/>
  <c r="I114" i="31"/>
  <c r="L57" i="31"/>
  <c r="I115" i="31"/>
  <c r="F13" i="39"/>
  <c r="F12" i="39"/>
  <c r="N9" i="18"/>
  <c r="N8" i="18"/>
  <c r="N5" i="18"/>
  <c r="N7" i="18"/>
  <c r="N6" i="18"/>
  <c r="N4" i="18"/>
  <c r="N8" i="27"/>
  <c r="F89" i="23"/>
  <c r="F119" i="23" s="1"/>
  <c r="F83" i="23"/>
  <c r="F93" i="23" s="1"/>
  <c r="F91" i="23" s="1"/>
  <c r="I127" i="23"/>
  <c r="I128" i="23" s="1"/>
  <c r="M4" i="23" s="1"/>
  <c r="F104" i="18"/>
  <c r="G104" i="18" s="1"/>
  <c r="H104" i="18" s="1"/>
  <c r="G106" i="18"/>
  <c r="K34" i="23"/>
  <c r="K37" i="23" s="1"/>
  <c r="K40" i="23" s="1"/>
  <c r="K41" i="23" s="1"/>
  <c r="K50" i="23"/>
  <c r="K53" i="23" s="1"/>
  <c r="K127" i="23" s="1"/>
  <c r="F111" i="18"/>
  <c r="F113" i="18" s="1"/>
  <c r="F123" i="18" s="1"/>
  <c r="F121" i="18" s="1"/>
  <c r="L15" i="23"/>
  <c r="M15" i="23" s="1"/>
  <c r="K16" i="23"/>
  <c r="I30" i="18"/>
  <c r="I96" i="18" s="1"/>
  <c r="J57" i="34"/>
  <c r="I130" i="23"/>
  <c r="I131" i="23" s="1"/>
  <c r="M6" i="23" s="1"/>
  <c r="I133" i="23"/>
  <c r="I134" i="23" s="1"/>
  <c r="M8" i="23" s="1"/>
  <c r="N4" i="34"/>
  <c r="N8" i="34"/>
  <c r="N6" i="34"/>
  <c r="G118" i="27"/>
  <c r="H118" i="27" s="1"/>
  <c r="J36" i="23"/>
  <c r="J38" i="23" s="1"/>
  <c r="J46" i="23" s="1"/>
  <c r="J44" i="23" s="1"/>
  <c r="J127" i="23"/>
  <c r="J133" i="23"/>
  <c r="I22" i="23"/>
  <c r="J130" i="23"/>
  <c r="G103" i="27"/>
  <c r="H103" i="27" s="1"/>
  <c r="J130" i="27"/>
  <c r="G118" i="25"/>
  <c r="H27" i="29"/>
  <c r="H81" i="29" s="1"/>
  <c r="H83" i="29" s="1"/>
  <c r="H93" i="29" s="1"/>
  <c r="H91" i="29" s="1"/>
  <c r="E119" i="25"/>
  <c r="H38" i="23"/>
  <c r="H46" i="23" s="1"/>
  <c r="H44" i="23" s="1"/>
  <c r="H42" i="23"/>
  <c r="I42" i="23" s="1"/>
  <c r="J57" i="29"/>
  <c r="N4" i="27"/>
  <c r="H88" i="29"/>
  <c r="H114" i="29"/>
  <c r="I58" i="23"/>
  <c r="I59" i="23" s="1"/>
  <c r="N6" i="27"/>
  <c r="J127" i="27"/>
  <c r="I57" i="25"/>
  <c r="I131" i="25"/>
  <c r="M6" i="25" s="1"/>
  <c r="K17" i="27"/>
  <c r="K16" i="27"/>
  <c r="K34" i="27"/>
  <c r="K37" i="27" s="1"/>
  <c r="K40" i="27" s="1"/>
  <c r="K41" i="27" s="1"/>
  <c r="L15" i="27"/>
  <c r="K50" i="27"/>
  <c r="K53" i="27" s="1"/>
  <c r="I52" i="27"/>
  <c r="I20" i="27"/>
  <c r="I21" i="27"/>
  <c r="J56" i="27"/>
  <c r="J57" i="27" s="1"/>
  <c r="J19" i="27"/>
  <c r="J52" i="27" s="1"/>
  <c r="J54" i="27" s="1"/>
  <c r="J18" i="27"/>
  <c r="I28" i="27"/>
  <c r="I25" i="27"/>
  <c r="G103" i="25"/>
  <c r="I36" i="27"/>
  <c r="H73" i="27"/>
  <c r="H74" i="29"/>
  <c r="I134" i="25"/>
  <c r="M8" i="25" s="1"/>
  <c r="E119" i="27"/>
  <c r="H30" i="29"/>
  <c r="H96" i="29" s="1"/>
  <c r="H98" i="29" s="1"/>
  <c r="H108" i="29" s="1"/>
  <c r="G96" i="29"/>
  <c r="G81" i="27"/>
  <c r="H27" i="27"/>
  <c r="F60" i="27"/>
  <c r="G60" i="27"/>
  <c r="F89" i="27"/>
  <c r="F111" i="27"/>
  <c r="F113" i="27" s="1"/>
  <c r="F123" i="27" s="1"/>
  <c r="F121" i="27" s="1"/>
  <c r="F83" i="27"/>
  <c r="F93" i="27" s="1"/>
  <c r="F91" i="27" s="1"/>
  <c r="J52" i="23"/>
  <c r="G96" i="27"/>
  <c r="H30" i="27"/>
  <c r="G60" i="25"/>
  <c r="F104" i="27"/>
  <c r="F98" i="27"/>
  <c r="F108" i="27" s="1"/>
  <c r="F106" i="27" s="1"/>
  <c r="N4" i="25"/>
  <c r="H66" i="25"/>
  <c r="I28" i="25"/>
  <c r="I25" i="25"/>
  <c r="I36" i="25"/>
  <c r="I20" i="25"/>
  <c r="I52" i="25"/>
  <c r="I21" i="25"/>
  <c r="I23" i="25" s="1"/>
  <c r="I66" i="25" s="1"/>
  <c r="I69" i="25" s="1"/>
  <c r="I72" i="25" s="1"/>
  <c r="H58" i="25"/>
  <c r="H54" i="25"/>
  <c r="G96" i="25"/>
  <c r="H30" i="25"/>
  <c r="H84" i="25"/>
  <c r="H82" i="25"/>
  <c r="H86" i="25" s="1"/>
  <c r="H88" i="25" s="1"/>
  <c r="K17" i="25"/>
  <c r="K50" i="25"/>
  <c r="K53" i="25" s="1"/>
  <c r="K127" i="25" s="1"/>
  <c r="K16" i="25"/>
  <c r="L15" i="25"/>
  <c r="L34" i="25" s="1"/>
  <c r="L37" i="25" s="1"/>
  <c r="L40" i="25" s="1"/>
  <c r="F104" i="25"/>
  <c r="F98" i="25"/>
  <c r="F108" i="25" s="1"/>
  <c r="F106" i="25" s="1"/>
  <c r="H99" i="25"/>
  <c r="H97" i="25"/>
  <c r="H101" i="25" s="1"/>
  <c r="J133" i="25"/>
  <c r="J130" i="25"/>
  <c r="J127" i="25"/>
  <c r="J56" i="25"/>
  <c r="J57" i="23"/>
  <c r="F83" i="29"/>
  <c r="F93" i="29" s="1"/>
  <c r="F91" i="29" s="1"/>
  <c r="F89" i="29"/>
  <c r="F111" i="29"/>
  <c r="F113" i="29" s="1"/>
  <c r="F123" i="29" s="1"/>
  <c r="F121" i="29" s="1"/>
  <c r="G81" i="25"/>
  <c r="H27" i="25"/>
  <c r="J19" i="25"/>
  <c r="J18" i="25"/>
  <c r="K34" i="25"/>
  <c r="K37" i="25" s="1"/>
  <c r="K40" i="25" s="1"/>
  <c r="K41" i="25" s="1"/>
  <c r="F89" i="25"/>
  <c r="F83" i="25"/>
  <c r="F93" i="25" s="1"/>
  <c r="F91" i="25" s="1"/>
  <c r="F111" i="25"/>
  <c r="F113" i="25" s="1"/>
  <c r="F123" i="25" s="1"/>
  <c r="F121" i="25" s="1"/>
  <c r="H42" i="25"/>
  <c r="H38" i="25"/>
  <c r="H46" i="25" s="1"/>
  <c r="H44" i="25" s="1"/>
  <c r="F106" i="29"/>
  <c r="E119" i="29"/>
  <c r="L16" i="29"/>
  <c r="L50" i="29"/>
  <c r="L53" i="29" s="1"/>
  <c r="L133" i="29" s="1"/>
  <c r="L17" i="29"/>
  <c r="M15" i="29"/>
  <c r="I79" i="29"/>
  <c r="I26" i="29"/>
  <c r="I94" i="29"/>
  <c r="I29" i="29"/>
  <c r="J23" i="29"/>
  <c r="J66" i="29" s="1"/>
  <c r="K18" i="29"/>
  <c r="K19" i="29"/>
  <c r="K21" i="29" s="1"/>
  <c r="K23" i="29" s="1"/>
  <c r="K66" i="29" s="1"/>
  <c r="K68" i="29" s="1"/>
  <c r="J36" i="29"/>
  <c r="J38" i="29" s="1"/>
  <c r="J46" i="29" s="1"/>
  <c r="J44" i="29" s="1"/>
  <c r="J28" i="29"/>
  <c r="J94" i="29" s="1"/>
  <c r="J25" i="29"/>
  <c r="J79" i="29" s="1"/>
  <c r="J84" i="29" s="1"/>
  <c r="H62" i="29"/>
  <c r="H60" i="29" s="1"/>
  <c r="H129" i="29"/>
  <c r="H132" i="29"/>
  <c r="H135" i="29"/>
  <c r="I135" i="29"/>
  <c r="M9" i="29" s="1"/>
  <c r="I62" i="29"/>
  <c r="I132" i="29"/>
  <c r="M7" i="29" s="1"/>
  <c r="I129" i="29"/>
  <c r="M5" i="29" s="1"/>
  <c r="I58" i="29"/>
  <c r="I59" i="29" s="1"/>
  <c r="J52" i="29"/>
  <c r="I22" i="29"/>
  <c r="I23" i="29"/>
  <c r="K56" i="29"/>
  <c r="K133" i="29"/>
  <c r="K127" i="29"/>
  <c r="K130" i="29"/>
  <c r="G74" i="27"/>
  <c r="H74" i="27" s="1"/>
  <c r="I23" i="23"/>
  <c r="I66" i="23" s="1"/>
  <c r="I69" i="23" s="1"/>
  <c r="I72" i="23" s="1"/>
  <c r="G111" i="23"/>
  <c r="G113" i="23" s="1"/>
  <c r="G123" i="23" s="1"/>
  <c r="G121" i="23" s="1"/>
  <c r="I24" i="18"/>
  <c r="K36" i="18"/>
  <c r="K38" i="18" s="1"/>
  <c r="K46" i="18" s="1"/>
  <c r="I60" i="18"/>
  <c r="I61" i="18" s="1"/>
  <c r="I23" i="34"/>
  <c r="H96" i="34"/>
  <c r="I30" i="34"/>
  <c r="H81" i="34"/>
  <c r="I27" i="34"/>
  <c r="J54" i="34"/>
  <c r="H114" i="34"/>
  <c r="H129" i="34"/>
  <c r="H132" i="34"/>
  <c r="H135" i="34"/>
  <c r="H62" i="34"/>
  <c r="H60" i="34" s="1"/>
  <c r="G104" i="34"/>
  <c r="G98" i="34"/>
  <c r="G108" i="34" s="1"/>
  <c r="G106" i="34" s="1"/>
  <c r="G89" i="34"/>
  <c r="G83" i="34"/>
  <c r="G93" i="34" s="1"/>
  <c r="G91" i="34" s="1"/>
  <c r="M39" i="34"/>
  <c r="L34" i="34"/>
  <c r="L37" i="34" s="1"/>
  <c r="L40" i="34" s="1"/>
  <c r="K37" i="34"/>
  <c r="K40" i="34" s="1"/>
  <c r="K41" i="34" s="1"/>
  <c r="I58" i="34"/>
  <c r="J58" i="34" s="1"/>
  <c r="I54" i="34"/>
  <c r="G109" i="34"/>
  <c r="G71" i="34"/>
  <c r="G114" i="34" s="1"/>
  <c r="G69" i="34"/>
  <c r="G72" i="34" s="1"/>
  <c r="G73" i="34" s="1"/>
  <c r="H73" i="34" s="1"/>
  <c r="G68" i="34"/>
  <c r="K53" i="34"/>
  <c r="I42" i="34"/>
  <c r="I43" i="34" s="1"/>
  <c r="I4" i="34" s="1"/>
  <c r="I38" i="34"/>
  <c r="I46" i="34" s="1"/>
  <c r="I44" i="34" s="1"/>
  <c r="I94" i="34"/>
  <c r="J25" i="34"/>
  <c r="J79" i="34" s="1"/>
  <c r="J28" i="34"/>
  <c r="J94" i="34" s="1"/>
  <c r="L16" i="34"/>
  <c r="M15" i="34"/>
  <c r="L17" i="34"/>
  <c r="L50" i="34"/>
  <c r="L53" i="34" s="1"/>
  <c r="I79" i="34"/>
  <c r="I26" i="34"/>
  <c r="J21" i="34"/>
  <c r="J23" i="34" s="1"/>
  <c r="K19" i="34"/>
  <c r="K36" i="34" s="1"/>
  <c r="K18" i="34"/>
  <c r="G88" i="34"/>
  <c r="H88" i="34" s="1"/>
  <c r="J36" i="34"/>
  <c r="H70" i="34"/>
  <c r="H78" i="34" s="1"/>
  <c r="K66" i="31"/>
  <c r="H89" i="31"/>
  <c r="H83" i="31"/>
  <c r="H93" i="31" s="1"/>
  <c r="H91" i="31" s="1"/>
  <c r="I102" i="31"/>
  <c r="I103" i="31"/>
  <c r="J103" i="31" s="1"/>
  <c r="M127" i="31"/>
  <c r="M130" i="31"/>
  <c r="M133" i="31"/>
  <c r="M56" i="31"/>
  <c r="F76" i="31"/>
  <c r="G76" i="31"/>
  <c r="J82" i="31"/>
  <c r="J86" i="31" s="1"/>
  <c r="J84" i="31"/>
  <c r="I100" i="31"/>
  <c r="N16" i="31"/>
  <c r="N17" i="31"/>
  <c r="N50" i="31"/>
  <c r="K54" i="31"/>
  <c r="K58" i="31"/>
  <c r="L34" i="31"/>
  <c r="M39" i="31"/>
  <c r="F119" i="31"/>
  <c r="G74" i="31"/>
  <c r="I96" i="31"/>
  <c r="J30" i="31"/>
  <c r="K37" i="31"/>
  <c r="K40" i="31" s="1"/>
  <c r="K41" i="31" s="1"/>
  <c r="K36" i="31"/>
  <c r="L21" i="31"/>
  <c r="L23" i="31" s="1"/>
  <c r="L66" i="31" s="1"/>
  <c r="I81" i="31"/>
  <c r="J27" i="31"/>
  <c r="J109" i="31"/>
  <c r="J71" i="31"/>
  <c r="J69" i="31"/>
  <c r="J72" i="31" s="1"/>
  <c r="J73" i="31" s="1"/>
  <c r="J68" i="31"/>
  <c r="J42" i="31"/>
  <c r="J38" i="31"/>
  <c r="J46" i="31" s="1"/>
  <c r="J44" i="31" s="1"/>
  <c r="K94" i="31"/>
  <c r="H104" i="31"/>
  <c r="H98" i="31"/>
  <c r="H108" i="31" s="1"/>
  <c r="H106" i="31" s="1"/>
  <c r="M18" i="31"/>
  <c r="M19" i="31"/>
  <c r="M52" i="31" s="1"/>
  <c r="L28" i="31"/>
  <c r="L94" i="31" s="1"/>
  <c r="L25" i="31"/>
  <c r="L79" i="31" s="1"/>
  <c r="G121" i="31"/>
  <c r="I117" i="31"/>
  <c r="K84" i="31"/>
  <c r="K82" i="31"/>
  <c r="K86" i="31" s="1"/>
  <c r="H111" i="31"/>
  <c r="H113" i="31" s="1"/>
  <c r="H123" i="31" s="1"/>
  <c r="H121" i="31" s="1"/>
  <c r="L52" i="31"/>
  <c r="H118" i="29"/>
  <c r="K37" i="29"/>
  <c r="K40" i="29" s="1"/>
  <c r="K41" i="29" s="1"/>
  <c r="M39" i="29"/>
  <c r="L34" i="29"/>
  <c r="H70" i="27"/>
  <c r="H78" i="27" s="1"/>
  <c r="H76" i="27" s="1"/>
  <c r="N39" i="27"/>
  <c r="G74" i="25"/>
  <c r="M39" i="25"/>
  <c r="H103" i="23"/>
  <c r="I26" i="23"/>
  <c r="H12" i="39" s="1"/>
  <c r="H96" i="23"/>
  <c r="I30" i="23"/>
  <c r="J21" i="23"/>
  <c r="J23" i="23" s="1"/>
  <c r="G104" i="23"/>
  <c r="G98" i="23"/>
  <c r="G108" i="23" s="1"/>
  <c r="G106" i="23" s="1"/>
  <c r="H60" i="23"/>
  <c r="H82" i="23"/>
  <c r="H86" i="23" s="1"/>
  <c r="H84" i="23"/>
  <c r="I80" i="23"/>
  <c r="I6" i="23" s="1"/>
  <c r="I82" i="23"/>
  <c r="I86" i="23" s="1"/>
  <c r="I84" i="23"/>
  <c r="G83" i="23"/>
  <c r="G93" i="23" s="1"/>
  <c r="J28" i="23"/>
  <c r="J94" i="23" s="1"/>
  <c r="J25" i="23"/>
  <c r="M39" i="23"/>
  <c r="I94" i="23"/>
  <c r="I29" i="23"/>
  <c r="H13" i="39" s="1"/>
  <c r="I129" i="23"/>
  <c r="M5" i="23" s="1"/>
  <c r="I135" i="23"/>
  <c r="M9" i="23" s="1"/>
  <c r="I132" i="23"/>
  <c r="M7" i="23" s="1"/>
  <c r="I62" i="23"/>
  <c r="I60" i="23" s="1"/>
  <c r="G114" i="23"/>
  <c r="H109" i="23"/>
  <c r="H71" i="23"/>
  <c r="H69" i="23"/>
  <c r="H72" i="23" s="1"/>
  <c r="H73" i="23" s="1"/>
  <c r="H68" i="23"/>
  <c r="H81" i="23"/>
  <c r="I27" i="23"/>
  <c r="K19" i="23"/>
  <c r="K18" i="23"/>
  <c r="I67" i="18"/>
  <c r="I5" i="18" s="1"/>
  <c r="K57" i="18"/>
  <c r="M16" i="18"/>
  <c r="N15" i="18"/>
  <c r="M17" i="18"/>
  <c r="M50" i="18"/>
  <c r="K25" i="18"/>
  <c r="K28" i="18"/>
  <c r="K94" i="18" s="1"/>
  <c r="M39" i="18"/>
  <c r="L34" i="18"/>
  <c r="L37" i="18" s="1"/>
  <c r="L40" i="18" s="1"/>
  <c r="J99" i="18"/>
  <c r="J97" i="18"/>
  <c r="J101" i="18" s="1"/>
  <c r="H109" i="18"/>
  <c r="H112" i="18" s="1"/>
  <c r="H116" i="18" s="1"/>
  <c r="H71" i="18"/>
  <c r="H114" i="18" s="1"/>
  <c r="H69" i="18"/>
  <c r="H72" i="18" s="1"/>
  <c r="H73" i="18" s="1"/>
  <c r="H68" i="18"/>
  <c r="I99" i="18"/>
  <c r="I97" i="18"/>
  <c r="I101" i="18" s="1"/>
  <c r="I95" i="18"/>
  <c r="I7" i="18" s="1"/>
  <c r="K21" i="18"/>
  <c r="K23" i="18" s="1"/>
  <c r="K41" i="18"/>
  <c r="G111" i="18"/>
  <c r="G113" i="18" s="1"/>
  <c r="G123" i="18" s="1"/>
  <c r="G74" i="18"/>
  <c r="G70" i="18"/>
  <c r="G78" i="18" s="1"/>
  <c r="G76" i="18" s="1"/>
  <c r="J58" i="18"/>
  <c r="J54" i="18"/>
  <c r="L18" i="18"/>
  <c r="L19" i="18"/>
  <c r="J82" i="18"/>
  <c r="J86" i="18" s="1"/>
  <c r="J84" i="18"/>
  <c r="H98" i="18"/>
  <c r="H108" i="18" s="1"/>
  <c r="H106" i="18" s="1"/>
  <c r="J109" i="18"/>
  <c r="J112" i="18" s="1"/>
  <c r="J116" i="18" s="1"/>
  <c r="J69" i="18"/>
  <c r="J72" i="18" s="1"/>
  <c r="J71" i="18"/>
  <c r="J68" i="18"/>
  <c r="J42" i="18"/>
  <c r="J38" i="18"/>
  <c r="J46" i="18" s="1"/>
  <c r="J44" i="18" s="1"/>
  <c r="I43" i="18"/>
  <c r="I4" i="18" s="1"/>
  <c r="K52" i="18"/>
  <c r="I109" i="18"/>
  <c r="I112" i="18" s="1"/>
  <c r="I116" i="18" s="1"/>
  <c r="I69" i="18"/>
  <c r="I72" i="18" s="1"/>
  <c r="I71" i="18"/>
  <c r="I68" i="18"/>
  <c r="I81" i="18"/>
  <c r="J27" i="18"/>
  <c r="I87" i="18"/>
  <c r="H88" i="18"/>
  <c r="I88" i="18" s="1"/>
  <c r="G112" i="18"/>
  <c r="G116" i="18" s="1"/>
  <c r="L127" i="18"/>
  <c r="L130" i="18"/>
  <c r="L133" i="18"/>
  <c r="L56" i="18"/>
  <c r="H83" i="18"/>
  <c r="H93" i="18" s="1"/>
  <c r="H91" i="18" s="1"/>
  <c r="I85" i="18"/>
  <c r="I82" i="36"/>
  <c r="I86" i="36" s="1"/>
  <c r="I84" i="36"/>
  <c r="I80" i="36"/>
  <c r="I6" i="36" s="1"/>
  <c r="J27" i="36"/>
  <c r="J81" i="36" s="1"/>
  <c r="I81" i="36"/>
  <c r="H91" i="36"/>
  <c r="J84" i="36"/>
  <c r="J109" i="36"/>
  <c r="J82" i="36"/>
  <c r="J86" i="36" s="1"/>
  <c r="K28" i="36"/>
  <c r="K94" i="36" s="1"/>
  <c r="K25" i="36"/>
  <c r="I103" i="36"/>
  <c r="F121" i="36"/>
  <c r="I43" i="36"/>
  <c r="I45" i="36"/>
  <c r="I100" i="36"/>
  <c r="I102" i="36"/>
  <c r="I66" i="36"/>
  <c r="I68" i="36" s="1"/>
  <c r="I24" i="36"/>
  <c r="G70" i="36"/>
  <c r="G78" i="36" s="1"/>
  <c r="G76" i="36" s="1"/>
  <c r="G113" i="36"/>
  <c r="G123" i="36" s="1"/>
  <c r="G121" i="36" s="1"/>
  <c r="K38" i="36"/>
  <c r="K46" i="36" s="1"/>
  <c r="K44" i="36" s="1"/>
  <c r="K42" i="36"/>
  <c r="J54" i="36"/>
  <c r="J58" i="36"/>
  <c r="I69" i="36"/>
  <c r="I72" i="36" s="1"/>
  <c r="I73" i="36" s="1"/>
  <c r="L18" i="36"/>
  <c r="L19" i="36"/>
  <c r="F76" i="36"/>
  <c r="J30" i="36"/>
  <c r="J96" i="36" s="1"/>
  <c r="L37" i="36"/>
  <c r="L40" i="36" s="1"/>
  <c r="L41" i="36" s="1"/>
  <c r="M17" i="36"/>
  <c r="N15" i="36"/>
  <c r="M50" i="36"/>
  <c r="M53" i="36" s="1"/>
  <c r="M16" i="36"/>
  <c r="M34" i="36"/>
  <c r="M37" i="36" s="1"/>
  <c r="M40" i="36" s="1"/>
  <c r="E118" i="36"/>
  <c r="F118" i="36" s="1"/>
  <c r="G118" i="36" s="1"/>
  <c r="H118" i="36" s="1"/>
  <c r="I135" i="36"/>
  <c r="M9" i="36" s="1"/>
  <c r="I129" i="36"/>
  <c r="M5" i="36" s="1"/>
  <c r="I132" i="36"/>
  <c r="M7" i="36" s="1"/>
  <c r="I62" i="36"/>
  <c r="I60" i="36" s="1"/>
  <c r="I61" i="36" s="1"/>
  <c r="H104" i="36"/>
  <c r="H98" i="36"/>
  <c r="H108" i="36" s="1"/>
  <c r="H106" i="36" s="1"/>
  <c r="F74" i="36"/>
  <c r="F119" i="36" s="1"/>
  <c r="K21" i="36"/>
  <c r="K23" i="36" s="1"/>
  <c r="K52" i="36"/>
  <c r="L133" i="36"/>
  <c r="L130" i="36"/>
  <c r="L127" i="36"/>
  <c r="L56" i="36"/>
  <c r="H113" i="36"/>
  <c r="H123" i="36" s="1"/>
  <c r="H70" i="36"/>
  <c r="H78" i="36" s="1"/>
  <c r="J97" i="36"/>
  <c r="J101" i="36" s="1"/>
  <c r="J103" i="36" s="1"/>
  <c r="J99" i="36"/>
  <c r="J44" i="36"/>
  <c r="K130" i="36"/>
  <c r="K127" i="36"/>
  <c r="K56" i="36"/>
  <c r="K57" i="36" s="1"/>
  <c r="L57" i="36" s="1"/>
  <c r="K133" i="36"/>
  <c r="M34" i="19"/>
  <c r="M32" i="19"/>
  <c r="H38" i="19"/>
  <c r="L38" i="19" s="1"/>
  <c r="K38" i="19"/>
  <c r="M38" i="19" s="1"/>
  <c r="K35" i="19"/>
  <c r="H35" i="19"/>
  <c r="L35" i="19" s="1"/>
  <c r="K36" i="19"/>
  <c r="H36" i="19"/>
  <c r="L36" i="19" s="1"/>
  <c r="H37" i="19"/>
  <c r="L37" i="19" s="1"/>
  <c r="K37" i="19"/>
  <c r="M36" i="13"/>
  <c r="M38" i="13" s="1"/>
  <c r="L38" i="13"/>
  <c r="L12" i="13"/>
  <c r="K14" i="13"/>
  <c r="H40" i="13"/>
  <c r="H41" i="13" s="1"/>
  <c r="I37" i="13"/>
  <c r="G34" i="13"/>
  <c r="H31" i="13"/>
  <c r="H28" i="13"/>
  <c r="H29" i="13" s="1"/>
  <c r="H27" i="13"/>
  <c r="I25" i="13"/>
  <c r="H22" i="13"/>
  <c r="H23" i="13" s="1"/>
  <c r="H21" i="13"/>
  <c r="I19" i="13"/>
  <c r="G16" i="13"/>
  <c r="G15" i="13"/>
  <c r="H13" i="13"/>
  <c r="M57" i="31" l="1"/>
  <c r="H111" i="34"/>
  <c r="H113" i="34" s="1"/>
  <c r="H123" i="34" s="1"/>
  <c r="R12" i="39"/>
  <c r="K52" i="34"/>
  <c r="K54" i="34" s="1"/>
  <c r="N13" i="39"/>
  <c r="N12" i="39"/>
  <c r="F11" i="39"/>
  <c r="F14" i="39" s="1"/>
  <c r="K130" i="23"/>
  <c r="N6" i="25"/>
  <c r="N8" i="25"/>
  <c r="G89" i="23"/>
  <c r="H89" i="23" s="1"/>
  <c r="L17" i="23"/>
  <c r="L18" i="23" s="1"/>
  <c r="G91" i="23"/>
  <c r="L16" i="23"/>
  <c r="K36" i="23"/>
  <c r="K38" i="23" s="1"/>
  <c r="K46" i="23" s="1"/>
  <c r="K44" i="23" s="1"/>
  <c r="F119" i="18"/>
  <c r="G121" i="18"/>
  <c r="K56" i="23"/>
  <c r="K57" i="23" s="1"/>
  <c r="L34" i="23"/>
  <c r="L37" i="23" s="1"/>
  <c r="L40" i="23" s="1"/>
  <c r="L41" i="23" s="1"/>
  <c r="L50" i="23"/>
  <c r="L53" i="23" s="1"/>
  <c r="L127" i="23" s="1"/>
  <c r="K133" i="23"/>
  <c r="J30" i="18"/>
  <c r="J96" i="18" s="1"/>
  <c r="L41" i="34"/>
  <c r="K57" i="29"/>
  <c r="J42" i="23"/>
  <c r="I27" i="29"/>
  <c r="I81" i="29" s="1"/>
  <c r="I83" i="29" s="1"/>
  <c r="I93" i="29" s="1"/>
  <c r="I91" i="29" s="1"/>
  <c r="I67" i="23"/>
  <c r="I5" i="23" s="1"/>
  <c r="I71" i="23"/>
  <c r="I43" i="23"/>
  <c r="I4" i="23" s="1"/>
  <c r="I44" i="23"/>
  <c r="I45" i="23" s="1"/>
  <c r="K56" i="25"/>
  <c r="H111" i="29"/>
  <c r="H113" i="29" s="1"/>
  <c r="H123" i="29" s="1"/>
  <c r="K130" i="25"/>
  <c r="I22" i="25"/>
  <c r="J57" i="25"/>
  <c r="I24" i="23"/>
  <c r="H11" i="39" s="1"/>
  <c r="H14" i="39" s="1"/>
  <c r="I109" i="23"/>
  <c r="I112" i="23" s="1"/>
  <c r="I116" i="23" s="1"/>
  <c r="I71" i="25"/>
  <c r="J58" i="23"/>
  <c r="K69" i="29"/>
  <c r="K72" i="29" s="1"/>
  <c r="K71" i="29"/>
  <c r="K42" i="18"/>
  <c r="J25" i="27"/>
  <c r="J79" i="27" s="1"/>
  <c r="J28" i="27"/>
  <c r="J94" i="27" s="1"/>
  <c r="I68" i="25"/>
  <c r="I70" i="25" s="1"/>
  <c r="I78" i="25" s="1"/>
  <c r="K133" i="25"/>
  <c r="I42" i="27"/>
  <c r="I43" i="27" s="1"/>
  <c r="I4" i="27" s="1"/>
  <c r="I38" i="27"/>
  <c r="I46" i="27" s="1"/>
  <c r="I44" i="27" s="1"/>
  <c r="I45" i="27" s="1"/>
  <c r="J36" i="27"/>
  <c r="J21" i="27"/>
  <c r="J23" i="27" s="1"/>
  <c r="J66" i="27" s="1"/>
  <c r="K130" i="27"/>
  <c r="K127" i="27"/>
  <c r="K56" i="27"/>
  <c r="K57" i="27" s="1"/>
  <c r="K133" i="27"/>
  <c r="L17" i="27"/>
  <c r="M15" i="27"/>
  <c r="L16" i="27"/>
  <c r="L50" i="27"/>
  <c r="L53" i="27" s="1"/>
  <c r="L34" i="27"/>
  <c r="L37" i="27" s="1"/>
  <c r="L40" i="27" s="1"/>
  <c r="L41" i="27" s="1"/>
  <c r="H103" i="25"/>
  <c r="I22" i="27"/>
  <c r="I23" i="27"/>
  <c r="L130" i="29"/>
  <c r="I79" i="27"/>
  <c r="I26" i="27"/>
  <c r="L12" i="39" s="1"/>
  <c r="I67" i="25"/>
  <c r="I5" i="25" s="1"/>
  <c r="I29" i="27"/>
  <c r="L13" i="39" s="1"/>
  <c r="I94" i="27"/>
  <c r="I58" i="27"/>
  <c r="I54" i="27"/>
  <c r="K19" i="27"/>
  <c r="K18" i="27"/>
  <c r="F119" i="27"/>
  <c r="J54" i="23"/>
  <c r="J129" i="23" s="1"/>
  <c r="I68" i="23"/>
  <c r="I70" i="23" s="1"/>
  <c r="I78" i="23" s="1"/>
  <c r="L127" i="29"/>
  <c r="J82" i="29"/>
  <c r="J86" i="29" s="1"/>
  <c r="G111" i="29"/>
  <c r="G113" i="29" s="1"/>
  <c r="G123" i="29" s="1"/>
  <c r="G98" i="29"/>
  <c r="G108" i="29" s="1"/>
  <c r="G106" i="29" s="1"/>
  <c r="G104" i="29"/>
  <c r="H104" i="29" s="1"/>
  <c r="I30" i="29"/>
  <c r="H96" i="27"/>
  <c r="I30" i="27"/>
  <c r="G91" i="29"/>
  <c r="G98" i="27"/>
  <c r="G108" i="27" s="1"/>
  <c r="G106" i="27" s="1"/>
  <c r="G104" i="27"/>
  <c r="I27" i="27"/>
  <c r="H81" i="27"/>
  <c r="G89" i="27"/>
  <c r="G83" i="27"/>
  <c r="G93" i="27" s="1"/>
  <c r="G91" i="27" s="1"/>
  <c r="G111" i="27"/>
  <c r="G113" i="27" s="1"/>
  <c r="G123" i="27" s="1"/>
  <c r="G121" i="27" s="1"/>
  <c r="F119" i="25"/>
  <c r="I27" i="25"/>
  <c r="H81" i="25"/>
  <c r="H132" i="25"/>
  <c r="H135" i="25"/>
  <c r="H62" i="25"/>
  <c r="H60" i="25" s="1"/>
  <c r="H129" i="25"/>
  <c r="G89" i="25"/>
  <c r="G83" i="25"/>
  <c r="G93" i="25" s="1"/>
  <c r="G91" i="25" s="1"/>
  <c r="G111" i="25"/>
  <c r="G113" i="25" s="1"/>
  <c r="G123" i="25" s="1"/>
  <c r="G121" i="25" s="1"/>
  <c r="H96" i="25"/>
  <c r="I30" i="25"/>
  <c r="I26" i="25"/>
  <c r="I79" i="25"/>
  <c r="J28" i="25"/>
  <c r="J94" i="25" s="1"/>
  <c r="J25" i="25"/>
  <c r="J79" i="25" s="1"/>
  <c r="J82" i="25" s="1"/>
  <c r="J86" i="25" s="1"/>
  <c r="F119" i="29"/>
  <c r="G89" i="29"/>
  <c r="G104" i="25"/>
  <c r="G98" i="25"/>
  <c r="G108" i="25" s="1"/>
  <c r="G106" i="25" s="1"/>
  <c r="H71" i="25"/>
  <c r="H114" i="25" s="1"/>
  <c r="H68" i="25"/>
  <c r="H74" i="25" s="1"/>
  <c r="H109" i="25"/>
  <c r="H112" i="25" s="1"/>
  <c r="H116" i="25" s="1"/>
  <c r="H118" i="25" s="1"/>
  <c r="H69" i="25"/>
  <c r="H72" i="25" s="1"/>
  <c r="H73" i="25" s="1"/>
  <c r="I73" i="25" s="1"/>
  <c r="I42" i="25"/>
  <c r="I43" i="25" s="1"/>
  <c r="I4" i="25" s="1"/>
  <c r="I38" i="25"/>
  <c r="I46" i="25" s="1"/>
  <c r="I44" i="25" s="1"/>
  <c r="I45" i="25" s="1"/>
  <c r="J52" i="25"/>
  <c r="J54" i="25" s="1"/>
  <c r="J21" i="25"/>
  <c r="J23" i="25" s="1"/>
  <c r="J66" i="25" s="1"/>
  <c r="J71" i="25" s="1"/>
  <c r="J36" i="25"/>
  <c r="M15" i="25"/>
  <c r="M34" i="25" s="1"/>
  <c r="M37" i="25" s="1"/>
  <c r="M40" i="25" s="1"/>
  <c r="L16" i="25"/>
  <c r="L17" i="25"/>
  <c r="L50" i="25"/>
  <c r="L53" i="25" s="1"/>
  <c r="K19" i="25"/>
  <c r="K18" i="25"/>
  <c r="L41" i="25"/>
  <c r="I54" i="25"/>
  <c r="I58" i="25"/>
  <c r="I94" i="25"/>
  <c r="I29" i="25"/>
  <c r="I24" i="25"/>
  <c r="M16" i="29"/>
  <c r="M17" i="29"/>
  <c r="N15" i="29"/>
  <c r="M50" i="29"/>
  <c r="M53" i="29" s="1"/>
  <c r="L18" i="29"/>
  <c r="L19" i="29"/>
  <c r="L21" i="29" s="1"/>
  <c r="L23" i="29" s="1"/>
  <c r="L66" i="29" s="1"/>
  <c r="L69" i="29" s="1"/>
  <c r="L72" i="29" s="1"/>
  <c r="K25" i="29"/>
  <c r="K79" i="29" s="1"/>
  <c r="K28" i="29"/>
  <c r="K94" i="29" s="1"/>
  <c r="K97" i="29" s="1"/>
  <c r="K101" i="29" s="1"/>
  <c r="K36" i="29"/>
  <c r="K38" i="29" s="1"/>
  <c r="K46" i="29" s="1"/>
  <c r="K44" i="29" s="1"/>
  <c r="J42" i="29"/>
  <c r="N5" i="29"/>
  <c r="K52" i="29"/>
  <c r="I99" i="29"/>
  <c r="I100" i="29" s="1"/>
  <c r="I97" i="29"/>
  <c r="I101" i="29" s="1"/>
  <c r="I95" i="29"/>
  <c r="I7" i="29" s="1"/>
  <c r="J58" i="29"/>
  <c r="J54" i="29"/>
  <c r="N7" i="29"/>
  <c r="I82" i="29"/>
  <c r="I86" i="29" s="1"/>
  <c r="I84" i="29"/>
  <c r="I85" i="29" s="1"/>
  <c r="I80" i="29"/>
  <c r="I6" i="29" s="1"/>
  <c r="L56" i="29"/>
  <c r="I60" i="29"/>
  <c r="I61" i="29" s="1"/>
  <c r="I66" i="29"/>
  <c r="I24" i="29"/>
  <c r="N9" i="29"/>
  <c r="J97" i="29"/>
  <c r="J101" i="29" s="1"/>
  <c r="J99" i="29"/>
  <c r="I114" i="18"/>
  <c r="I115" i="18" s="1"/>
  <c r="N7" i="23"/>
  <c r="N9" i="23"/>
  <c r="N6" i="23"/>
  <c r="N5" i="23"/>
  <c r="N4" i="23"/>
  <c r="N8" i="23"/>
  <c r="J114" i="18"/>
  <c r="L57" i="18"/>
  <c r="I66" i="34"/>
  <c r="I109" i="34" s="1"/>
  <c r="I112" i="34" s="1"/>
  <c r="I116" i="34" s="1"/>
  <c r="I24" i="34"/>
  <c r="K38" i="34"/>
  <c r="K46" i="34" s="1"/>
  <c r="I99" i="34"/>
  <c r="I97" i="34"/>
  <c r="I101" i="34" s="1"/>
  <c r="I95" i="34"/>
  <c r="I7" i="34" s="1"/>
  <c r="H89" i="34"/>
  <c r="H83" i="34"/>
  <c r="H93" i="34" s="1"/>
  <c r="H91" i="34" s="1"/>
  <c r="G112" i="34"/>
  <c r="G116" i="34" s="1"/>
  <c r="N39" i="34"/>
  <c r="M34" i="34"/>
  <c r="M37" i="34" s="1"/>
  <c r="M40" i="34" s="1"/>
  <c r="I96" i="34"/>
  <c r="J30" i="34"/>
  <c r="J84" i="34"/>
  <c r="J82" i="34"/>
  <c r="J86" i="34" s="1"/>
  <c r="I59" i="34"/>
  <c r="H98" i="34"/>
  <c r="H108" i="34" s="1"/>
  <c r="H106" i="34" s="1"/>
  <c r="H104" i="34"/>
  <c r="J66" i="34"/>
  <c r="I129" i="34"/>
  <c r="M5" i="34" s="1"/>
  <c r="I135" i="34"/>
  <c r="M9" i="34" s="1"/>
  <c r="I132" i="34"/>
  <c r="M7" i="34" s="1"/>
  <c r="I62" i="34"/>
  <c r="I60" i="34" s="1"/>
  <c r="I45" i="34"/>
  <c r="I84" i="34"/>
  <c r="I82" i="34"/>
  <c r="I86" i="34" s="1"/>
  <c r="I80" i="34"/>
  <c r="I6" i="34" s="1"/>
  <c r="L127" i="34"/>
  <c r="L130" i="34"/>
  <c r="L133" i="34"/>
  <c r="L56" i="34"/>
  <c r="J129" i="34"/>
  <c r="J132" i="34"/>
  <c r="J135" i="34"/>
  <c r="J62" i="34"/>
  <c r="J42" i="34"/>
  <c r="K42" i="34" s="1"/>
  <c r="J38" i="34"/>
  <c r="J46" i="34" s="1"/>
  <c r="J44" i="34" s="1"/>
  <c r="K25" i="34"/>
  <c r="K79" i="34" s="1"/>
  <c r="K28" i="34"/>
  <c r="K94" i="34" s="1"/>
  <c r="L52" i="34"/>
  <c r="L18" i="34"/>
  <c r="L19" i="34"/>
  <c r="L36" i="34" s="1"/>
  <c r="G111" i="34"/>
  <c r="G113" i="34" s="1"/>
  <c r="G123" i="34" s="1"/>
  <c r="G121" i="34" s="1"/>
  <c r="G74" i="34"/>
  <c r="G70" i="34"/>
  <c r="G78" i="34" s="1"/>
  <c r="G76" i="34" s="1"/>
  <c r="I88" i="34"/>
  <c r="K21" i="34"/>
  <c r="K23" i="34" s="1"/>
  <c r="K66" i="34" s="1"/>
  <c r="M16" i="34"/>
  <c r="N15" i="34"/>
  <c r="M17" i="34"/>
  <c r="M50" i="34"/>
  <c r="M53" i="34" s="1"/>
  <c r="J97" i="34"/>
  <c r="J101" i="34" s="1"/>
  <c r="J99" i="34"/>
  <c r="K130" i="34"/>
  <c r="K127" i="34"/>
  <c r="K133" i="34"/>
  <c r="K56" i="34"/>
  <c r="K57" i="34" s="1"/>
  <c r="I81" i="34"/>
  <c r="J27" i="34"/>
  <c r="M54" i="31"/>
  <c r="J96" i="31"/>
  <c r="K30" i="31"/>
  <c r="K132" i="31"/>
  <c r="K135" i="31"/>
  <c r="K129" i="31"/>
  <c r="K62" i="31"/>
  <c r="K60" i="31" s="1"/>
  <c r="M28" i="31"/>
  <c r="M94" i="31" s="1"/>
  <c r="M25" i="31"/>
  <c r="M79" i="31" s="1"/>
  <c r="K38" i="31"/>
  <c r="K46" i="31" s="1"/>
  <c r="K44" i="31" s="1"/>
  <c r="K42" i="31"/>
  <c r="I98" i="31"/>
  <c r="I108" i="31" s="1"/>
  <c r="I106" i="31" s="1"/>
  <c r="I107" i="31" s="1"/>
  <c r="I104" i="31"/>
  <c r="G119" i="31"/>
  <c r="H74" i="31"/>
  <c r="M34" i="31"/>
  <c r="N39" i="31"/>
  <c r="N34" i="31" s="1"/>
  <c r="N53" i="31"/>
  <c r="N51" i="31"/>
  <c r="J70" i="31"/>
  <c r="J78" i="31" s="1"/>
  <c r="J76" i="31" s="1"/>
  <c r="L37" i="31"/>
  <c r="L40" i="31" s="1"/>
  <c r="L41" i="31" s="1"/>
  <c r="L36" i="31"/>
  <c r="N18" i="31"/>
  <c r="N19" i="31"/>
  <c r="J81" i="31"/>
  <c r="K27" i="31"/>
  <c r="K109" i="31"/>
  <c r="K112" i="31" s="1"/>
  <c r="K116" i="31" s="1"/>
  <c r="K69" i="31"/>
  <c r="K72" i="31" s="1"/>
  <c r="K73" i="31" s="1"/>
  <c r="K71" i="31"/>
  <c r="K68" i="31"/>
  <c r="J114" i="31"/>
  <c r="I89" i="31"/>
  <c r="I83" i="31"/>
  <c r="I93" i="31" s="1"/>
  <c r="I91" i="31" s="1"/>
  <c r="I111" i="31"/>
  <c r="I113" i="31" s="1"/>
  <c r="I123" i="31" s="1"/>
  <c r="I121" i="31" s="1"/>
  <c r="J88" i="31"/>
  <c r="K88" i="31" s="1"/>
  <c r="L69" i="31"/>
  <c r="L72" i="31" s="1"/>
  <c r="L109" i="31"/>
  <c r="L112" i="31" s="1"/>
  <c r="L116" i="31" s="1"/>
  <c r="L71" i="31"/>
  <c r="L68" i="31"/>
  <c r="L84" i="31"/>
  <c r="L82" i="31"/>
  <c r="L86" i="31" s="1"/>
  <c r="K97" i="31"/>
  <c r="K101" i="31" s="1"/>
  <c r="K103" i="31" s="1"/>
  <c r="K99" i="31"/>
  <c r="J112" i="31"/>
  <c r="J116" i="31" s="1"/>
  <c r="L58" i="31"/>
  <c r="M58" i="31" s="1"/>
  <c r="L54" i="31"/>
  <c r="L97" i="31"/>
  <c r="L101" i="31" s="1"/>
  <c r="L99" i="31"/>
  <c r="M21" i="31"/>
  <c r="M23" i="31" s="1"/>
  <c r="M66" i="31" s="1"/>
  <c r="I77" i="31"/>
  <c r="K70" i="29"/>
  <c r="K78" i="29" s="1"/>
  <c r="J109" i="29"/>
  <c r="J71" i="29"/>
  <c r="J69" i="29"/>
  <c r="J72" i="29" s="1"/>
  <c r="J68" i="29"/>
  <c r="L37" i="29"/>
  <c r="L40" i="29" s="1"/>
  <c r="L41" i="29" s="1"/>
  <c r="M34" i="29"/>
  <c r="N39" i="29"/>
  <c r="J135" i="27"/>
  <c r="J132" i="27"/>
  <c r="J129" i="27"/>
  <c r="J62" i="27"/>
  <c r="N39" i="25"/>
  <c r="I73" i="23"/>
  <c r="I61" i="23"/>
  <c r="J66" i="23"/>
  <c r="H88" i="23"/>
  <c r="I88" i="23" s="1"/>
  <c r="I87" i="23"/>
  <c r="K21" i="23"/>
  <c r="K23" i="23" s="1"/>
  <c r="K66" i="23" s="1"/>
  <c r="I85" i="23"/>
  <c r="K52" i="23"/>
  <c r="H111" i="23"/>
  <c r="H113" i="23" s="1"/>
  <c r="H123" i="23" s="1"/>
  <c r="H121" i="23" s="1"/>
  <c r="H74" i="23"/>
  <c r="H70" i="23"/>
  <c r="H78" i="23" s="1"/>
  <c r="H76" i="23" s="1"/>
  <c r="I99" i="23"/>
  <c r="I97" i="23"/>
  <c r="I101" i="23" s="1"/>
  <c r="I95" i="23"/>
  <c r="I7" i="23" s="1"/>
  <c r="I96" i="23"/>
  <c r="J30" i="23"/>
  <c r="I81" i="23"/>
  <c r="J27" i="23"/>
  <c r="M17" i="23"/>
  <c r="M16" i="23"/>
  <c r="N15" i="23"/>
  <c r="M50" i="23"/>
  <c r="M53" i="23" s="1"/>
  <c r="J79" i="23"/>
  <c r="H98" i="23"/>
  <c r="H108" i="23" s="1"/>
  <c r="H106" i="23" s="1"/>
  <c r="H104" i="23"/>
  <c r="H114" i="23"/>
  <c r="H83" i="23"/>
  <c r="H93" i="23" s="1"/>
  <c r="H91" i="23" s="1"/>
  <c r="H112" i="23"/>
  <c r="H116" i="23" s="1"/>
  <c r="M34" i="23"/>
  <c r="M37" i="23" s="1"/>
  <c r="M40" i="23" s="1"/>
  <c r="N39" i="23"/>
  <c r="J99" i="23"/>
  <c r="J97" i="23"/>
  <c r="J101" i="23" s="1"/>
  <c r="K28" i="23"/>
  <c r="K25" i="23"/>
  <c r="K79" i="23" s="1"/>
  <c r="J88" i="18"/>
  <c r="I73" i="18"/>
  <c r="J73" i="18" s="1"/>
  <c r="K44" i="18"/>
  <c r="I110" i="18"/>
  <c r="F15" i="39" s="1"/>
  <c r="K66" i="18"/>
  <c r="N16" i="18"/>
  <c r="N17" i="18"/>
  <c r="N50" i="18"/>
  <c r="N53" i="18" s="1"/>
  <c r="J70" i="18"/>
  <c r="J78" i="18" s="1"/>
  <c r="G119" i="18"/>
  <c r="I117" i="18"/>
  <c r="I111" i="18"/>
  <c r="I113" i="18" s="1"/>
  <c r="I123" i="18" s="1"/>
  <c r="I70" i="18"/>
  <c r="I78" i="18" s="1"/>
  <c r="I104" i="18"/>
  <c r="I98" i="18"/>
  <c r="I108" i="18" s="1"/>
  <c r="I106" i="18" s="1"/>
  <c r="I107" i="18" s="1"/>
  <c r="H111" i="18"/>
  <c r="H113" i="18" s="1"/>
  <c r="H123" i="18" s="1"/>
  <c r="H121" i="18" s="1"/>
  <c r="H74" i="18"/>
  <c r="H119" i="18" s="1"/>
  <c r="H70" i="18"/>
  <c r="H78" i="18" s="1"/>
  <c r="H76" i="18" s="1"/>
  <c r="N39" i="18"/>
  <c r="N34" i="18" s="1"/>
  <c r="M34" i="18"/>
  <c r="M37" i="18" s="1"/>
  <c r="M40" i="18" s="1"/>
  <c r="J81" i="18"/>
  <c r="K27" i="18"/>
  <c r="L21" i="18"/>
  <c r="L23" i="18" s="1"/>
  <c r="L66" i="18" s="1"/>
  <c r="L41" i="18"/>
  <c r="I103" i="18"/>
  <c r="J103" i="18" s="1"/>
  <c r="I102" i="18"/>
  <c r="I83" i="18"/>
  <c r="I93" i="18" s="1"/>
  <c r="I91" i="18" s="1"/>
  <c r="I92" i="18" s="1"/>
  <c r="I89" i="18"/>
  <c r="I90" i="18" s="1"/>
  <c r="K54" i="18"/>
  <c r="K58" i="18"/>
  <c r="L25" i="18"/>
  <c r="L79" i="18" s="1"/>
  <c r="L28" i="18"/>
  <c r="L94" i="18" s="1"/>
  <c r="J129" i="18"/>
  <c r="J132" i="18"/>
  <c r="J135" i="18"/>
  <c r="J62" i="18"/>
  <c r="J60" i="18" s="1"/>
  <c r="I100" i="18"/>
  <c r="K97" i="18"/>
  <c r="K101" i="18" s="1"/>
  <c r="K99" i="18"/>
  <c r="M19" i="18"/>
  <c r="M18" i="18"/>
  <c r="L52" i="18"/>
  <c r="K79" i="18"/>
  <c r="G118" i="18"/>
  <c r="H118" i="18" s="1"/>
  <c r="I118" i="18" s="1"/>
  <c r="J118" i="18" s="1"/>
  <c r="L36" i="18"/>
  <c r="M53" i="18"/>
  <c r="I109" i="36"/>
  <c r="I71" i="36"/>
  <c r="I87" i="36"/>
  <c r="I88" i="36"/>
  <c r="J88" i="36" s="1"/>
  <c r="I111" i="36"/>
  <c r="I113" i="36" s="1"/>
  <c r="I123" i="36" s="1"/>
  <c r="I121" i="36" s="1"/>
  <c r="I83" i="36"/>
  <c r="I93" i="36" s="1"/>
  <c r="I91" i="36" s="1"/>
  <c r="I92" i="36" s="1"/>
  <c r="I85" i="36"/>
  <c r="I114" i="36"/>
  <c r="I115" i="36" s="1"/>
  <c r="I89" i="36"/>
  <c r="K27" i="36"/>
  <c r="K81" i="36" s="1"/>
  <c r="K79" i="36"/>
  <c r="J83" i="36"/>
  <c r="J93" i="36" s="1"/>
  <c r="L28" i="36"/>
  <c r="L94" i="36" s="1"/>
  <c r="L25" i="36"/>
  <c r="H76" i="36"/>
  <c r="H121" i="36"/>
  <c r="I67" i="36"/>
  <c r="K66" i="36"/>
  <c r="J71" i="36"/>
  <c r="J114" i="36" s="1"/>
  <c r="J69" i="36"/>
  <c r="J72" i="36" s="1"/>
  <c r="J73" i="36" s="1"/>
  <c r="J68" i="36"/>
  <c r="J111" i="36" s="1"/>
  <c r="M19" i="36"/>
  <c r="M18" i="36"/>
  <c r="L21" i="36"/>
  <c r="L23" i="36" s="1"/>
  <c r="L66" i="36" s="1"/>
  <c r="G74" i="36"/>
  <c r="G119" i="36" s="1"/>
  <c r="I104" i="36"/>
  <c r="I105" i="36" s="1"/>
  <c r="I98" i="36"/>
  <c r="I108" i="36" s="1"/>
  <c r="I106" i="36" s="1"/>
  <c r="I107" i="36" s="1"/>
  <c r="K58" i="36"/>
  <c r="K54" i="36"/>
  <c r="L52" i="36"/>
  <c r="I112" i="36"/>
  <c r="I116" i="36" s="1"/>
  <c r="N50" i="36"/>
  <c r="N51" i="36" s="1"/>
  <c r="N16" i="36"/>
  <c r="N17" i="36"/>
  <c r="N34" i="36"/>
  <c r="N35" i="36" s="1"/>
  <c r="M133" i="36"/>
  <c r="M130" i="36"/>
  <c r="M127" i="36"/>
  <c r="M56" i="36"/>
  <c r="M57" i="36" s="1"/>
  <c r="M41" i="36"/>
  <c r="K30" i="36"/>
  <c r="K96" i="36" s="1"/>
  <c r="L36" i="36"/>
  <c r="K97" i="36"/>
  <c r="K101" i="36" s="1"/>
  <c r="K103" i="36" s="1"/>
  <c r="K99" i="36"/>
  <c r="I70" i="36"/>
  <c r="I78" i="36" s="1"/>
  <c r="I76" i="36" s="1"/>
  <c r="J132" i="36"/>
  <c r="J129" i="36"/>
  <c r="J135" i="36"/>
  <c r="J62" i="36"/>
  <c r="J60" i="36" s="1"/>
  <c r="M37" i="19"/>
  <c r="M35" i="19"/>
  <c r="M36" i="19"/>
  <c r="K40" i="19"/>
  <c r="H40" i="19"/>
  <c r="L40" i="19" s="1"/>
  <c r="H39" i="19"/>
  <c r="L39" i="19" s="1"/>
  <c r="K39" i="19"/>
  <c r="M39" i="19" s="1"/>
  <c r="H41" i="19"/>
  <c r="L41" i="19" s="1"/>
  <c r="K41" i="19"/>
  <c r="M12" i="13"/>
  <c r="M14" i="13" s="1"/>
  <c r="L14" i="13"/>
  <c r="J37" i="13"/>
  <c r="I40" i="13"/>
  <c r="I31" i="13"/>
  <c r="H34" i="13"/>
  <c r="I27" i="13"/>
  <c r="I28" i="13"/>
  <c r="J25" i="13"/>
  <c r="J19" i="13"/>
  <c r="I21" i="13"/>
  <c r="I22" i="13"/>
  <c r="H15" i="13"/>
  <c r="H16" i="13"/>
  <c r="H17" i="13" s="1"/>
  <c r="I13" i="13"/>
  <c r="J88" i="34" l="1"/>
  <c r="K58" i="34"/>
  <c r="R11" i="39"/>
  <c r="R14" i="39" s="1"/>
  <c r="K114" i="31"/>
  <c r="L73" i="31"/>
  <c r="N11" i="39"/>
  <c r="N14" i="39" s="1"/>
  <c r="J13" i="39"/>
  <c r="J12" i="39"/>
  <c r="J11" i="39"/>
  <c r="L130" i="23"/>
  <c r="G119" i="23"/>
  <c r="L57" i="29"/>
  <c r="L19" i="23"/>
  <c r="L36" i="23" s="1"/>
  <c r="L38" i="23" s="1"/>
  <c r="L46" i="23" s="1"/>
  <c r="L44" i="23" s="1"/>
  <c r="K30" i="18"/>
  <c r="K96" i="18" s="1"/>
  <c r="L56" i="23"/>
  <c r="L57" i="23" s="1"/>
  <c r="L133" i="23"/>
  <c r="K42" i="23"/>
  <c r="M41" i="34"/>
  <c r="L57" i="34"/>
  <c r="N5" i="34"/>
  <c r="N7" i="34"/>
  <c r="N9" i="34"/>
  <c r="J27" i="29"/>
  <c r="J81" i="29" s="1"/>
  <c r="J83" i="29" s="1"/>
  <c r="J93" i="29" s="1"/>
  <c r="J91" i="29" s="1"/>
  <c r="K57" i="25"/>
  <c r="I114" i="23"/>
  <c r="I115" i="23" s="1"/>
  <c r="I110" i="23"/>
  <c r="H121" i="29"/>
  <c r="I74" i="25"/>
  <c r="I75" i="25" s="1"/>
  <c r="J62" i="23"/>
  <c r="J60" i="23" s="1"/>
  <c r="K99" i="29"/>
  <c r="G119" i="27"/>
  <c r="I135" i="27"/>
  <c r="M9" i="27" s="1"/>
  <c r="I132" i="27"/>
  <c r="M7" i="27" s="1"/>
  <c r="I129" i="27"/>
  <c r="M5" i="27" s="1"/>
  <c r="I62" i="27"/>
  <c r="I60" i="27" s="1"/>
  <c r="I61" i="27" s="1"/>
  <c r="G121" i="29"/>
  <c r="I59" i="27"/>
  <c r="J58" i="27"/>
  <c r="I82" i="27"/>
  <c r="I86" i="27" s="1"/>
  <c r="I84" i="27"/>
  <c r="I85" i="27" s="1"/>
  <c r="I80" i="27"/>
  <c r="I6" i="27" s="1"/>
  <c r="J132" i="23"/>
  <c r="J135" i="23"/>
  <c r="L56" i="27"/>
  <c r="L57" i="27" s="1"/>
  <c r="L130" i="27"/>
  <c r="L133" i="27"/>
  <c r="L127" i="27"/>
  <c r="J84" i="25"/>
  <c r="J69" i="25"/>
  <c r="J72" i="25" s="1"/>
  <c r="J73" i="25" s="1"/>
  <c r="I95" i="27"/>
  <c r="I7" i="27" s="1"/>
  <c r="I99" i="27"/>
  <c r="I100" i="27" s="1"/>
  <c r="I97" i="27"/>
  <c r="I101" i="27" s="1"/>
  <c r="K28" i="27"/>
  <c r="K94" i="27" s="1"/>
  <c r="K25" i="27"/>
  <c r="K79" i="27" s="1"/>
  <c r="I66" i="27"/>
  <c r="I24" i="27"/>
  <c r="L11" i="39" s="1"/>
  <c r="L14" i="39" s="1"/>
  <c r="M34" i="27"/>
  <c r="M16" i="27"/>
  <c r="N15" i="27"/>
  <c r="M50" i="27"/>
  <c r="M53" i="27" s="1"/>
  <c r="M17" i="27"/>
  <c r="J109" i="27"/>
  <c r="J112" i="27" s="1"/>
  <c r="J116" i="27" s="1"/>
  <c r="J69" i="27"/>
  <c r="J72" i="27" s="1"/>
  <c r="J71" i="27"/>
  <c r="J68" i="27"/>
  <c r="J99" i="27"/>
  <c r="J97" i="27"/>
  <c r="J101" i="27" s="1"/>
  <c r="K36" i="27"/>
  <c r="K38" i="27" s="1"/>
  <c r="K46" i="27" s="1"/>
  <c r="K52" i="27"/>
  <c r="K21" i="27"/>
  <c r="K23" i="27" s="1"/>
  <c r="K66" i="27" s="1"/>
  <c r="L19" i="27"/>
  <c r="L18" i="27"/>
  <c r="J38" i="27"/>
  <c r="J46" i="27" s="1"/>
  <c r="J44" i="27" s="1"/>
  <c r="J42" i="27"/>
  <c r="J84" i="27"/>
  <c r="J82" i="27"/>
  <c r="J86" i="27" s="1"/>
  <c r="I74" i="23"/>
  <c r="I75" i="23" s="1"/>
  <c r="M41" i="25"/>
  <c r="I96" i="29"/>
  <c r="J30" i="29"/>
  <c r="J68" i="25"/>
  <c r="H106" i="29"/>
  <c r="H83" i="27"/>
  <c r="H93" i="27" s="1"/>
  <c r="H91" i="27" s="1"/>
  <c r="H111" i="27"/>
  <c r="H113" i="27" s="1"/>
  <c r="H123" i="27" s="1"/>
  <c r="H121" i="27" s="1"/>
  <c r="H89" i="27"/>
  <c r="G119" i="25"/>
  <c r="J30" i="27"/>
  <c r="I96" i="27"/>
  <c r="H104" i="27"/>
  <c r="H98" i="27"/>
  <c r="H108" i="27" s="1"/>
  <c r="H106" i="27" s="1"/>
  <c r="I81" i="27"/>
  <c r="J27" i="27"/>
  <c r="J38" i="25"/>
  <c r="J46" i="25" s="1"/>
  <c r="J44" i="25" s="1"/>
  <c r="J42" i="25"/>
  <c r="I96" i="25"/>
  <c r="J30" i="25"/>
  <c r="L71" i="29"/>
  <c r="J58" i="25"/>
  <c r="I59" i="25"/>
  <c r="K28" i="25"/>
  <c r="K94" i="25" s="1"/>
  <c r="K99" i="25" s="1"/>
  <c r="K25" i="25"/>
  <c r="K79" i="25" s="1"/>
  <c r="H98" i="25"/>
  <c r="H108" i="25" s="1"/>
  <c r="H106" i="25" s="1"/>
  <c r="H104" i="25"/>
  <c r="I129" i="25"/>
  <c r="M5" i="25" s="1"/>
  <c r="I135" i="25"/>
  <c r="M9" i="25" s="1"/>
  <c r="I132" i="25"/>
  <c r="M7" i="25" s="1"/>
  <c r="I62" i="25"/>
  <c r="I60" i="25" s="1"/>
  <c r="I61" i="25" s="1"/>
  <c r="K36" i="25"/>
  <c r="K21" i="25"/>
  <c r="K23" i="25" s="1"/>
  <c r="K66" i="25" s="1"/>
  <c r="L127" i="25"/>
  <c r="L133" i="25"/>
  <c r="L130" i="25"/>
  <c r="L56" i="25"/>
  <c r="J129" i="25"/>
  <c r="J132" i="25"/>
  <c r="J135" i="25"/>
  <c r="J62" i="25"/>
  <c r="J99" i="25"/>
  <c r="J97" i="25"/>
  <c r="J101" i="25" s="1"/>
  <c r="L19" i="25"/>
  <c r="L52" i="25" s="1"/>
  <c r="L54" i="25" s="1"/>
  <c r="L18" i="25"/>
  <c r="H89" i="25"/>
  <c r="H83" i="25"/>
  <c r="H93" i="25" s="1"/>
  <c r="H91" i="25" s="1"/>
  <c r="K109" i="29"/>
  <c r="K112" i="29" s="1"/>
  <c r="K116" i="29" s="1"/>
  <c r="K52" i="25"/>
  <c r="H70" i="25"/>
  <c r="H78" i="25" s="1"/>
  <c r="H76" i="25" s="1"/>
  <c r="H111" i="25"/>
  <c r="H113" i="25" s="1"/>
  <c r="H123" i="25" s="1"/>
  <c r="H121" i="25" s="1"/>
  <c r="I81" i="25"/>
  <c r="J27" i="25"/>
  <c r="K42" i="29"/>
  <c r="M17" i="25"/>
  <c r="M50" i="25"/>
  <c r="M53" i="25" s="1"/>
  <c r="M130" i="25" s="1"/>
  <c r="N15" i="25"/>
  <c r="N34" i="25" s="1"/>
  <c r="N35" i="25" s="1"/>
  <c r="M16" i="25"/>
  <c r="L52" i="23"/>
  <c r="L54" i="23" s="1"/>
  <c r="J109" i="25"/>
  <c r="J112" i="25" s="1"/>
  <c r="J116" i="25" s="1"/>
  <c r="I99" i="25"/>
  <c r="I100" i="25" s="1"/>
  <c r="I97" i="25"/>
  <c r="I101" i="25" s="1"/>
  <c r="I95" i="25"/>
  <c r="I7" i="25" s="1"/>
  <c r="H89" i="29"/>
  <c r="G119" i="29"/>
  <c r="I80" i="25"/>
  <c r="I6" i="25" s="1"/>
  <c r="I109" i="25"/>
  <c r="I84" i="25"/>
  <c r="I82" i="25"/>
  <c r="I86" i="25" s="1"/>
  <c r="L28" i="29"/>
  <c r="L94" i="29" s="1"/>
  <c r="L25" i="29"/>
  <c r="L79" i="29" s="1"/>
  <c r="I87" i="29"/>
  <c r="I88" i="29"/>
  <c r="J88" i="29" s="1"/>
  <c r="L52" i="29"/>
  <c r="K82" i="29"/>
  <c r="K86" i="29" s="1"/>
  <c r="K84" i="29"/>
  <c r="M133" i="29"/>
  <c r="M127" i="29"/>
  <c r="M130" i="29"/>
  <c r="M56" i="29"/>
  <c r="K58" i="29"/>
  <c r="K54" i="29"/>
  <c r="L36" i="29"/>
  <c r="L38" i="29" s="1"/>
  <c r="L46" i="29" s="1"/>
  <c r="L44" i="29" s="1"/>
  <c r="N34" i="29"/>
  <c r="N37" i="29" s="1"/>
  <c r="N40" i="29" s="1"/>
  <c r="L68" i="29"/>
  <c r="L70" i="29" s="1"/>
  <c r="L78" i="29" s="1"/>
  <c r="L76" i="29" s="1"/>
  <c r="J114" i="29"/>
  <c r="M18" i="29"/>
  <c r="M19" i="29"/>
  <c r="I69" i="29"/>
  <c r="I72" i="29" s="1"/>
  <c r="I73" i="29" s="1"/>
  <c r="J73" i="29" s="1"/>
  <c r="K73" i="29" s="1"/>
  <c r="L73" i="29" s="1"/>
  <c r="I68" i="29"/>
  <c r="I71" i="29"/>
  <c r="I114" i="29" s="1"/>
  <c r="I115" i="29" s="1"/>
  <c r="I109" i="29"/>
  <c r="I67" i="29"/>
  <c r="I5" i="29" s="1"/>
  <c r="N50" i="29"/>
  <c r="N16" i="29"/>
  <c r="N17" i="29"/>
  <c r="J129" i="29"/>
  <c r="J132" i="29"/>
  <c r="J135" i="29"/>
  <c r="J62" i="29"/>
  <c r="J60" i="29" s="1"/>
  <c r="I102" i="29"/>
  <c r="I103" i="29"/>
  <c r="J103" i="29" s="1"/>
  <c r="K103" i="29" s="1"/>
  <c r="M41" i="23"/>
  <c r="N34" i="23"/>
  <c r="N37" i="23" s="1"/>
  <c r="N40" i="23" s="1"/>
  <c r="I76" i="23"/>
  <c r="I77" i="23" s="1"/>
  <c r="J76" i="18"/>
  <c r="I10" i="18"/>
  <c r="M36" i="18"/>
  <c r="M38" i="18" s="1"/>
  <c r="M46" i="18" s="1"/>
  <c r="M41" i="18"/>
  <c r="I69" i="34"/>
  <c r="I72" i="34" s="1"/>
  <c r="I73" i="34" s="1"/>
  <c r="I67" i="34"/>
  <c r="I5" i="34" s="1"/>
  <c r="I71" i="34"/>
  <c r="I114" i="34" s="1"/>
  <c r="I115" i="34" s="1"/>
  <c r="I68" i="34"/>
  <c r="I70" i="34" s="1"/>
  <c r="I78" i="34" s="1"/>
  <c r="I76" i="34" s="1"/>
  <c r="K109" i="34"/>
  <c r="K112" i="34" s="1"/>
  <c r="K116" i="34" s="1"/>
  <c r="K71" i="34"/>
  <c r="K69" i="34"/>
  <c r="K72" i="34" s="1"/>
  <c r="K68" i="34"/>
  <c r="I89" i="34"/>
  <c r="I90" i="34" s="1"/>
  <c r="I83" i="34"/>
  <c r="I93" i="34" s="1"/>
  <c r="I91" i="34" s="1"/>
  <c r="M127" i="34"/>
  <c r="M133" i="34"/>
  <c r="M130" i="34"/>
  <c r="M56" i="34"/>
  <c r="G119" i="34"/>
  <c r="H74" i="34"/>
  <c r="L38" i="34"/>
  <c r="L46" i="34" s="1"/>
  <c r="L44" i="34" s="1"/>
  <c r="L42" i="34"/>
  <c r="I102" i="34"/>
  <c r="I103" i="34"/>
  <c r="J103" i="34" s="1"/>
  <c r="J81" i="34"/>
  <c r="K27" i="34"/>
  <c r="M19" i="34"/>
  <c r="M36" i="34" s="1"/>
  <c r="M18" i="34"/>
  <c r="L54" i="34"/>
  <c r="L58" i="34"/>
  <c r="I87" i="34"/>
  <c r="I100" i="34"/>
  <c r="K44" i="34"/>
  <c r="N17" i="34"/>
  <c r="N16" i="34"/>
  <c r="N50" i="34"/>
  <c r="K97" i="34"/>
  <c r="K101" i="34" s="1"/>
  <c r="K99" i="34"/>
  <c r="H76" i="34"/>
  <c r="I85" i="34"/>
  <c r="H121" i="34"/>
  <c r="I110" i="34"/>
  <c r="R15" i="39" s="1"/>
  <c r="K84" i="34"/>
  <c r="K82" i="34"/>
  <c r="K86" i="34" s="1"/>
  <c r="K88" i="34" s="1"/>
  <c r="I61" i="34"/>
  <c r="I117" i="34"/>
  <c r="G118" i="34"/>
  <c r="H118" i="34" s="1"/>
  <c r="I118" i="34" s="1"/>
  <c r="J109" i="34"/>
  <c r="J112" i="34" s="1"/>
  <c r="J116" i="34" s="1"/>
  <c r="J69" i="34"/>
  <c r="J72" i="34" s="1"/>
  <c r="J71" i="34"/>
  <c r="J114" i="34" s="1"/>
  <c r="J68" i="34"/>
  <c r="J96" i="34"/>
  <c r="K30" i="34"/>
  <c r="N34" i="34"/>
  <c r="L28" i="34"/>
  <c r="L25" i="34"/>
  <c r="L79" i="34" s="1"/>
  <c r="L21" i="34"/>
  <c r="L23" i="34" s="1"/>
  <c r="L66" i="34" s="1"/>
  <c r="J60" i="34"/>
  <c r="K132" i="34"/>
  <c r="K129" i="34"/>
  <c r="K135" i="34"/>
  <c r="K62" i="34"/>
  <c r="K60" i="34" s="1"/>
  <c r="I98" i="34"/>
  <c r="I108" i="34" s="1"/>
  <c r="I106" i="34" s="1"/>
  <c r="I104" i="34"/>
  <c r="I105" i="34" s="1"/>
  <c r="L103" i="31"/>
  <c r="L114" i="31"/>
  <c r="M109" i="31"/>
  <c r="M71" i="31"/>
  <c r="M69" i="31"/>
  <c r="M72" i="31" s="1"/>
  <c r="M73" i="31" s="1"/>
  <c r="M68" i="31"/>
  <c r="J83" i="31"/>
  <c r="J93" i="31" s="1"/>
  <c r="J91" i="31" s="1"/>
  <c r="J89" i="31"/>
  <c r="L70" i="31"/>
  <c r="L78" i="31" s="1"/>
  <c r="N21" i="31"/>
  <c r="N22" i="31" s="1"/>
  <c r="N20" i="31"/>
  <c r="J111" i="31"/>
  <c r="J113" i="31" s="1"/>
  <c r="J123" i="31" s="1"/>
  <c r="J121" i="31" s="1"/>
  <c r="N28" i="31"/>
  <c r="N25" i="31"/>
  <c r="I90" i="31"/>
  <c r="K70" i="31"/>
  <c r="K78" i="31" s="1"/>
  <c r="K76" i="31" s="1"/>
  <c r="J98" i="31"/>
  <c r="J108" i="31" s="1"/>
  <c r="J106" i="31" s="1"/>
  <c r="J104" i="31"/>
  <c r="N52" i="31"/>
  <c r="I122" i="31"/>
  <c r="M37" i="31"/>
  <c r="M40" i="31" s="1"/>
  <c r="M41" i="31" s="1"/>
  <c r="M36" i="31"/>
  <c r="I92" i="31"/>
  <c r="N36" i="31"/>
  <c r="H119" i="31"/>
  <c r="I74" i="31"/>
  <c r="M84" i="31"/>
  <c r="M82" i="31"/>
  <c r="M86" i="31" s="1"/>
  <c r="L42" i="31"/>
  <c r="L38" i="31"/>
  <c r="L46" i="31" s="1"/>
  <c r="L44" i="31" s="1"/>
  <c r="N127" i="31"/>
  <c r="N128" i="31" s="1"/>
  <c r="N133" i="31"/>
  <c r="N134" i="31" s="1"/>
  <c r="N130" i="31"/>
  <c r="N131" i="31" s="1"/>
  <c r="N56" i="31"/>
  <c r="N57" i="31" s="1"/>
  <c r="M97" i="31"/>
  <c r="M101" i="31" s="1"/>
  <c r="M99" i="31"/>
  <c r="L132" i="31"/>
  <c r="L129" i="31"/>
  <c r="L135" i="31"/>
  <c r="L62" i="31"/>
  <c r="L60" i="31" s="1"/>
  <c r="J118" i="31"/>
  <c r="K118" i="31" s="1"/>
  <c r="L118" i="31" s="1"/>
  <c r="L88" i="31"/>
  <c r="K81" i="31"/>
  <c r="L27" i="31"/>
  <c r="N37" i="31"/>
  <c r="N40" i="31" s="1"/>
  <c r="N35" i="31"/>
  <c r="K96" i="31"/>
  <c r="L30" i="31"/>
  <c r="I105" i="31"/>
  <c r="M135" i="31"/>
  <c r="M129" i="31"/>
  <c r="M132" i="31"/>
  <c r="M62" i="31"/>
  <c r="J112" i="29"/>
  <c r="J116" i="29" s="1"/>
  <c r="I92" i="29"/>
  <c r="M37" i="29"/>
  <c r="M40" i="29" s="1"/>
  <c r="M41" i="29" s="1"/>
  <c r="J70" i="29"/>
  <c r="J78" i="29" s="1"/>
  <c r="K69" i="23"/>
  <c r="K72" i="23" s="1"/>
  <c r="K71" i="23"/>
  <c r="K68" i="23"/>
  <c r="I117" i="23"/>
  <c r="H118" i="23"/>
  <c r="I118" i="23" s="1"/>
  <c r="J82" i="23"/>
  <c r="J86" i="23" s="1"/>
  <c r="J88" i="23" s="1"/>
  <c r="J84" i="23"/>
  <c r="L25" i="23"/>
  <c r="L79" i="23" s="1"/>
  <c r="L28" i="23"/>
  <c r="L94" i="23" s="1"/>
  <c r="M127" i="23"/>
  <c r="M133" i="23"/>
  <c r="M130" i="23"/>
  <c r="M56" i="23"/>
  <c r="I98" i="23"/>
  <c r="I108" i="23" s="1"/>
  <c r="I106" i="23" s="1"/>
  <c r="I104" i="23"/>
  <c r="I105" i="23" s="1"/>
  <c r="N17" i="23"/>
  <c r="N16" i="23"/>
  <c r="N50" i="23"/>
  <c r="K82" i="23"/>
  <c r="K86" i="23" s="1"/>
  <c r="K84" i="23"/>
  <c r="J81" i="23"/>
  <c r="K27" i="23"/>
  <c r="K94" i="23"/>
  <c r="M18" i="23"/>
  <c r="M19" i="23"/>
  <c r="M52" i="23" s="1"/>
  <c r="I83" i="23"/>
  <c r="I93" i="23" s="1"/>
  <c r="I91" i="23" s="1"/>
  <c r="I89" i="23"/>
  <c r="H119" i="23"/>
  <c r="I111" i="23"/>
  <c r="I113" i="23" s="1"/>
  <c r="I123" i="23" s="1"/>
  <c r="I121" i="23" s="1"/>
  <c r="I122" i="23" s="1"/>
  <c r="I103" i="23"/>
  <c r="J103" i="23" s="1"/>
  <c r="I102" i="23"/>
  <c r="J109" i="23"/>
  <c r="J69" i="23"/>
  <c r="J72" i="23" s="1"/>
  <c r="J73" i="23" s="1"/>
  <c r="J71" i="23"/>
  <c r="J68" i="23"/>
  <c r="J96" i="23"/>
  <c r="K30" i="23"/>
  <c r="I100" i="23"/>
  <c r="K54" i="23"/>
  <c r="K58" i="23"/>
  <c r="N51" i="18"/>
  <c r="I74" i="18"/>
  <c r="I75" i="18" s="1"/>
  <c r="I121" i="18"/>
  <c r="I122" i="18" s="1"/>
  <c r="K132" i="18"/>
  <c r="K135" i="18"/>
  <c r="K129" i="18"/>
  <c r="K62" i="18"/>
  <c r="K60" i="18" s="1"/>
  <c r="M127" i="18"/>
  <c r="M130" i="18"/>
  <c r="M133" i="18"/>
  <c r="M56" i="18"/>
  <c r="M57" i="18" s="1"/>
  <c r="M52" i="18"/>
  <c r="K103" i="18"/>
  <c r="J83" i="18"/>
  <c r="J93" i="18" s="1"/>
  <c r="J91" i="18" s="1"/>
  <c r="J89" i="18"/>
  <c r="I105" i="18"/>
  <c r="K69" i="18"/>
  <c r="K72" i="18" s="1"/>
  <c r="K73" i="18" s="1"/>
  <c r="K71" i="18"/>
  <c r="K109" i="18"/>
  <c r="K68" i="18"/>
  <c r="K82" i="18"/>
  <c r="K86" i="18" s="1"/>
  <c r="K84" i="18"/>
  <c r="L58" i="18"/>
  <c r="L54" i="18"/>
  <c r="N37" i="18"/>
  <c r="N40" i="18" s="1"/>
  <c r="N35" i="18"/>
  <c r="N127" i="18"/>
  <c r="N130" i="18"/>
  <c r="N133" i="18"/>
  <c r="N56" i="18"/>
  <c r="L42" i="18"/>
  <c r="L38" i="18"/>
  <c r="L46" i="18" s="1"/>
  <c r="L44" i="18" s="1"/>
  <c r="L97" i="18"/>
  <c r="L101" i="18" s="1"/>
  <c r="L99" i="18"/>
  <c r="N19" i="18"/>
  <c r="N52" i="18" s="1"/>
  <c r="N18" i="18"/>
  <c r="M21" i="18"/>
  <c r="M23" i="18" s="1"/>
  <c r="M66" i="18" s="1"/>
  <c r="L82" i="18"/>
  <c r="L86" i="18" s="1"/>
  <c r="L84" i="18"/>
  <c r="L109" i="18"/>
  <c r="L112" i="18" s="1"/>
  <c r="L116" i="18" s="1"/>
  <c r="L69" i="18"/>
  <c r="L72" i="18" s="1"/>
  <c r="L71" i="18"/>
  <c r="L68" i="18"/>
  <c r="J98" i="18"/>
  <c r="J108" i="18" s="1"/>
  <c r="J106" i="18" s="1"/>
  <c r="J104" i="18"/>
  <c r="K81" i="18"/>
  <c r="L27" i="18"/>
  <c r="M28" i="18"/>
  <c r="M94" i="18" s="1"/>
  <c r="M25" i="18"/>
  <c r="M79" i="18" s="1"/>
  <c r="I76" i="18"/>
  <c r="J111" i="18"/>
  <c r="J113" i="18" s="1"/>
  <c r="J123" i="18" s="1"/>
  <c r="J121" i="18" s="1"/>
  <c r="J91" i="36"/>
  <c r="K83" i="36"/>
  <c r="K93" i="36" s="1"/>
  <c r="K91" i="36" s="1"/>
  <c r="J89" i="36"/>
  <c r="I90" i="36"/>
  <c r="K84" i="36"/>
  <c r="K109" i="36"/>
  <c r="K112" i="36" s="1"/>
  <c r="K116" i="36" s="1"/>
  <c r="K82" i="36"/>
  <c r="K86" i="36" s="1"/>
  <c r="K88" i="36" s="1"/>
  <c r="L27" i="36"/>
  <c r="L81" i="36" s="1"/>
  <c r="L79" i="36"/>
  <c r="M28" i="36"/>
  <c r="M94" i="36" s="1"/>
  <c r="M25" i="36"/>
  <c r="I110" i="36"/>
  <c r="I118" i="36"/>
  <c r="I117" i="36"/>
  <c r="I122" i="36"/>
  <c r="I77" i="36"/>
  <c r="M52" i="36"/>
  <c r="M54" i="36" s="1"/>
  <c r="M36" i="36"/>
  <c r="M38" i="36" s="1"/>
  <c r="M46" i="36" s="1"/>
  <c r="L42" i="36"/>
  <c r="L38" i="36"/>
  <c r="L46" i="36" s="1"/>
  <c r="L44" i="36" s="1"/>
  <c r="L30" i="36"/>
  <c r="L96" i="36" s="1"/>
  <c r="N37" i="36"/>
  <c r="N40" i="36" s="1"/>
  <c r="N41" i="36" s="1"/>
  <c r="H74" i="36"/>
  <c r="H119" i="36" s="1"/>
  <c r="L97" i="36"/>
  <c r="L101" i="36" s="1"/>
  <c r="L103" i="36" s="1"/>
  <c r="L99" i="36"/>
  <c r="N19" i="36"/>
  <c r="N20" i="36" s="1"/>
  <c r="N18" i="36"/>
  <c r="L58" i="36"/>
  <c r="L54" i="36"/>
  <c r="J112" i="36"/>
  <c r="J116" i="36" s="1"/>
  <c r="K71" i="36"/>
  <c r="K69" i="36"/>
  <c r="K72" i="36" s="1"/>
  <c r="K73" i="36" s="1"/>
  <c r="K68" i="36"/>
  <c r="K111" i="36" s="1"/>
  <c r="J98" i="36"/>
  <c r="J108" i="36" s="1"/>
  <c r="J106" i="36" s="1"/>
  <c r="J104" i="36"/>
  <c r="N53" i="36"/>
  <c r="K132" i="36"/>
  <c r="K135" i="36"/>
  <c r="K129" i="36"/>
  <c r="K62" i="36"/>
  <c r="K60" i="36" s="1"/>
  <c r="M21" i="36"/>
  <c r="M23" i="36" s="1"/>
  <c r="M66" i="36" s="1"/>
  <c r="J70" i="36"/>
  <c r="J78" i="36" s="1"/>
  <c r="J76" i="36" s="1"/>
  <c r="J113" i="36"/>
  <c r="J123" i="36" s="1"/>
  <c r="J121" i="36" s="1"/>
  <c r="M41" i="19"/>
  <c r="M40" i="19"/>
  <c r="J39" i="13"/>
  <c r="J40" i="13"/>
  <c r="K37" i="13"/>
  <c r="I34" i="13"/>
  <c r="J31" i="13"/>
  <c r="H35" i="13"/>
  <c r="K25" i="13"/>
  <c r="J27" i="13"/>
  <c r="J28" i="13"/>
  <c r="J22" i="13"/>
  <c r="J21" i="13"/>
  <c r="K19" i="13"/>
  <c r="J13" i="13"/>
  <c r="I15" i="13"/>
  <c r="I16" i="13"/>
  <c r="I10" i="23" l="1"/>
  <c r="H15" i="39"/>
  <c r="M52" i="34"/>
  <c r="M58" i="34" s="1"/>
  <c r="I111" i="34"/>
  <c r="I113" i="34" s="1"/>
  <c r="I123" i="34" s="1"/>
  <c r="I121" i="34" s="1"/>
  <c r="I122" i="34" s="1"/>
  <c r="K111" i="31"/>
  <c r="K113" i="31" s="1"/>
  <c r="K123" i="31" s="1"/>
  <c r="K121" i="31" s="1"/>
  <c r="M88" i="31"/>
  <c r="M103" i="31"/>
  <c r="J14" i="39"/>
  <c r="L21" i="23"/>
  <c r="L23" i="23" s="1"/>
  <c r="L66" i="23" s="1"/>
  <c r="L71" i="23" s="1"/>
  <c r="M57" i="29"/>
  <c r="L42" i="23"/>
  <c r="M57" i="34"/>
  <c r="L30" i="18"/>
  <c r="M30" i="18" s="1"/>
  <c r="K27" i="29"/>
  <c r="K81" i="29" s="1"/>
  <c r="K83" i="29" s="1"/>
  <c r="K93" i="29" s="1"/>
  <c r="K91" i="29" s="1"/>
  <c r="I10" i="34"/>
  <c r="N41" i="31"/>
  <c r="J118" i="34"/>
  <c r="K118" i="34" s="1"/>
  <c r="L57" i="25"/>
  <c r="M57" i="23"/>
  <c r="J74" i="25"/>
  <c r="K114" i="29"/>
  <c r="J114" i="25"/>
  <c r="J70" i="25"/>
  <c r="J78" i="25" s="1"/>
  <c r="J76" i="25" s="1"/>
  <c r="H119" i="25"/>
  <c r="I119" i="18"/>
  <c r="I120" i="18" s="1"/>
  <c r="I102" i="27"/>
  <c r="I103" i="27"/>
  <c r="J103" i="27" s="1"/>
  <c r="L21" i="27"/>
  <c r="L23" i="27" s="1"/>
  <c r="L66" i="27" s="1"/>
  <c r="L52" i="27"/>
  <c r="L36" i="27"/>
  <c r="J114" i="27"/>
  <c r="J70" i="27"/>
  <c r="J78" i="27" s="1"/>
  <c r="K71" i="27"/>
  <c r="K69" i="27"/>
  <c r="K72" i="27" s="1"/>
  <c r="K68" i="27"/>
  <c r="K109" i="27"/>
  <c r="K112" i="27" s="1"/>
  <c r="K116" i="27" s="1"/>
  <c r="I68" i="27"/>
  <c r="I111" i="27" s="1"/>
  <c r="I113" i="27" s="1"/>
  <c r="I123" i="27" s="1"/>
  <c r="I121" i="27" s="1"/>
  <c r="I122" i="27" s="1"/>
  <c r="I67" i="27"/>
  <c r="I5" i="27" s="1"/>
  <c r="I69" i="27"/>
  <c r="I72" i="27" s="1"/>
  <c r="I73" i="27" s="1"/>
  <c r="J73" i="27" s="1"/>
  <c r="I109" i="27"/>
  <c r="I71" i="27"/>
  <c r="I114" i="27" s="1"/>
  <c r="I115" i="27" s="1"/>
  <c r="J60" i="27"/>
  <c r="K54" i="27"/>
  <c r="K58" i="27"/>
  <c r="K82" i="27"/>
  <c r="K86" i="27" s="1"/>
  <c r="K84" i="27"/>
  <c r="K44" i="27"/>
  <c r="M19" i="27"/>
  <c r="M18" i="27"/>
  <c r="K99" i="27"/>
  <c r="K97" i="27"/>
  <c r="K101" i="27" s="1"/>
  <c r="N5" i="27"/>
  <c r="M37" i="27"/>
  <c r="M40" i="27" s="1"/>
  <c r="M41" i="27" s="1"/>
  <c r="M127" i="27"/>
  <c r="M56" i="27"/>
  <c r="M57" i="27" s="1"/>
  <c r="M133" i="27"/>
  <c r="M130" i="27"/>
  <c r="N7" i="27"/>
  <c r="L25" i="27"/>
  <c r="L79" i="27" s="1"/>
  <c r="L84" i="27" s="1"/>
  <c r="L28" i="27"/>
  <c r="L94" i="27" s="1"/>
  <c r="L99" i="27" s="1"/>
  <c r="K42" i="27"/>
  <c r="N34" i="27"/>
  <c r="N37" i="27" s="1"/>
  <c r="N40" i="27" s="1"/>
  <c r="N17" i="27"/>
  <c r="N16" i="27"/>
  <c r="N50" i="27"/>
  <c r="I88" i="27"/>
  <c r="J88" i="27" s="1"/>
  <c r="I87" i="27"/>
  <c r="N9" i="27"/>
  <c r="M133" i="25"/>
  <c r="M127" i="25"/>
  <c r="M56" i="25"/>
  <c r="L58" i="23"/>
  <c r="M58" i="23" s="1"/>
  <c r="K88" i="29"/>
  <c r="K97" i="25"/>
  <c r="K101" i="25" s="1"/>
  <c r="I104" i="29"/>
  <c r="I105" i="29" s="1"/>
  <c r="I98" i="29"/>
  <c r="I108" i="29" s="1"/>
  <c r="I106" i="29" s="1"/>
  <c r="I107" i="29" s="1"/>
  <c r="J96" i="29"/>
  <c r="K30" i="29"/>
  <c r="K96" i="29" s="1"/>
  <c r="N134" i="18"/>
  <c r="J74" i="18"/>
  <c r="K74" i="18" s="1"/>
  <c r="I119" i="23"/>
  <c r="I120" i="23" s="1"/>
  <c r="K109" i="25"/>
  <c r="K112" i="25" s="1"/>
  <c r="K116" i="25" s="1"/>
  <c r="J81" i="27"/>
  <c r="K27" i="27"/>
  <c r="N41" i="23"/>
  <c r="I83" i="27"/>
  <c r="I93" i="27" s="1"/>
  <c r="I91" i="27" s="1"/>
  <c r="I92" i="27" s="1"/>
  <c r="I89" i="27"/>
  <c r="I98" i="27"/>
  <c r="I108" i="27" s="1"/>
  <c r="I106" i="27" s="1"/>
  <c r="I107" i="27" s="1"/>
  <c r="I104" i="27"/>
  <c r="I105" i="27" s="1"/>
  <c r="J96" i="27"/>
  <c r="K30" i="27"/>
  <c r="H119" i="27"/>
  <c r="I114" i="25"/>
  <c r="I115" i="25" s="1"/>
  <c r="I85" i="25"/>
  <c r="N37" i="25"/>
  <c r="N40" i="25" s="1"/>
  <c r="N41" i="25" s="1"/>
  <c r="L42" i="29"/>
  <c r="L28" i="25"/>
  <c r="L94" i="25" s="1"/>
  <c r="L25" i="25"/>
  <c r="L79" i="25" s="1"/>
  <c r="N35" i="23"/>
  <c r="L21" i="25"/>
  <c r="L23" i="25" s="1"/>
  <c r="L66" i="25" s="1"/>
  <c r="L36" i="25"/>
  <c r="N7" i="25"/>
  <c r="I104" i="25"/>
  <c r="I105" i="25" s="1"/>
  <c r="I98" i="25"/>
  <c r="I108" i="25" s="1"/>
  <c r="I106" i="25" s="1"/>
  <c r="I107" i="25" s="1"/>
  <c r="N41" i="18"/>
  <c r="H119" i="29"/>
  <c r="I89" i="29"/>
  <c r="N17" i="25"/>
  <c r="N16" i="25"/>
  <c r="N50" i="25"/>
  <c r="N9" i="25"/>
  <c r="K82" i="25"/>
  <c r="K86" i="25" s="1"/>
  <c r="K84" i="25"/>
  <c r="I76" i="25"/>
  <c r="I77" i="25" s="1"/>
  <c r="K42" i="25"/>
  <c r="K38" i="25"/>
  <c r="K46" i="25" s="1"/>
  <c r="K44" i="25" s="1"/>
  <c r="I112" i="25"/>
  <c r="I116" i="25" s="1"/>
  <c r="I110" i="25"/>
  <c r="J15" i="39" s="1"/>
  <c r="J81" i="25"/>
  <c r="K27" i="25"/>
  <c r="K54" i="25"/>
  <c r="K58" i="25"/>
  <c r="L58" i="25" s="1"/>
  <c r="I89" i="25"/>
  <c r="I83" i="25"/>
  <c r="I93" i="25" s="1"/>
  <c r="I91" i="25" s="1"/>
  <c r="I92" i="25" s="1"/>
  <c r="I111" i="25"/>
  <c r="I113" i="25" s="1"/>
  <c r="I123" i="25" s="1"/>
  <c r="I121" i="25" s="1"/>
  <c r="I122" i="25" s="1"/>
  <c r="I103" i="25"/>
  <c r="J103" i="25" s="1"/>
  <c r="I102" i="25"/>
  <c r="N5" i="25"/>
  <c r="I88" i="25"/>
  <c r="J88" i="25" s="1"/>
  <c r="I87" i="25"/>
  <c r="M19" i="25"/>
  <c r="M18" i="25"/>
  <c r="J60" i="25"/>
  <c r="K69" i="25"/>
  <c r="K72" i="25" s="1"/>
  <c r="K73" i="25" s="1"/>
  <c r="K71" i="25"/>
  <c r="K68" i="25"/>
  <c r="K70" i="25" s="1"/>
  <c r="K78" i="25" s="1"/>
  <c r="J96" i="25"/>
  <c r="K30" i="25"/>
  <c r="N19" i="29"/>
  <c r="N21" i="29" s="1"/>
  <c r="N18" i="29"/>
  <c r="M52" i="29"/>
  <c r="M21" i="29"/>
  <c r="M23" i="29" s="1"/>
  <c r="M66" i="29" s="1"/>
  <c r="L84" i="29"/>
  <c r="L82" i="29"/>
  <c r="L86" i="29" s="1"/>
  <c r="L109" i="29"/>
  <c r="L112" i="29" s="1"/>
  <c r="L116" i="29" s="1"/>
  <c r="I112" i="29"/>
  <c r="I116" i="29" s="1"/>
  <c r="I110" i="29"/>
  <c r="N15" i="39" s="1"/>
  <c r="M25" i="29"/>
  <c r="M79" i="29" s="1"/>
  <c r="M84" i="29" s="1"/>
  <c r="M28" i="29"/>
  <c r="M94" i="29" s="1"/>
  <c r="L97" i="29"/>
  <c r="L101" i="29" s="1"/>
  <c r="L103" i="29" s="1"/>
  <c r="L99" i="29"/>
  <c r="N41" i="29"/>
  <c r="I70" i="29"/>
  <c r="I78" i="29" s="1"/>
  <c r="I76" i="29" s="1"/>
  <c r="I77" i="29" s="1"/>
  <c r="I74" i="29"/>
  <c r="I111" i="29"/>
  <c r="I113" i="29" s="1"/>
  <c r="I123" i="29" s="1"/>
  <c r="I121" i="29" s="1"/>
  <c r="I122" i="29" s="1"/>
  <c r="K62" i="29"/>
  <c r="K60" i="29" s="1"/>
  <c r="K132" i="29"/>
  <c r="K135" i="29"/>
  <c r="K129" i="29"/>
  <c r="M36" i="29"/>
  <c r="L58" i="29"/>
  <c r="L54" i="29"/>
  <c r="N53" i="29"/>
  <c r="N51" i="29"/>
  <c r="N35" i="29"/>
  <c r="M36" i="23"/>
  <c r="M38" i="23" s="1"/>
  <c r="M46" i="23" s="1"/>
  <c r="M44" i="23" s="1"/>
  <c r="K73" i="23"/>
  <c r="M42" i="18"/>
  <c r="J73" i="34"/>
  <c r="K73" i="34" s="1"/>
  <c r="K103" i="34"/>
  <c r="M42" i="34"/>
  <c r="M38" i="34"/>
  <c r="M46" i="34" s="1"/>
  <c r="M44" i="34" s="1"/>
  <c r="N53" i="34"/>
  <c r="N51" i="34"/>
  <c r="L132" i="34"/>
  <c r="L135" i="34"/>
  <c r="L129" i="34"/>
  <c r="L62" i="34"/>
  <c r="L60" i="34" s="1"/>
  <c r="I77" i="34"/>
  <c r="K70" i="34"/>
  <c r="K78" i="34" s="1"/>
  <c r="L84" i="34"/>
  <c r="L82" i="34"/>
  <c r="L86" i="34" s="1"/>
  <c r="L88" i="34" s="1"/>
  <c r="J111" i="34"/>
  <c r="J113" i="34" s="1"/>
  <c r="J123" i="34" s="1"/>
  <c r="J121" i="34" s="1"/>
  <c r="J70" i="34"/>
  <c r="J78" i="34" s="1"/>
  <c r="J76" i="34" s="1"/>
  <c r="I107" i="34"/>
  <c r="K81" i="34"/>
  <c r="L27" i="34"/>
  <c r="L94" i="34"/>
  <c r="N37" i="34"/>
  <c r="N40" i="34" s="1"/>
  <c r="N41" i="34" s="1"/>
  <c r="N35" i="34"/>
  <c r="N19" i="34"/>
  <c r="N36" i="34" s="1"/>
  <c r="N18" i="34"/>
  <c r="J89" i="34"/>
  <c r="J83" i="34"/>
  <c r="J93" i="34" s="1"/>
  <c r="J91" i="34" s="1"/>
  <c r="K114" i="34"/>
  <c r="K96" i="34"/>
  <c r="L30" i="34"/>
  <c r="I92" i="34"/>
  <c r="J98" i="34"/>
  <c r="J108" i="34" s="1"/>
  <c r="J106" i="34" s="1"/>
  <c r="J104" i="34"/>
  <c r="M28" i="34"/>
  <c r="M94" i="34" s="1"/>
  <c r="M25" i="34"/>
  <c r="M79" i="34" s="1"/>
  <c r="M21" i="34"/>
  <c r="M23" i="34" s="1"/>
  <c r="M66" i="34" s="1"/>
  <c r="L71" i="34"/>
  <c r="L69" i="34"/>
  <c r="L72" i="34" s="1"/>
  <c r="L68" i="34"/>
  <c r="H119" i="34"/>
  <c r="I74" i="34"/>
  <c r="I119" i="34" s="1"/>
  <c r="L96" i="31"/>
  <c r="M30" i="31"/>
  <c r="I75" i="31"/>
  <c r="N79" i="31"/>
  <c r="N26" i="31"/>
  <c r="P17" i="39" s="1"/>
  <c r="M112" i="31"/>
  <c r="M116" i="31" s="1"/>
  <c r="M118" i="31" s="1"/>
  <c r="K98" i="31"/>
  <c r="K108" i="31" s="1"/>
  <c r="K106" i="31" s="1"/>
  <c r="K104" i="31"/>
  <c r="N94" i="31"/>
  <c r="N29" i="31"/>
  <c r="P18" i="39" s="1"/>
  <c r="I119" i="31"/>
  <c r="I120" i="31" s="1"/>
  <c r="J74" i="31"/>
  <c r="N54" i="31"/>
  <c r="N58" i="31"/>
  <c r="N59" i="31" s="1"/>
  <c r="N38" i="31"/>
  <c r="N46" i="31" s="1"/>
  <c r="M42" i="31"/>
  <c r="N42" i="31" s="1"/>
  <c r="N43" i="31" s="1"/>
  <c r="M38" i="31"/>
  <c r="M46" i="31" s="1"/>
  <c r="M44" i="31" s="1"/>
  <c r="L81" i="31"/>
  <c r="M27" i="31"/>
  <c r="K89" i="31"/>
  <c r="K83" i="31"/>
  <c r="K93" i="31" s="1"/>
  <c r="K91" i="31" s="1"/>
  <c r="N23" i="31"/>
  <c r="M70" i="31"/>
  <c r="M78" i="31" s="1"/>
  <c r="M76" i="31" s="1"/>
  <c r="L76" i="31"/>
  <c r="M60" i="31"/>
  <c r="M114" i="31"/>
  <c r="K76" i="29"/>
  <c r="L132" i="25"/>
  <c r="L135" i="25"/>
  <c r="L129" i="25"/>
  <c r="L62" i="25"/>
  <c r="K88" i="23"/>
  <c r="M54" i="23"/>
  <c r="K99" i="23"/>
  <c r="K114" i="23" s="1"/>
  <c r="K97" i="23"/>
  <c r="K101" i="23" s="1"/>
  <c r="K103" i="23" s="1"/>
  <c r="K81" i="23"/>
  <c r="L27" i="23"/>
  <c r="J111" i="23"/>
  <c r="J113" i="23" s="1"/>
  <c r="J123" i="23" s="1"/>
  <c r="J121" i="23" s="1"/>
  <c r="J74" i="23"/>
  <c r="K74" i="23" s="1"/>
  <c r="J70" i="23"/>
  <c r="J78" i="23" s="1"/>
  <c r="J76" i="23" s="1"/>
  <c r="J89" i="23"/>
  <c r="J83" i="23"/>
  <c r="J93" i="23" s="1"/>
  <c r="J91" i="23" s="1"/>
  <c r="K109" i="23"/>
  <c r="K112" i="23" s="1"/>
  <c r="K116" i="23" s="1"/>
  <c r="J114" i="23"/>
  <c r="M25" i="23"/>
  <c r="M79" i="23" s="1"/>
  <c r="M28" i="23"/>
  <c r="L132" i="23"/>
  <c r="L129" i="23"/>
  <c r="L135" i="23"/>
  <c r="L62" i="23"/>
  <c r="K132" i="23"/>
  <c r="K135" i="23"/>
  <c r="K129" i="23"/>
  <c r="K62" i="23"/>
  <c r="K60" i="23" s="1"/>
  <c r="N53" i="23"/>
  <c r="N51" i="23"/>
  <c r="L99" i="23"/>
  <c r="L97" i="23"/>
  <c r="L101" i="23" s="1"/>
  <c r="I107" i="23"/>
  <c r="J112" i="23"/>
  <c r="J116" i="23" s="1"/>
  <c r="J118" i="23" s="1"/>
  <c r="K96" i="23"/>
  <c r="L30" i="23"/>
  <c r="I90" i="23"/>
  <c r="I92" i="23"/>
  <c r="L84" i="23"/>
  <c r="L82" i="23"/>
  <c r="L86" i="23" s="1"/>
  <c r="J104" i="23"/>
  <c r="J98" i="23"/>
  <c r="J108" i="23" s="1"/>
  <c r="J106" i="23" s="1"/>
  <c r="N19" i="23"/>
  <c r="N36" i="23" s="1"/>
  <c r="N18" i="23"/>
  <c r="K70" i="23"/>
  <c r="K78" i="23" s="1"/>
  <c r="M21" i="23"/>
  <c r="M23" i="23" s="1"/>
  <c r="M66" i="23" s="1"/>
  <c r="M44" i="18"/>
  <c r="K114" i="18"/>
  <c r="L103" i="18"/>
  <c r="N131" i="18"/>
  <c r="L73" i="18"/>
  <c r="N128" i="18"/>
  <c r="M109" i="18"/>
  <c r="M112" i="18" s="1"/>
  <c r="M116" i="18" s="1"/>
  <c r="M71" i="18"/>
  <c r="M69" i="18"/>
  <c r="M72" i="18" s="1"/>
  <c r="M68" i="18"/>
  <c r="K83" i="18"/>
  <c r="K93" i="18" s="1"/>
  <c r="K91" i="18" s="1"/>
  <c r="K89" i="18"/>
  <c r="K98" i="18"/>
  <c r="K108" i="18" s="1"/>
  <c r="K106" i="18" s="1"/>
  <c r="K104" i="18"/>
  <c r="L132" i="18"/>
  <c r="L135" i="18"/>
  <c r="L129" i="18"/>
  <c r="L62" i="18"/>
  <c r="L60" i="18" s="1"/>
  <c r="M58" i="18"/>
  <c r="N58" i="18" s="1"/>
  <c r="N59" i="18" s="1"/>
  <c r="M54" i="18"/>
  <c r="M82" i="18"/>
  <c r="M86" i="18" s="1"/>
  <c r="M84" i="18"/>
  <c r="N25" i="18"/>
  <c r="N28" i="18"/>
  <c r="N57" i="18"/>
  <c r="M97" i="18"/>
  <c r="M101" i="18" s="1"/>
  <c r="M99" i="18"/>
  <c r="L70" i="18"/>
  <c r="L78" i="18" s="1"/>
  <c r="N21" i="18"/>
  <c r="N22" i="18" s="1"/>
  <c r="N20" i="18"/>
  <c r="L114" i="18"/>
  <c r="N54" i="18"/>
  <c r="L81" i="18"/>
  <c r="M27" i="18"/>
  <c r="N36" i="18"/>
  <c r="K88" i="18"/>
  <c r="L88" i="18" s="1"/>
  <c r="K111" i="18"/>
  <c r="K113" i="18" s="1"/>
  <c r="K123" i="18" s="1"/>
  <c r="K121" i="18" s="1"/>
  <c r="K70" i="18"/>
  <c r="K78" i="18" s="1"/>
  <c r="K76" i="18" s="1"/>
  <c r="I77" i="18"/>
  <c r="K112" i="18"/>
  <c r="K116" i="18" s="1"/>
  <c r="M58" i="36"/>
  <c r="M27" i="36"/>
  <c r="M81" i="36" s="1"/>
  <c r="M79" i="36"/>
  <c r="K89" i="36"/>
  <c r="K114" i="36"/>
  <c r="L83" i="36"/>
  <c r="L93" i="36" s="1"/>
  <c r="L91" i="36" s="1"/>
  <c r="L109" i="36"/>
  <c r="L84" i="36"/>
  <c r="L82" i="36"/>
  <c r="L86" i="36" s="1"/>
  <c r="L88" i="36" s="1"/>
  <c r="N28" i="36"/>
  <c r="N94" i="36" s="1"/>
  <c r="N95" i="36" s="1"/>
  <c r="N25" i="36"/>
  <c r="M42" i="36"/>
  <c r="J118" i="36"/>
  <c r="K118" i="36" s="1"/>
  <c r="M44" i="36"/>
  <c r="N7" i="36"/>
  <c r="N21" i="36"/>
  <c r="N22" i="36" s="1"/>
  <c r="I74" i="36"/>
  <c r="I119" i="36" s="1"/>
  <c r="N5" i="36"/>
  <c r="L129" i="36"/>
  <c r="L135" i="36"/>
  <c r="L132" i="36"/>
  <c r="L62" i="36"/>
  <c r="L60" i="36" s="1"/>
  <c r="N36" i="36"/>
  <c r="N52" i="36"/>
  <c r="M99" i="36"/>
  <c r="M97" i="36"/>
  <c r="M101" i="36" s="1"/>
  <c r="M103" i="36" s="1"/>
  <c r="K104" i="36"/>
  <c r="K98" i="36"/>
  <c r="K108" i="36" s="1"/>
  <c r="K106" i="36" s="1"/>
  <c r="N127" i="36"/>
  <c r="N128" i="36" s="1"/>
  <c r="N130" i="36"/>
  <c r="N131" i="36" s="1"/>
  <c r="N133" i="36"/>
  <c r="N134" i="36" s="1"/>
  <c r="N56" i="36"/>
  <c r="N57" i="36" s="1"/>
  <c r="K70" i="36"/>
  <c r="K78" i="36" s="1"/>
  <c r="K76" i="36" s="1"/>
  <c r="K113" i="36"/>
  <c r="K123" i="36" s="1"/>
  <c r="K121" i="36" s="1"/>
  <c r="L71" i="36"/>
  <c r="L69" i="36"/>
  <c r="L72" i="36" s="1"/>
  <c r="L73" i="36" s="1"/>
  <c r="L68" i="36"/>
  <c r="L111" i="36" s="1"/>
  <c r="N9" i="36"/>
  <c r="M30" i="36"/>
  <c r="M96" i="36" s="1"/>
  <c r="M135" i="36"/>
  <c r="M129" i="36"/>
  <c r="M132" i="36"/>
  <c r="M62" i="36"/>
  <c r="K40" i="13"/>
  <c r="K39" i="13"/>
  <c r="L37" i="13"/>
  <c r="J34" i="13"/>
  <c r="J33" i="13"/>
  <c r="K31" i="13"/>
  <c r="K28" i="13"/>
  <c r="K27" i="13"/>
  <c r="L25" i="13"/>
  <c r="L19" i="13"/>
  <c r="K22" i="13"/>
  <c r="K21" i="13"/>
  <c r="K13" i="13"/>
  <c r="J16" i="13"/>
  <c r="J15" i="13"/>
  <c r="M54" i="34" l="1"/>
  <c r="K76" i="34"/>
  <c r="L73" i="34"/>
  <c r="L109" i="23"/>
  <c r="L112" i="23" s="1"/>
  <c r="L116" i="23" s="1"/>
  <c r="L96" i="18"/>
  <c r="L104" i="18" s="1"/>
  <c r="L69" i="23"/>
  <c r="L72" i="23" s="1"/>
  <c r="L73" i="23" s="1"/>
  <c r="L68" i="23"/>
  <c r="L74" i="23" s="1"/>
  <c r="N20" i="29"/>
  <c r="K111" i="29"/>
  <c r="K113" i="29" s="1"/>
  <c r="K123" i="29" s="1"/>
  <c r="L27" i="29"/>
  <c r="L81" i="29" s="1"/>
  <c r="L83" i="29" s="1"/>
  <c r="L93" i="29" s="1"/>
  <c r="L91" i="29" s="1"/>
  <c r="M57" i="25"/>
  <c r="K103" i="25"/>
  <c r="K88" i="27"/>
  <c r="M42" i="29"/>
  <c r="K114" i="25"/>
  <c r="N35" i="27"/>
  <c r="K98" i="29"/>
  <c r="K108" i="29" s="1"/>
  <c r="N41" i="27"/>
  <c r="L30" i="29"/>
  <c r="L96" i="29" s="1"/>
  <c r="L98" i="29" s="1"/>
  <c r="L108" i="29" s="1"/>
  <c r="L97" i="27"/>
  <c r="L101" i="27" s="1"/>
  <c r="K76" i="25"/>
  <c r="K114" i="27"/>
  <c r="M82" i="29"/>
  <c r="M86" i="29" s="1"/>
  <c r="L71" i="27"/>
  <c r="L114" i="27" s="1"/>
  <c r="L69" i="27"/>
  <c r="L72" i="27" s="1"/>
  <c r="L68" i="27"/>
  <c r="J119" i="18"/>
  <c r="L82" i="27"/>
  <c r="L86" i="27" s="1"/>
  <c r="N51" i="27"/>
  <c r="N53" i="27"/>
  <c r="I112" i="27"/>
  <c r="I116" i="27" s="1"/>
  <c r="I110" i="27"/>
  <c r="L58" i="27"/>
  <c r="L54" i="27"/>
  <c r="L88" i="29"/>
  <c r="K73" i="27"/>
  <c r="M36" i="27"/>
  <c r="M38" i="27" s="1"/>
  <c r="M46" i="27" s="1"/>
  <c r="M21" i="27"/>
  <c r="M23" i="27" s="1"/>
  <c r="M66" i="27" s="1"/>
  <c r="M52" i="27"/>
  <c r="N19" i="27"/>
  <c r="N18" i="27"/>
  <c r="I70" i="27"/>
  <c r="I78" i="27" s="1"/>
  <c r="I76" i="27" s="1"/>
  <c r="I77" i="27" s="1"/>
  <c r="I74" i="27"/>
  <c r="I119" i="27" s="1"/>
  <c r="I120" i="27" s="1"/>
  <c r="K103" i="27"/>
  <c r="M28" i="27"/>
  <c r="M94" i="27" s="1"/>
  <c r="M25" i="27"/>
  <c r="M79" i="27" s="1"/>
  <c r="L109" i="27"/>
  <c r="L112" i="27" s="1"/>
  <c r="L116" i="27" s="1"/>
  <c r="K132" i="27"/>
  <c r="K62" i="27"/>
  <c r="K60" i="27" s="1"/>
  <c r="K135" i="27"/>
  <c r="K129" i="27"/>
  <c r="K70" i="27"/>
  <c r="K78" i="27" s="1"/>
  <c r="K76" i="27" s="1"/>
  <c r="L42" i="27"/>
  <c r="L38" i="27"/>
  <c r="L46" i="27" s="1"/>
  <c r="L44" i="27" s="1"/>
  <c r="K76" i="23"/>
  <c r="J111" i="29"/>
  <c r="J113" i="29" s="1"/>
  <c r="J123" i="29" s="1"/>
  <c r="J104" i="29"/>
  <c r="K104" i="29" s="1"/>
  <c r="J98" i="29"/>
  <c r="J108" i="29" s="1"/>
  <c r="J106" i="29" s="1"/>
  <c r="M42" i="23"/>
  <c r="N42" i="23" s="1"/>
  <c r="N43" i="23" s="1"/>
  <c r="K81" i="27"/>
  <c r="L27" i="27"/>
  <c r="N23" i="29"/>
  <c r="N66" i="29" s="1"/>
  <c r="J89" i="27"/>
  <c r="J83" i="27"/>
  <c r="J93" i="27" s="1"/>
  <c r="J91" i="27" s="1"/>
  <c r="J111" i="27"/>
  <c r="J113" i="27" s="1"/>
  <c r="J123" i="27" s="1"/>
  <c r="J121" i="27" s="1"/>
  <c r="K74" i="25"/>
  <c r="I90" i="27"/>
  <c r="K96" i="27"/>
  <c r="L30" i="27"/>
  <c r="J104" i="27"/>
  <c r="J98" i="27"/>
  <c r="J108" i="27" s="1"/>
  <c r="J106" i="27" s="1"/>
  <c r="N52" i="29"/>
  <c r="N54" i="29" s="1"/>
  <c r="N135" i="29" s="1"/>
  <c r="L109" i="25"/>
  <c r="L112" i="25" s="1"/>
  <c r="L116" i="25" s="1"/>
  <c r="L71" i="25"/>
  <c r="L69" i="25"/>
  <c r="L72" i="25" s="1"/>
  <c r="L73" i="25" s="1"/>
  <c r="L68" i="25"/>
  <c r="K88" i="25"/>
  <c r="J89" i="25"/>
  <c r="J83" i="25"/>
  <c r="J93" i="25" s="1"/>
  <c r="J91" i="25" s="1"/>
  <c r="J111" i="25"/>
  <c r="J113" i="25" s="1"/>
  <c r="J123" i="25" s="1"/>
  <c r="J121" i="25" s="1"/>
  <c r="L84" i="25"/>
  <c r="L82" i="25"/>
  <c r="L86" i="25" s="1"/>
  <c r="N53" i="25"/>
  <c r="N51" i="25"/>
  <c r="L97" i="25"/>
  <c r="L101" i="25" s="1"/>
  <c r="L99" i="25"/>
  <c r="I90" i="25"/>
  <c r="I119" i="25"/>
  <c r="I120" i="25" s="1"/>
  <c r="K81" i="25"/>
  <c r="L27" i="25"/>
  <c r="M103" i="18"/>
  <c r="M52" i="25"/>
  <c r="M54" i="25" s="1"/>
  <c r="M21" i="25"/>
  <c r="M23" i="25" s="1"/>
  <c r="M36" i="25"/>
  <c r="K132" i="25"/>
  <c r="K62" i="25"/>
  <c r="K60" i="25" s="1"/>
  <c r="K135" i="25"/>
  <c r="K129" i="25"/>
  <c r="I10" i="25"/>
  <c r="N19" i="25"/>
  <c r="N36" i="25" s="1"/>
  <c r="N38" i="25" s="1"/>
  <c r="N46" i="25" s="1"/>
  <c r="N18" i="25"/>
  <c r="J98" i="25"/>
  <c r="J108" i="25" s="1"/>
  <c r="J106" i="25" s="1"/>
  <c r="J104" i="25"/>
  <c r="K96" i="25"/>
  <c r="L30" i="25"/>
  <c r="M25" i="25"/>
  <c r="M79" i="25" s="1"/>
  <c r="M28" i="25"/>
  <c r="M94" i="25" s="1"/>
  <c r="I117" i="25"/>
  <c r="I118" i="25"/>
  <c r="J118" i="25" s="1"/>
  <c r="K118" i="25" s="1"/>
  <c r="J89" i="29"/>
  <c r="K89" i="29" s="1"/>
  <c r="I90" i="29"/>
  <c r="L42" i="25"/>
  <c r="L38" i="25"/>
  <c r="L46" i="25" s="1"/>
  <c r="L44" i="25" s="1"/>
  <c r="M71" i="29"/>
  <c r="M69" i="29"/>
  <c r="M72" i="29" s="1"/>
  <c r="M73" i="29" s="1"/>
  <c r="M68" i="29"/>
  <c r="M70" i="29" s="1"/>
  <c r="M78" i="29" s="1"/>
  <c r="M76" i="29" s="1"/>
  <c r="M38" i="29"/>
  <c r="M46" i="29" s="1"/>
  <c r="M44" i="29" s="1"/>
  <c r="M97" i="29"/>
  <c r="M101" i="29" s="1"/>
  <c r="M103" i="29" s="1"/>
  <c r="M99" i="29"/>
  <c r="N22" i="29"/>
  <c r="J76" i="29"/>
  <c r="M54" i="29"/>
  <c r="M58" i="29"/>
  <c r="M109" i="29"/>
  <c r="M112" i="29" s="1"/>
  <c r="M116" i="29" s="1"/>
  <c r="N25" i="29"/>
  <c r="N28" i="29"/>
  <c r="I10" i="29"/>
  <c r="L114" i="29"/>
  <c r="L132" i="29"/>
  <c r="L129" i="29"/>
  <c r="L135" i="29"/>
  <c r="L62" i="29"/>
  <c r="L60" i="29" s="1"/>
  <c r="N127" i="29"/>
  <c r="N128" i="29" s="1"/>
  <c r="N130" i="29"/>
  <c r="N131" i="29" s="1"/>
  <c r="N133" i="29"/>
  <c r="N134" i="29" s="1"/>
  <c r="N56" i="29"/>
  <c r="N57" i="29" s="1"/>
  <c r="I75" i="29"/>
  <c r="I119" i="29"/>
  <c r="I120" i="29" s="1"/>
  <c r="J74" i="29"/>
  <c r="I117" i="29"/>
  <c r="I118" i="29"/>
  <c r="J118" i="29" s="1"/>
  <c r="K118" i="29" s="1"/>
  <c r="L118" i="29" s="1"/>
  <c r="N36" i="29"/>
  <c r="N38" i="29" s="1"/>
  <c r="N46" i="29" s="1"/>
  <c r="K118" i="23"/>
  <c r="L88" i="23"/>
  <c r="M73" i="18"/>
  <c r="N42" i="34"/>
  <c r="N43" i="34" s="1"/>
  <c r="N38" i="34"/>
  <c r="N46" i="34" s="1"/>
  <c r="N44" i="34" s="1"/>
  <c r="N45" i="34" s="1"/>
  <c r="M109" i="34"/>
  <c r="M112" i="34" s="1"/>
  <c r="M116" i="34" s="1"/>
  <c r="M71" i="34"/>
  <c r="M69" i="34"/>
  <c r="M72" i="34" s="1"/>
  <c r="M68" i="34"/>
  <c r="K98" i="34"/>
  <c r="K108" i="34" s="1"/>
  <c r="K106" i="34" s="1"/>
  <c r="K104" i="34"/>
  <c r="L97" i="34"/>
  <c r="L101" i="34" s="1"/>
  <c r="L103" i="34" s="1"/>
  <c r="L99" i="34"/>
  <c r="L114" i="34" s="1"/>
  <c r="L70" i="34"/>
  <c r="L78" i="34" s="1"/>
  <c r="L76" i="34" s="1"/>
  <c r="I120" i="34"/>
  <c r="N25" i="34"/>
  <c r="N28" i="34"/>
  <c r="N52" i="34"/>
  <c r="L109" i="34"/>
  <c r="K83" i="34"/>
  <c r="K93" i="34" s="1"/>
  <c r="K91" i="34" s="1"/>
  <c r="K89" i="34"/>
  <c r="K111" i="34"/>
  <c r="K113" i="34" s="1"/>
  <c r="K123" i="34" s="1"/>
  <c r="K121" i="34" s="1"/>
  <c r="L81" i="34"/>
  <c r="M27" i="34"/>
  <c r="J74" i="34"/>
  <c r="M82" i="34"/>
  <c r="M86" i="34" s="1"/>
  <c r="M88" i="34" s="1"/>
  <c r="M84" i="34"/>
  <c r="N21" i="34"/>
  <c r="N22" i="34" s="1"/>
  <c r="N20" i="34"/>
  <c r="M97" i="34"/>
  <c r="M101" i="34" s="1"/>
  <c r="M99" i="34"/>
  <c r="L96" i="34"/>
  <c r="M30" i="34"/>
  <c r="M135" i="34"/>
  <c r="M129" i="34"/>
  <c r="M132" i="34"/>
  <c r="M62" i="34"/>
  <c r="M60" i="34" s="1"/>
  <c r="N127" i="34"/>
  <c r="N128" i="34" s="1"/>
  <c r="N130" i="34"/>
  <c r="N131" i="34" s="1"/>
  <c r="N133" i="34"/>
  <c r="N134" i="34" s="1"/>
  <c r="N56" i="34"/>
  <c r="N57" i="34" s="1"/>
  <c r="I75" i="34"/>
  <c r="N44" i="31"/>
  <c r="N45" i="31" s="1"/>
  <c r="N82" i="31"/>
  <c r="N86" i="31" s="1"/>
  <c r="N84" i="31"/>
  <c r="N85" i="31" s="1"/>
  <c r="N80" i="31"/>
  <c r="M96" i="31"/>
  <c r="N30" i="31"/>
  <c r="N96" i="31" s="1"/>
  <c r="N66" i="31"/>
  <c r="N24" i="31"/>
  <c r="P16" i="39" s="1"/>
  <c r="P19" i="39" s="1"/>
  <c r="N99" i="31"/>
  <c r="N100" i="31" s="1"/>
  <c r="N97" i="31"/>
  <c r="N101" i="31" s="1"/>
  <c r="N95" i="31"/>
  <c r="L98" i="31"/>
  <c r="L108" i="31" s="1"/>
  <c r="L106" i="31" s="1"/>
  <c r="L104" i="31"/>
  <c r="M81" i="31"/>
  <c r="N27" i="31"/>
  <c r="N81" i="31" s="1"/>
  <c r="J119" i="31"/>
  <c r="K74" i="31"/>
  <c r="L83" i="31"/>
  <c r="L93" i="31" s="1"/>
  <c r="L91" i="31" s="1"/>
  <c r="L89" i="31"/>
  <c r="L111" i="31"/>
  <c r="L113" i="31" s="1"/>
  <c r="L123" i="31" s="1"/>
  <c r="L121" i="31" s="1"/>
  <c r="N135" i="31"/>
  <c r="N129" i="31"/>
  <c r="N132" i="31"/>
  <c r="N62" i="31"/>
  <c r="N60" i="31" s="1"/>
  <c r="N61" i="31" s="1"/>
  <c r="K111" i="23"/>
  <c r="K113" i="23" s="1"/>
  <c r="K123" i="23" s="1"/>
  <c r="K121" i="23" s="1"/>
  <c r="N38" i="23"/>
  <c r="N46" i="23" s="1"/>
  <c r="N44" i="23" s="1"/>
  <c r="N45" i="23" s="1"/>
  <c r="M69" i="23"/>
  <c r="M72" i="23" s="1"/>
  <c r="M71" i="23"/>
  <c r="M68" i="23"/>
  <c r="L114" i="23"/>
  <c r="N52" i="23"/>
  <c r="L96" i="23"/>
  <c r="M30" i="23"/>
  <c r="N127" i="23"/>
  <c r="N128" i="23" s="1"/>
  <c r="N133" i="23"/>
  <c r="N134" i="23" s="1"/>
  <c r="N130" i="23"/>
  <c r="N131" i="23" s="1"/>
  <c r="N56" i="23"/>
  <c r="N57" i="23" s="1"/>
  <c r="L60" i="23"/>
  <c r="K104" i="23"/>
  <c r="K98" i="23"/>
  <c r="K108" i="23" s="1"/>
  <c r="K106" i="23" s="1"/>
  <c r="M135" i="23"/>
  <c r="M129" i="23"/>
  <c r="M132" i="23"/>
  <c r="M62" i="23"/>
  <c r="M60" i="23" s="1"/>
  <c r="L103" i="23"/>
  <c r="L81" i="23"/>
  <c r="M27" i="23"/>
  <c r="N25" i="23"/>
  <c r="N28" i="23"/>
  <c r="N94" i="23" s="1"/>
  <c r="M94" i="23"/>
  <c r="K89" i="23"/>
  <c r="K83" i="23"/>
  <c r="K93" i="23" s="1"/>
  <c r="K91" i="23" s="1"/>
  <c r="N21" i="23"/>
  <c r="N22" i="23" s="1"/>
  <c r="N20" i="23"/>
  <c r="M84" i="23"/>
  <c r="M82" i="23"/>
  <c r="M86" i="23" s="1"/>
  <c r="J119" i="23"/>
  <c r="N23" i="18"/>
  <c r="N66" i="18" s="1"/>
  <c r="K118" i="18"/>
  <c r="L118" i="18" s="1"/>
  <c r="M118" i="18" s="1"/>
  <c r="M135" i="18"/>
  <c r="M129" i="18"/>
  <c r="M132" i="18"/>
  <c r="M62" i="18"/>
  <c r="M60" i="18" s="1"/>
  <c r="M70" i="18"/>
  <c r="M78" i="18" s="1"/>
  <c r="M76" i="18" s="1"/>
  <c r="N135" i="18"/>
  <c r="N129" i="18"/>
  <c r="N132" i="18"/>
  <c r="N62" i="18"/>
  <c r="N42" i="18"/>
  <c r="N43" i="18" s="1"/>
  <c r="N38" i="18"/>
  <c r="N46" i="18" s="1"/>
  <c r="N44" i="18" s="1"/>
  <c r="N45" i="18" s="1"/>
  <c r="L76" i="18"/>
  <c r="M114" i="18"/>
  <c r="K119" i="18"/>
  <c r="M81" i="18"/>
  <c r="N27" i="18"/>
  <c r="N81" i="18" s="1"/>
  <c r="L74" i="18"/>
  <c r="M74" i="18" s="1"/>
  <c r="N94" i="18"/>
  <c r="N29" i="18"/>
  <c r="L89" i="18"/>
  <c r="L83" i="18"/>
  <c r="L93" i="18" s="1"/>
  <c r="L91" i="18" s="1"/>
  <c r="M96" i="18"/>
  <c r="N30" i="18"/>
  <c r="N96" i="18" s="1"/>
  <c r="N79" i="18"/>
  <c r="N26" i="18"/>
  <c r="M88" i="18"/>
  <c r="N29" i="36"/>
  <c r="L114" i="36"/>
  <c r="L89" i="36"/>
  <c r="M82" i="36"/>
  <c r="M86" i="36" s="1"/>
  <c r="M88" i="36" s="1"/>
  <c r="M109" i="36"/>
  <c r="M112" i="36" s="1"/>
  <c r="M116" i="36" s="1"/>
  <c r="M84" i="36"/>
  <c r="M111" i="36"/>
  <c r="M83" i="36"/>
  <c r="M93" i="36" s="1"/>
  <c r="M91" i="36" s="1"/>
  <c r="N26" i="36"/>
  <c r="N79" i="36"/>
  <c r="N80" i="36" s="1"/>
  <c r="N27" i="36"/>
  <c r="N81" i="36" s="1"/>
  <c r="I75" i="36"/>
  <c r="M60" i="36"/>
  <c r="L112" i="36"/>
  <c r="L116" i="36" s="1"/>
  <c r="N54" i="36"/>
  <c r="N58" i="36"/>
  <c r="N59" i="36" s="1"/>
  <c r="J74" i="36"/>
  <c r="J119" i="36" s="1"/>
  <c r="N30" i="36"/>
  <c r="N96" i="36" s="1"/>
  <c r="N99" i="36"/>
  <c r="N100" i="36" s="1"/>
  <c r="N97" i="36"/>
  <c r="N101" i="36" s="1"/>
  <c r="N102" i="36" s="1"/>
  <c r="N42" i="36"/>
  <c r="N43" i="36" s="1"/>
  <c r="N38" i="36"/>
  <c r="N46" i="36" s="1"/>
  <c r="N44" i="36" s="1"/>
  <c r="N45" i="36" s="1"/>
  <c r="N23" i="36"/>
  <c r="M69" i="36"/>
  <c r="M72" i="36" s="1"/>
  <c r="M73" i="36" s="1"/>
  <c r="M71" i="36"/>
  <c r="M68" i="36"/>
  <c r="L98" i="36"/>
  <c r="L108" i="36" s="1"/>
  <c r="L106" i="36" s="1"/>
  <c r="L104" i="36"/>
  <c r="L70" i="36"/>
  <c r="L78" i="36" s="1"/>
  <c r="L76" i="36" s="1"/>
  <c r="L113" i="36"/>
  <c r="L123" i="36" s="1"/>
  <c r="L121" i="36" s="1"/>
  <c r="L40" i="13"/>
  <c r="L39" i="13"/>
  <c r="M37" i="13"/>
  <c r="K34" i="13"/>
  <c r="K33" i="13"/>
  <c r="L31" i="13"/>
  <c r="M25" i="13"/>
  <c r="L27" i="13"/>
  <c r="L28" i="13"/>
  <c r="L21" i="13"/>
  <c r="L22" i="13"/>
  <c r="M19" i="13"/>
  <c r="L13" i="13"/>
  <c r="K16" i="13"/>
  <c r="K15" i="13"/>
  <c r="M73" i="34" l="1"/>
  <c r="L111" i="18"/>
  <c r="L113" i="18" s="1"/>
  <c r="L123" i="18" s="1"/>
  <c r="L121" i="18" s="1"/>
  <c r="L118" i="23"/>
  <c r="I10" i="27"/>
  <c r="L15" i="39"/>
  <c r="L98" i="18"/>
  <c r="L108" i="18" s="1"/>
  <c r="L106" i="18" s="1"/>
  <c r="F17" i="39"/>
  <c r="F18" i="39"/>
  <c r="L70" i="23"/>
  <c r="L78" i="23" s="1"/>
  <c r="L76" i="23" s="1"/>
  <c r="M27" i="29"/>
  <c r="N27" i="29" s="1"/>
  <c r="N81" i="29" s="1"/>
  <c r="N83" i="29" s="1"/>
  <c r="N93" i="29" s="1"/>
  <c r="L89" i="29"/>
  <c r="K121" i="29"/>
  <c r="M58" i="25"/>
  <c r="L103" i="25"/>
  <c r="L111" i="29"/>
  <c r="L113" i="29" s="1"/>
  <c r="L123" i="29" s="1"/>
  <c r="L121" i="29" s="1"/>
  <c r="M73" i="23"/>
  <c r="L88" i="27"/>
  <c r="L104" i="29"/>
  <c r="M30" i="29"/>
  <c r="M96" i="29" s="1"/>
  <c r="M98" i="29" s="1"/>
  <c r="M108" i="29" s="1"/>
  <c r="M106" i="29" s="1"/>
  <c r="M88" i="29"/>
  <c r="L106" i="29"/>
  <c r="L103" i="27"/>
  <c r="M44" i="27"/>
  <c r="M118" i="29"/>
  <c r="L73" i="27"/>
  <c r="J76" i="27"/>
  <c r="M88" i="23"/>
  <c r="M42" i="27"/>
  <c r="N133" i="27"/>
  <c r="N134" i="27" s="1"/>
  <c r="N130" i="27"/>
  <c r="N131" i="27" s="1"/>
  <c r="N127" i="27"/>
  <c r="N128" i="27" s="1"/>
  <c r="N56" i="27"/>
  <c r="N57" i="27" s="1"/>
  <c r="M84" i="27"/>
  <c r="M82" i="27"/>
  <c r="M86" i="27" s="1"/>
  <c r="N52" i="27"/>
  <c r="N54" i="27" s="1"/>
  <c r="N21" i="27"/>
  <c r="N36" i="27"/>
  <c r="N28" i="27"/>
  <c r="N25" i="27"/>
  <c r="M97" i="27"/>
  <c r="M101" i="27" s="1"/>
  <c r="M99" i="27"/>
  <c r="M54" i="27"/>
  <c r="M58" i="27"/>
  <c r="L62" i="27"/>
  <c r="L60" i="27" s="1"/>
  <c r="L135" i="27"/>
  <c r="L132" i="27"/>
  <c r="L129" i="27"/>
  <c r="M68" i="27"/>
  <c r="M71" i="27"/>
  <c r="M109" i="27"/>
  <c r="M112" i="27" s="1"/>
  <c r="M116" i="27" s="1"/>
  <c r="M69" i="27"/>
  <c r="M72" i="27" s="1"/>
  <c r="L70" i="27"/>
  <c r="L78" i="27" s="1"/>
  <c r="L76" i="27" s="1"/>
  <c r="I75" i="27"/>
  <c r="J74" i="27"/>
  <c r="K74" i="27" s="1"/>
  <c r="L74" i="27" s="1"/>
  <c r="N20" i="27"/>
  <c r="I117" i="27"/>
  <c r="I118" i="27"/>
  <c r="J118" i="27" s="1"/>
  <c r="K118" i="27" s="1"/>
  <c r="L118" i="27" s="1"/>
  <c r="N24" i="29"/>
  <c r="J121" i="29"/>
  <c r="N44" i="29"/>
  <c r="N45" i="29" s="1"/>
  <c r="N20" i="25"/>
  <c r="K119" i="23"/>
  <c r="K106" i="29"/>
  <c r="M30" i="27"/>
  <c r="L96" i="27"/>
  <c r="K98" i="27"/>
  <c r="K108" i="27" s="1"/>
  <c r="K106" i="27" s="1"/>
  <c r="K104" i="27"/>
  <c r="L81" i="27"/>
  <c r="M27" i="27"/>
  <c r="K111" i="27"/>
  <c r="K113" i="27" s="1"/>
  <c r="K123" i="27" s="1"/>
  <c r="K121" i="27" s="1"/>
  <c r="K89" i="27"/>
  <c r="K83" i="27"/>
  <c r="K93" i="27" s="1"/>
  <c r="K91" i="27" s="1"/>
  <c r="L60" i="25"/>
  <c r="N58" i="29"/>
  <c r="N59" i="29" s="1"/>
  <c r="M66" i="25"/>
  <c r="N52" i="25"/>
  <c r="N21" i="25"/>
  <c r="N22" i="25" s="1"/>
  <c r="M99" i="25"/>
  <c r="M97" i="25"/>
  <c r="M101" i="25" s="1"/>
  <c r="M42" i="25"/>
  <c r="N42" i="25" s="1"/>
  <c r="N43" i="25" s="1"/>
  <c r="M38" i="25"/>
  <c r="M46" i="25" s="1"/>
  <c r="J119" i="25"/>
  <c r="L70" i="25"/>
  <c r="L78" i="25" s="1"/>
  <c r="L76" i="25" s="1"/>
  <c r="L74" i="25"/>
  <c r="K89" i="25"/>
  <c r="K83" i="25"/>
  <c r="K93" i="25" s="1"/>
  <c r="K91" i="25" s="1"/>
  <c r="K111" i="25"/>
  <c r="K113" i="25" s="1"/>
  <c r="K123" i="25" s="1"/>
  <c r="K121" i="25" s="1"/>
  <c r="N23" i="23"/>
  <c r="N66" i="23" s="1"/>
  <c r="M82" i="25"/>
  <c r="M86" i="25" s="1"/>
  <c r="M84" i="25"/>
  <c r="N28" i="25"/>
  <c r="N25" i="25"/>
  <c r="L96" i="25"/>
  <c r="M30" i="25"/>
  <c r="N127" i="25"/>
  <c r="N128" i="25" s="1"/>
  <c r="N130" i="25"/>
  <c r="N131" i="25" s="1"/>
  <c r="N133" i="25"/>
  <c r="N134" i="25" s="1"/>
  <c r="N56" i="25"/>
  <c r="N57" i="25" s="1"/>
  <c r="L114" i="25"/>
  <c r="K98" i="25"/>
  <c r="K108" i="25" s="1"/>
  <c r="K106" i="25" s="1"/>
  <c r="K104" i="25"/>
  <c r="M132" i="25"/>
  <c r="M129" i="25"/>
  <c r="M135" i="25"/>
  <c r="M62" i="25"/>
  <c r="M60" i="25" s="1"/>
  <c r="L118" i="25"/>
  <c r="N42" i="29"/>
  <c r="N43" i="29" s="1"/>
  <c r="L81" i="25"/>
  <c r="M27" i="25"/>
  <c r="L88" i="25"/>
  <c r="N29" i="29"/>
  <c r="N94" i="29"/>
  <c r="M135" i="29"/>
  <c r="M132" i="29"/>
  <c r="M129" i="29"/>
  <c r="M62" i="29"/>
  <c r="M60" i="29" s="1"/>
  <c r="N62" i="29"/>
  <c r="N132" i="29"/>
  <c r="J119" i="29"/>
  <c r="K74" i="29"/>
  <c r="N129" i="29"/>
  <c r="N79" i="29"/>
  <c r="N26" i="29"/>
  <c r="M114" i="29"/>
  <c r="M103" i="34"/>
  <c r="N94" i="34"/>
  <c r="N29" i="34"/>
  <c r="L89" i="34"/>
  <c r="L83" i="34"/>
  <c r="L93" i="34" s="1"/>
  <c r="L91" i="34" s="1"/>
  <c r="L112" i="34"/>
  <c r="L116" i="34" s="1"/>
  <c r="J119" i="34"/>
  <c r="K74" i="34"/>
  <c r="N58" i="34"/>
  <c r="N59" i="34" s="1"/>
  <c r="N54" i="34"/>
  <c r="M70" i="34"/>
  <c r="M78" i="34" s="1"/>
  <c r="M76" i="34" s="1"/>
  <c r="L111" i="34"/>
  <c r="L113" i="34" s="1"/>
  <c r="L123" i="34" s="1"/>
  <c r="L121" i="34" s="1"/>
  <c r="M114" i="34"/>
  <c r="M96" i="34"/>
  <c r="N30" i="34"/>
  <c r="N96" i="34" s="1"/>
  <c r="N23" i="34"/>
  <c r="N79" i="34"/>
  <c r="N26" i="34"/>
  <c r="L104" i="34"/>
  <c r="L98" i="34"/>
  <c r="L108" i="34" s="1"/>
  <c r="L106" i="34" s="1"/>
  <c r="M81" i="34"/>
  <c r="N27" i="34"/>
  <c r="N81" i="34" s="1"/>
  <c r="M104" i="31"/>
  <c r="N104" i="31" s="1"/>
  <c r="N105" i="31" s="1"/>
  <c r="M98" i="31"/>
  <c r="M108" i="31" s="1"/>
  <c r="M106" i="31" s="1"/>
  <c r="K119" i="31"/>
  <c r="L74" i="31"/>
  <c r="N109" i="31"/>
  <c r="N69" i="31"/>
  <c r="N72" i="31" s="1"/>
  <c r="N73" i="31" s="1"/>
  <c r="N71" i="31"/>
  <c r="N114" i="31" s="1"/>
  <c r="N115" i="31" s="1"/>
  <c r="N68" i="31"/>
  <c r="N67" i="31"/>
  <c r="N87" i="31"/>
  <c r="N88" i="31"/>
  <c r="N83" i="31"/>
  <c r="N93" i="31" s="1"/>
  <c r="N102" i="31"/>
  <c r="N103" i="31"/>
  <c r="M83" i="31"/>
  <c r="M93" i="31" s="1"/>
  <c r="M91" i="31" s="1"/>
  <c r="M89" i="31"/>
  <c r="N89" i="31" s="1"/>
  <c r="N90" i="31" s="1"/>
  <c r="M111" i="31"/>
  <c r="M113" i="31" s="1"/>
  <c r="M123" i="31" s="1"/>
  <c r="M121" i="31" s="1"/>
  <c r="N98" i="31"/>
  <c r="N108" i="31" s="1"/>
  <c r="N71" i="29"/>
  <c r="N69" i="29"/>
  <c r="N72" i="29" s="1"/>
  <c r="N73" i="29" s="1"/>
  <c r="N68" i="29"/>
  <c r="N67" i="29"/>
  <c r="L111" i="23"/>
  <c r="L113" i="23" s="1"/>
  <c r="L123" i="23" s="1"/>
  <c r="L121" i="23" s="1"/>
  <c r="M81" i="23"/>
  <c r="N27" i="23"/>
  <c r="N81" i="23" s="1"/>
  <c r="M96" i="23"/>
  <c r="N30" i="23"/>
  <c r="N96" i="23" s="1"/>
  <c r="M74" i="23"/>
  <c r="M70" i="23"/>
  <c r="M78" i="23" s="1"/>
  <c r="M76" i="23" s="1"/>
  <c r="L89" i="23"/>
  <c r="L83" i="23"/>
  <c r="L93" i="23" s="1"/>
  <c r="L91" i="23" s="1"/>
  <c r="N29" i="23"/>
  <c r="H18" i="39" s="1"/>
  <c r="L104" i="23"/>
  <c r="L98" i="23"/>
  <c r="L108" i="23" s="1"/>
  <c r="L106" i="23" s="1"/>
  <c r="M97" i="23"/>
  <c r="M101" i="23" s="1"/>
  <c r="M103" i="23" s="1"/>
  <c r="M99" i="23"/>
  <c r="M114" i="23" s="1"/>
  <c r="N95" i="23"/>
  <c r="N97" i="23"/>
  <c r="N101" i="23" s="1"/>
  <c r="N99" i="23"/>
  <c r="M109" i="23"/>
  <c r="N79" i="23"/>
  <c r="N26" i="23"/>
  <c r="H17" i="39" s="1"/>
  <c r="N58" i="23"/>
  <c r="N59" i="23" s="1"/>
  <c r="N54" i="23"/>
  <c r="N24" i="18"/>
  <c r="N60" i="18"/>
  <c r="N61" i="18" s="1"/>
  <c r="M111" i="18"/>
  <c r="M113" i="18" s="1"/>
  <c r="M123" i="18" s="1"/>
  <c r="M121" i="18" s="1"/>
  <c r="N84" i="18"/>
  <c r="N85" i="18" s="1"/>
  <c r="N82" i="18"/>
  <c r="N86" i="18" s="1"/>
  <c r="N87" i="18" s="1"/>
  <c r="N80" i="18"/>
  <c r="N109" i="18"/>
  <c r="N71" i="18"/>
  <c r="N69" i="18"/>
  <c r="N72" i="18" s="1"/>
  <c r="N73" i="18" s="1"/>
  <c r="N68" i="18"/>
  <c r="N67" i="18"/>
  <c r="N97" i="18"/>
  <c r="N101" i="18" s="1"/>
  <c r="N99" i="18"/>
  <c r="N100" i="18" s="1"/>
  <c r="N95" i="18"/>
  <c r="N98" i="18"/>
  <c r="N108" i="18" s="1"/>
  <c r="L119" i="18"/>
  <c r="N83" i="18"/>
  <c r="N93" i="18" s="1"/>
  <c r="M98" i="18"/>
  <c r="M108" i="18" s="1"/>
  <c r="M104" i="18"/>
  <c r="N104" i="18" s="1"/>
  <c r="N105" i="18" s="1"/>
  <c r="M89" i="18"/>
  <c r="N89" i="18" s="1"/>
  <c r="N90" i="18" s="1"/>
  <c r="M83" i="18"/>
  <c r="M93" i="18" s="1"/>
  <c r="M91" i="18" s="1"/>
  <c r="M89" i="36"/>
  <c r="N82" i="36"/>
  <c r="N86" i="36" s="1"/>
  <c r="N87" i="36" s="1"/>
  <c r="N84" i="36"/>
  <c r="M114" i="36"/>
  <c r="N83" i="36"/>
  <c r="N93" i="36" s="1"/>
  <c r="N91" i="36" s="1"/>
  <c r="N92" i="36" s="1"/>
  <c r="I120" i="36"/>
  <c r="N66" i="36"/>
  <c r="N109" i="36" s="1"/>
  <c r="N24" i="36"/>
  <c r="N132" i="36"/>
  <c r="N135" i="36"/>
  <c r="N129" i="36"/>
  <c r="N62" i="36"/>
  <c r="N60" i="36" s="1"/>
  <c r="N61" i="36" s="1"/>
  <c r="L118" i="36"/>
  <c r="M118" i="36" s="1"/>
  <c r="N103" i="36"/>
  <c r="M113" i="36"/>
  <c r="M123" i="36" s="1"/>
  <c r="M121" i="36" s="1"/>
  <c r="M70" i="36"/>
  <c r="M78" i="36" s="1"/>
  <c r="M76" i="36" s="1"/>
  <c r="M104" i="36"/>
  <c r="M98" i="36"/>
  <c r="M108" i="36" s="1"/>
  <c r="M106" i="36" s="1"/>
  <c r="K74" i="36"/>
  <c r="K119" i="36" s="1"/>
  <c r="M39" i="13"/>
  <c r="M40" i="13"/>
  <c r="M41" i="13" s="1"/>
  <c r="M31" i="13"/>
  <c r="L33" i="13"/>
  <c r="L34" i="13"/>
  <c r="M27" i="13"/>
  <c r="M28" i="13"/>
  <c r="M29" i="13" s="1"/>
  <c r="M21" i="13"/>
  <c r="M22" i="13"/>
  <c r="M23" i="13" s="1"/>
  <c r="L15" i="13"/>
  <c r="L16" i="13"/>
  <c r="M13" i="13"/>
  <c r="M106" i="18" l="1"/>
  <c r="R17" i="39"/>
  <c r="R18" i="39"/>
  <c r="N17" i="39"/>
  <c r="N18" i="39"/>
  <c r="N16" i="39"/>
  <c r="F16" i="39"/>
  <c r="F19" i="39" s="1"/>
  <c r="M81" i="29"/>
  <c r="M89" i="29" s="1"/>
  <c r="N89" i="29" s="1"/>
  <c r="N90" i="29" s="1"/>
  <c r="M103" i="25"/>
  <c r="M88" i="27"/>
  <c r="M104" i="29"/>
  <c r="N58" i="27"/>
  <c r="N59" i="27" s="1"/>
  <c r="M103" i="27"/>
  <c r="N30" i="29"/>
  <c r="N96" i="29" s="1"/>
  <c r="N98" i="29" s="1"/>
  <c r="N108" i="29" s="1"/>
  <c r="N106" i="29" s="1"/>
  <c r="N107" i="29" s="1"/>
  <c r="M118" i="27"/>
  <c r="M73" i="27"/>
  <c r="M74" i="27"/>
  <c r="M70" i="27"/>
  <c r="M78" i="27" s="1"/>
  <c r="M76" i="27" s="1"/>
  <c r="N94" i="27"/>
  <c r="N29" i="27"/>
  <c r="L18" i="39" s="1"/>
  <c r="J119" i="27"/>
  <c r="N38" i="27"/>
  <c r="N46" i="27" s="1"/>
  <c r="N44" i="27" s="1"/>
  <c r="N45" i="27" s="1"/>
  <c r="N42" i="27"/>
  <c r="N43" i="27" s="1"/>
  <c r="N22" i="27"/>
  <c r="N23" i="27"/>
  <c r="N129" i="27"/>
  <c r="N132" i="27"/>
  <c r="N135" i="27"/>
  <c r="N62" i="27"/>
  <c r="N79" i="27"/>
  <c r="N26" i="27"/>
  <c r="L17" i="39" s="1"/>
  <c r="M114" i="27"/>
  <c r="M62" i="27"/>
  <c r="M60" i="27" s="1"/>
  <c r="M135" i="27"/>
  <c r="M129" i="27"/>
  <c r="M132" i="27"/>
  <c r="N24" i="23"/>
  <c r="H16" i="39" s="1"/>
  <c r="H19" i="39" s="1"/>
  <c r="L98" i="27"/>
  <c r="L108" i="27" s="1"/>
  <c r="L106" i="27" s="1"/>
  <c r="L104" i="27"/>
  <c r="K119" i="27"/>
  <c r="M81" i="27"/>
  <c r="N27" i="27"/>
  <c r="N81" i="27" s="1"/>
  <c r="N83" i="27" s="1"/>
  <c r="N93" i="27" s="1"/>
  <c r="M96" i="27"/>
  <c r="N30" i="27"/>
  <c r="N96" i="27" s="1"/>
  <c r="N98" i="27" s="1"/>
  <c r="N108" i="27" s="1"/>
  <c r="L111" i="27"/>
  <c r="L113" i="27" s="1"/>
  <c r="L123" i="27" s="1"/>
  <c r="L121" i="27" s="1"/>
  <c r="L89" i="27"/>
  <c r="L83" i="27"/>
  <c r="L93" i="27" s="1"/>
  <c r="L91" i="27" s="1"/>
  <c r="N109" i="29"/>
  <c r="N112" i="29" s="1"/>
  <c r="N116" i="29" s="1"/>
  <c r="N27" i="25"/>
  <c r="N81" i="25" s="1"/>
  <c r="N83" i="25" s="1"/>
  <c r="N93" i="25" s="1"/>
  <c r="M81" i="25"/>
  <c r="N23" i="25"/>
  <c r="M96" i="25"/>
  <c r="N30" i="25"/>
  <c r="N96" i="25" s="1"/>
  <c r="N98" i="25" s="1"/>
  <c r="N108" i="25" s="1"/>
  <c r="L111" i="25"/>
  <c r="L113" i="25" s="1"/>
  <c r="L123" i="25" s="1"/>
  <c r="L121" i="25" s="1"/>
  <c r="L83" i="25"/>
  <c r="L93" i="25" s="1"/>
  <c r="L91" i="25" s="1"/>
  <c r="L89" i="25"/>
  <c r="N26" i="25"/>
  <c r="N79" i="25"/>
  <c r="L104" i="25"/>
  <c r="L98" i="25"/>
  <c r="L108" i="25" s="1"/>
  <c r="L106" i="25" s="1"/>
  <c r="M88" i="25"/>
  <c r="N54" i="25"/>
  <c r="N58" i="25"/>
  <c r="N59" i="25" s="1"/>
  <c r="N29" i="25"/>
  <c r="N94" i="25"/>
  <c r="K119" i="25"/>
  <c r="M69" i="25"/>
  <c r="M72" i="25" s="1"/>
  <c r="M73" i="25" s="1"/>
  <c r="M68" i="25"/>
  <c r="M71" i="25"/>
  <c r="M114" i="25" s="1"/>
  <c r="M109" i="25"/>
  <c r="M112" i="25" s="1"/>
  <c r="M116" i="25" s="1"/>
  <c r="M118" i="25" s="1"/>
  <c r="M44" i="25"/>
  <c r="N44" i="25"/>
  <c r="K119" i="29"/>
  <c r="L74" i="29"/>
  <c r="N60" i="29"/>
  <c r="N61" i="29" s="1"/>
  <c r="N95" i="29"/>
  <c r="N99" i="29"/>
  <c r="N100" i="29" s="1"/>
  <c r="N97" i="29"/>
  <c r="N101" i="29" s="1"/>
  <c r="N84" i="29"/>
  <c r="N85" i="29" s="1"/>
  <c r="N82" i="29"/>
  <c r="N86" i="29" s="1"/>
  <c r="N80" i="29"/>
  <c r="N103" i="23"/>
  <c r="N88" i="18"/>
  <c r="M83" i="34"/>
  <c r="M93" i="34" s="1"/>
  <c r="M91" i="34" s="1"/>
  <c r="M89" i="34"/>
  <c r="M104" i="34"/>
  <c r="N104" i="34" s="1"/>
  <c r="N105" i="34" s="1"/>
  <c r="M98" i="34"/>
  <c r="M108" i="34" s="1"/>
  <c r="M106" i="34" s="1"/>
  <c r="N135" i="34"/>
  <c r="N129" i="34"/>
  <c r="N132" i="34"/>
  <c r="N62" i="34"/>
  <c r="N60" i="34" s="1"/>
  <c r="N61" i="34" s="1"/>
  <c r="K119" i="34"/>
  <c r="L74" i="34"/>
  <c r="N82" i="34"/>
  <c r="N86" i="34" s="1"/>
  <c r="N84" i="34"/>
  <c r="N85" i="34" s="1"/>
  <c r="N80" i="34"/>
  <c r="L118" i="34"/>
  <c r="M118" i="34" s="1"/>
  <c r="N66" i="34"/>
  <c r="N24" i="34"/>
  <c r="N98" i="34"/>
  <c r="N108" i="34" s="1"/>
  <c r="N99" i="34"/>
  <c r="N100" i="34" s="1"/>
  <c r="N97" i="34"/>
  <c r="N101" i="34" s="1"/>
  <c r="N95" i="34"/>
  <c r="N83" i="34"/>
  <c r="N93" i="34" s="1"/>
  <c r="N89" i="34"/>
  <c r="N90" i="34" s="1"/>
  <c r="M111" i="34"/>
  <c r="M113" i="34" s="1"/>
  <c r="M123" i="34" s="1"/>
  <c r="M121" i="34" s="1"/>
  <c r="N112" i="31"/>
  <c r="N116" i="31" s="1"/>
  <c r="N110" i="31"/>
  <c r="P20" i="39" s="1"/>
  <c r="N106" i="31"/>
  <c r="N107" i="31" s="1"/>
  <c r="L119" i="31"/>
  <c r="M74" i="31"/>
  <c r="M119" i="31" s="1"/>
  <c r="N91" i="31"/>
  <c r="N92" i="31" s="1"/>
  <c r="N111" i="31"/>
  <c r="N113" i="31" s="1"/>
  <c r="N123" i="31" s="1"/>
  <c r="N121" i="31" s="1"/>
  <c r="N122" i="31" s="1"/>
  <c r="N70" i="31"/>
  <c r="N78" i="31" s="1"/>
  <c r="N76" i="31" s="1"/>
  <c r="N77" i="31" s="1"/>
  <c r="N70" i="29"/>
  <c r="N78" i="29" s="1"/>
  <c r="N76" i="29" s="1"/>
  <c r="N77" i="29" s="1"/>
  <c r="L119" i="23"/>
  <c r="M104" i="23"/>
  <c r="N104" i="23" s="1"/>
  <c r="N105" i="23" s="1"/>
  <c r="M98" i="23"/>
  <c r="M108" i="23" s="1"/>
  <c r="M106" i="23" s="1"/>
  <c r="N100" i="23"/>
  <c r="N102" i="23"/>
  <c r="N83" i="23"/>
  <c r="N93" i="23" s="1"/>
  <c r="M112" i="23"/>
  <c r="M116" i="23" s="1"/>
  <c r="N109" i="23"/>
  <c r="N112" i="23" s="1"/>
  <c r="N116" i="23" s="1"/>
  <c r="N71" i="23"/>
  <c r="N69" i="23"/>
  <c r="N72" i="23" s="1"/>
  <c r="N73" i="23" s="1"/>
  <c r="N68" i="23"/>
  <c r="N67" i="23"/>
  <c r="N84" i="23"/>
  <c r="N85" i="23" s="1"/>
  <c r="N82" i="23"/>
  <c r="N86" i="23" s="1"/>
  <c r="N80" i="23"/>
  <c r="M89" i="23"/>
  <c r="N89" i="23" s="1"/>
  <c r="N90" i="23" s="1"/>
  <c r="M83" i="23"/>
  <c r="M93" i="23" s="1"/>
  <c r="M91" i="23" s="1"/>
  <c r="N135" i="23"/>
  <c r="N129" i="23"/>
  <c r="N132" i="23"/>
  <c r="N62" i="23"/>
  <c r="N60" i="23" s="1"/>
  <c r="N61" i="23" s="1"/>
  <c r="M111" i="23"/>
  <c r="M113" i="23" s="1"/>
  <c r="M123" i="23" s="1"/>
  <c r="M121" i="23" s="1"/>
  <c r="N98" i="23"/>
  <c r="N108" i="23" s="1"/>
  <c r="N114" i="18"/>
  <c r="N115" i="18" s="1"/>
  <c r="M119" i="18"/>
  <c r="N112" i="18"/>
  <c r="N116" i="18" s="1"/>
  <c r="N110" i="18"/>
  <c r="F20" i="39" s="1"/>
  <c r="N102" i="18"/>
  <c r="N103" i="18"/>
  <c r="N91" i="18"/>
  <c r="N92" i="18" s="1"/>
  <c r="N111" i="18"/>
  <c r="N113" i="18" s="1"/>
  <c r="N123" i="18" s="1"/>
  <c r="N121" i="18" s="1"/>
  <c r="N122" i="18" s="1"/>
  <c r="N74" i="18"/>
  <c r="N70" i="18"/>
  <c r="N78" i="18" s="1"/>
  <c r="N76" i="18" s="1"/>
  <c r="N77" i="18" s="1"/>
  <c r="N106" i="18"/>
  <c r="N107" i="18" s="1"/>
  <c r="N85" i="36"/>
  <c r="N89" i="36"/>
  <c r="N90" i="36"/>
  <c r="N88" i="36"/>
  <c r="N110" i="36"/>
  <c r="N67" i="36"/>
  <c r="N104" i="36"/>
  <c r="N105" i="36" s="1"/>
  <c r="N98" i="36"/>
  <c r="N108" i="36" s="1"/>
  <c r="N106" i="36" s="1"/>
  <c r="N107" i="36" s="1"/>
  <c r="L74" i="36"/>
  <c r="L119" i="36" s="1"/>
  <c r="N69" i="36"/>
  <c r="N72" i="36" s="1"/>
  <c r="N73" i="36" s="1"/>
  <c r="N71" i="36"/>
  <c r="N68" i="36"/>
  <c r="N111" i="36" s="1"/>
  <c r="M33" i="13"/>
  <c r="M34" i="13"/>
  <c r="M35" i="13" s="1"/>
  <c r="M15" i="13"/>
  <c r="M16" i="13"/>
  <c r="R16" i="39" l="1"/>
  <c r="R19" i="39" s="1"/>
  <c r="N91" i="34"/>
  <c r="N92" i="34" s="1"/>
  <c r="N106" i="34"/>
  <c r="N107" i="34" s="1"/>
  <c r="N19" i="39"/>
  <c r="J17" i="39"/>
  <c r="J18" i="39"/>
  <c r="M83" i="29"/>
  <c r="M93" i="29" s="1"/>
  <c r="M91" i="29" s="1"/>
  <c r="M111" i="29"/>
  <c r="M113" i="29" s="1"/>
  <c r="M123" i="29" s="1"/>
  <c r="M121" i="29" s="1"/>
  <c r="N104" i="29"/>
  <c r="N105" i="29" s="1"/>
  <c r="N111" i="29"/>
  <c r="N113" i="29" s="1"/>
  <c r="N123" i="29" s="1"/>
  <c r="N60" i="27"/>
  <c r="N61" i="27" s="1"/>
  <c r="N82" i="27"/>
  <c r="N86" i="27" s="1"/>
  <c r="N84" i="27"/>
  <c r="N85" i="27" s="1"/>
  <c r="N80" i="27"/>
  <c r="N99" i="27"/>
  <c r="N100" i="27" s="1"/>
  <c r="N95" i="27"/>
  <c r="N97" i="27"/>
  <c r="N101" i="27" s="1"/>
  <c r="N45" i="25"/>
  <c r="N66" i="27"/>
  <c r="N24" i="27"/>
  <c r="L16" i="39" s="1"/>
  <c r="L19" i="39" s="1"/>
  <c r="L119" i="27"/>
  <c r="L119" i="25"/>
  <c r="N110" i="29"/>
  <c r="N20" i="39" s="1"/>
  <c r="M98" i="27"/>
  <c r="M108" i="27" s="1"/>
  <c r="M104" i="27"/>
  <c r="N104" i="27" s="1"/>
  <c r="N105" i="27" s="1"/>
  <c r="M111" i="27"/>
  <c r="M113" i="27" s="1"/>
  <c r="M123" i="27" s="1"/>
  <c r="M121" i="27" s="1"/>
  <c r="M83" i="27"/>
  <c r="M93" i="27" s="1"/>
  <c r="M91" i="27" s="1"/>
  <c r="M89" i="27"/>
  <c r="M83" i="25"/>
  <c r="M93" i="25" s="1"/>
  <c r="M89" i="25"/>
  <c r="N89" i="25" s="1"/>
  <c r="N90" i="25" s="1"/>
  <c r="N62" i="25"/>
  <c r="N60" i="25" s="1"/>
  <c r="N61" i="25" s="1"/>
  <c r="N135" i="25"/>
  <c r="N132" i="25"/>
  <c r="N129" i="25"/>
  <c r="N82" i="25"/>
  <c r="N86" i="25" s="1"/>
  <c r="N80" i="25"/>
  <c r="N84" i="25"/>
  <c r="N85" i="25" s="1"/>
  <c r="M98" i="25"/>
  <c r="M108" i="25" s="1"/>
  <c r="M104" i="25"/>
  <c r="N104" i="25" s="1"/>
  <c r="N105" i="25" s="1"/>
  <c r="N95" i="25"/>
  <c r="N97" i="25"/>
  <c r="N101" i="25" s="1"/>
  <c r="N99" i="25"/>
  <c r="N100" i="25" s="1"/>
  <c r="N66" i="25"/>
  <c r="N24" i="25"/>
  <c r="M74" i="25"/>
  <c r="M70" i="25"/>
  <c r="M78" i="25" s="1"/>
  <c r="M76" i="25" s="1"/>
  <c r="M111" i="25"/>
  <c r="M113" i="25" s="1"/>
  <c r="M123" i="25" s="1"/>
  <c r="M121" i="25" s="1"/>
  <c r="N114" i="29"/>
  <c r="N115" i="29" s="1"/>
  <c r="N87" i="29"/>
  <c r="N88" i="29"/>
  <c r="N102" i="29"/>
  <c r="N103" i="29"/>
  <c r="L119" i="29"/>
  <c r="M74" i="29"/>
  <c r="N91" i="23"/>
  <c r="N92" i="23" s="1"/>
  <c r="L119" i="34"/>
  <c r="M74" i="34"/>
  <c r="M119" i="34" s="1"/>
  <c r="N109" i="34"/>
  <c r="N69" i="34"/>
  <c r="N72" i="34" s="1"/>
  <c r="N73" i="34" s="1"/>
  <c r="N71" i="34"/>
  <c r="N114" i="34" s="1"/>
  <c r="N115" i="34" s="1"/>
  <c r="N68" i="34"/>
  <c r="N67" i="34"/>
  <c r="N87" i="34"/>
  <c r="N88" i="34"/>
  <c r="N102" i="34"/>
  <c r="N103" i="34"/>
  <c r="N74" i="31"/>
  <c r="N117" i="31"/>
  <c r="N118" i="31"/>
  <c r="N117" i="29"/>
  <c r="N118" i="29"/>
  <c r="N114" i="23"/>
  <c r="N115" i="23" s="1"/>
  <c r="N117" i="23"/>
  <c r="M118" i="23"/>
  <c r="N118" i="23" s="1"/>
  <c r="M119" i="23"/>
  <c r="N111" i="23"/>
  <c r="N113" i="23" s="1"/>
  <c r="N123" i="23" s="1"/>
  <c r="N121" i="23" s="1"/>
  <c r="N122" i="23" s="1"/>
  <c r="N70" i="23"/>
  <c r="N78" i="23" s="1"/>
  <c r="N76" i="23" s="1"/>
  <c r="N77" i="23" s="1"/>
  <c r="N74" i="23"/>
  <c r="N87" i="23"/>
  <c r="N88" i="23"/>
  <c r="N106" i="23"/>
  <c r="N107" i="23" s="1"/>
  <c r="N110" i="23"/>
  <c r="H20" i="39" s="1"/>
  <c r="N119" i="18"/>
  <c r="N120" i="18" s="1"/>
  <c r="N75" i="18"/>
  <c r="N117" i="18"/>
  <c r="N118" i="18"/>
  <c r="N114" i="36"/>
  <c r="N115" i="36" s="1"/>
  <c r="N113" i="36"/>
  <c r="N123" i="36" s="1"/>
  <c r="N121" i="36" s="1"/>
  <c r="N122" i="36" s="1"/>
  <c r="N70" i="36"/>
  <c r="N78" i="36" s="1"/>
  <c r="N76" i="36" s="1"/>
  <c r="N77" i="36" s="1"/>
  <c r="N112" i="36"/>
  <c r="N116" i="36" s="1"/>
  <c r="N117" i="36" s="1"/>
  <c r="M74" i="36"/>
  <c r="M119" i="36" s="1"/>
  <c r="M17" i="13"/>
  <c r="J16" i="39" l="1"/>
  <c r="J19" i="39" s="1"/>
  <c r="N91" i="29"/>
  <c r="N92" i="29" s="1"/>
  <c r="N121" i="29"/>
  <c r="N122" i="29" s="1"/>
  <c r="N102" i="27"/>
  <c r="N103" i="27"/>
  <c r="N87" i="27"/>
  <c r="N88" i="27"/>
  <c r="N109" i="27"/>
  <c r="N69" i="27"/>
  <c r="N72" i="27" s="1"/>
  <c r="N73" i="27" s="1"/>
  <c r="N71" i="27"/>
  <c r="N114" i="27" s="1"/>
  <c r="N115" i="27" s="1"/>
  <c r="N67" i="27"/>
  <c r="N68" i="27"/>
  <c r="N91" i="27"/>
  <c r="N92" i="27" s="1"/>
  <c r="M119" i="27"/>
  <c r="N89" i="27"/>
  <c r="M106" i="27"/>
  <c r="N106" i="27"/>
  <c r="N71" i="25"/>
  <c r="N114" i="25" s="1"/>
  <c r="N115" i="25" s="1"/>
  <c r="N69" i="25"/>
  <c r="N72" i="25" s="1"/>
  <c r="N73" i="25" s="1"/>
  <c r="N109" i="25"/>
  <c r="N67" i="25"/>
  <c r="N68" i="25"/>
  <c r="M106" i="25"/>
  <c r="N106" i="25"/>
  <c r="M119" i="25"/>
  <c r="N103" i="25"/>
  <c r="N102" i="25"/>
  <c r="M91" i="25"/>
  <c r="N91" i="25"/>
  <c r="N88" i="25"/>
  <c r="N87" i="25"/>
  <c r="N74" i="29"/>
  <c r="M119" i="29"/>
  <c r="N111" i="34"/>
  <c r="N113" i="34" s="1"/>
  <c r="N123" i="34" s="1"/>
  <c r="N121" i="34" s="1"/>
  <c r="N122" i="34" s="1"/>
  <c r="N74" i="34"/>
  <c r="N70" i="34"/>
  <c r="N78" i="34" s="1"/>
  <c r="N76" i="34" s="1"/>
  <c r="N77" i="34" s="1"/>
  <c r="N112" i="34"/>
  <c r="N116" i="34" s="1"/>
  <c r="N110" i="34"/>
  <c r="R20" i="39" s="1"/>
  <c r="N119" i="31"/>
  <c r="N120" i="31" s="1"/>
  <c r="N75" i="31"/>
  <c r="N119" i="23"/>
  <c r="N120" i="23" s="1"/>
  <c r="N75" i="23"/>
  <c r="N74" i="36"/>
  <c r="N119" i="36" s="1"/>
  <c r="N118" i="36"/>
  <c r="N107" i="27" l="1"/>
  <c r="N112" i="27"/>
  <c r="N116" i="27" s="1"/>
  <c r="N110" i="27"/>
  <c r="L20" i="39" s="1"/>
  <c r="N74" i="27"/>
  <c r="N75" i="27" s="1"/>
  <c r="N70" i="27"/>
  <c r="N78" i="27" s="1"/>
  <c r="N76" i="27" s="1"/>
  <c r="N77" i="27" s="1"/>
  <c r="N111" i="27"/>
  <c r="N113" i="27" s="1"/>
  <c r="N123" i="27" s="1"/>
  <c r="N121" i="27" s="1"/>
  <c r="N122" i="27" s="1"/>
  <c r="N92" i="25"/>
  <c r="N90" i="27"/>
  <c r="N74" i="25"/>
  <c r="N70" i="25"/>
  <c r="N78" i="25" s="1"/>
  <c r="N76" i="25" s="1"/>
  <c r="N77" i="25" s="1"/>
  <c r="N111" i="25"/>
  <c r="N113" i="25" s="1"/>
  <c r="N123" i="25" s="1"/>
  <c r="N121" i="25" s="1"/>
  <c r="N122" i="25" s="1"/>
  <c r="N112" i="25"/>
  <c r="N116" i="25" s="1"/>
  <c r="N110" i="25"/>
  <c r="J20" i="39" s="1"/>
  <c r="N107" i="25"/>
  <c r="N75" i="29"/>
  <c r="N119" i="29"/>
  <c r="N120" i="29" s="1"/>
  <c r="N117" i="34"/>
  <c r="N118" i="34"/>
  <c r="N119" i="34"/>
  <c r="N120" i="34" s="1"/>
  <c r="N75" i="34"/>
  <c r="N120" i="36"/>
  <c r="N75" i="36"/>
  <c r="N119" i="27" l="1"/>
  <c r="N120" i="27" s="1"/>
  <c r="N117" i="27"/>
  <c r="N118" i="27"/>
  <c r="N118" i="25"/>
  <c r="N117" i="25"/>
  <c r="N119" i="25"/>
  <c r="N120" i="25" s="1"/>
  <c r="N75" i="25"/>
  <c r="I9" i="36"/>
  <c r="M4" i="36"/>
  <c r="N4" i="36" s="1"/>
  <c r="M8" i="36"/>
  <c r="N8" i="36" s="1"/>
  <c r="M6" i="36"/>
  <c r="N6" i="36" s="1"/>
  <c r="I7" i="36"/>
  <c r="I5" i="36"/>
  <c r="I4" i="36"/>
  <c r="I10" i="36"/>
</calcChain>
</file>

<file path=xl/sharedStrings.xml><?xml version="1.0" encoding="utf-8"?>
<sst xmlns="http://schemas.openxmlformats.org/spreadsheetml/2006/main" count="2071" uniqueCount="170">
  <si>
    <t>Bitcoin USD Price</t>
  </si>
  <si>
    <t>Bitcoin USD Marketcap</t>
  </si>
  <si>
    <t>Bitcoin USD Price Start</t>
  </si>
  <si>
    <t>Year 1</t>
  </si>
  <si>
    <t>Year 2</t>
  </si>
  <si>
    <t>Year 3</t>
  </si>
  <si>
    <t>Year 4</t>
  </si>
  <si>
    <t>Year 5</t>
  </si>
  <si>
    <t>Year 6</t>
  </si>
  <si>
    <t>Year 7</t>
  </si>
  <si>
    <t>Year 8</t>
  </si>
  <si>
    <t>Year 9</t>
  </si>
  <si>
    <t>Year 10</t>
  </si>
  <si>
    <t>Remaining BTC Yield %</t>
  </si>
  <si>
    <t>Cumulative BTC Yield %</t>
  </si>
  <si>
    <t>Annual BTC Yield %</t>
  </si>
  <si>
    <t>Bitcoin Growth Yield (BiGY)</t>
  </si>
  <si>
    <t>Bitcoin Transaction Yield (BiTY)</t>
  </si>
  <si>
    <t>Total Yield</t>
  </si>
  <si>
    <t>Annual</t>
  </si>
  <si>
    <t>Bitcoin</t>
  </si>
  <si>
    <t>Test Case</t>
  </si>
  <si>
    <t>Annual Average</t>
  </si>
  <si>
    <t>Bitcoin Compound Annual Growth Rate Calculator</t>
  </si>
  <si>
    <t>Start Price</t>
  </si>
  <si>
    <t>Start Date</t>
  </si>
  <si>
    <t>End Price</t>
  </si>
  <si>
    <t>End Date</t>
  </si>
  <si>
    <t>Bitcoin Yield Estimate Variables</t>
  </si>
  <si>
    <t>Compound Annual Growth Rate</t>
  </si>
  <si>
    <t>Bitcoin Compound Annual Growth Rate (CAGR)</t>
  </si>
  <si>
    <t>Annual Average BTC Yield %</t>
  </si>
  <si>
    <t>BTC</t>
  </si>
  <si>
    <t>USD</t>
  </si>
  <si>
    <t>SR USD Comp.</t>
  </si>
  <si>
    <t>USD
Compounded</t>
  </si>
  <si>
    <t>USD
Simple</t>
  </si>
  <si>
    <t>SP BiGY BTC</t>
  </si>
  <si>
    <t>SP Total BTC</t>
  </si>
  <si>
    <t>Annual Avg. %</t>
  </si>
  <si>
    <t>Annual Avg.</t>
  </si>
  <si>
    <t>Cumulative</t>
  </si>
  <si>
    <t>Cumulative %</t>
  </si>
  <si>
    <t>Annual %</t>
  </si>
  <si>
    <t>Annual Average %</t>
  </si>
  <si>
    <t>Test Case Annual</t>
  </si>
  <si>
    <t>Test Case Cumulative</t>
  </si>
  <si>
    <t>Test Case Annual Average</t>
  </si>
  <si>
    <t>Price</t>
  </si>
  <si>
    <t>Marketcap</t>
  </si>
  <si>
    <t>Unit of Account</t>
  </si>
  <si>
    <t>Measure</t>
  </si>
  <si>
    <t>Yield Estimate Calculator</t>
  </si>
  <si>
    <t>Bitcoin TVL</t>
  </si>
  <si>
    <t>BTC Measure</t>
  </si>
  <si>
    <t>BTC TVL</t>
  </si>
  <si>
    <t>Bitcoin Yield Estimate 10 Year Burndown Summary</t>
  </si>
  <si>
    <t>SP BiTY BTC</t>
  </si>
  <si>
    <t>Total Annual %</t>
  </si>
  <si>
    <t>Total Annual Average %</t>
  </si>
  <si>
    <t>Bitcoin Investor</t>
  </si>
  <si>
    <t>Fiat Investor</t>
  </si>
  <si>
    <t>Service Provider</t>
  </si>
  <si>
    <t>Bond/Pref-to-Value %</t>
  </si>
  <si>
    <t>Loan-to-Value %</t>
  </si>
  <si>
    <t>Stable Provider</t>
  </si>
  <si>
    <t>Stable Receiver</t>
  </si>
  <si>
    <t>High-Interest Debt</t>
  </si>
  <si>
    <t>Low-Interest Debt</t>
  </si>
  <si>
    <t>Service</t>
  </si>
  <si>
    <t>BTC Principal %</t>
  </si>
  <si>
    <t>BTC Debt %</t>
  </si>
  <si>
    <t>Total Down Payment</t>
  </si>
  <si>
    <t>Total Debt</t>
  </si>
  <si>
    <t>BTC Total</t>
  </si>
  <si>
    <t>BTC Principal</t>
  </si>
  <si>
    <t>BTC Bond/Pref</t>
  </si>
  <si>
    <t>BTC Loan</t>
  </si>
  <si>
    <t>Debt-to-Value %</t>
  </si>
  <si>
    <t>N/A</t>
  </si>
  <si>
    <t>Total Debt-to-Value</t>
  </si>
  <si>
    <r>
      <t xml:space="preserve">Bitcoin Lightning Mortgage
</t>
    </r>
    <r>
      <rPr>
        <sz val="11"/>
        <color theme="1"/>
        <rFont val="Aptos Display"/>
        <family val="2"/>
        <scheme val="major"/>
      </rPr>
      <t>Bitcoin collateral with price drawdown liquidation protection for leveraged Bitcoin growth and Lightning transaction exposure</t>
    </r>
  </si>
  <si>
    <t>X: @KyleHutch_</t>
  </si>
  <si>
    <t>Feature</t>
  </si>
  <si>
    <t>Concentrated</t>
  </si>
  <si>
    <t>Distributed</t>
  </si>
  <si>
    <t>Capital Provisioning</t>
  </si>
  <si>
    <t>Capital Risk</t>
  </si>
  <si>
    <t>Common Shareholders</t>
  </si>
  <si>
    <t>Capital Providers</t>
  </si>
  <si>
    <t>Bitcoin Yield Distribution</t>
  </si>
  <si>
    <t>None</t>
  </si>
  <si>
    <t>Bitcoin-Denominated Service Fees</t>
  </si>
  <si>
    <t>Centralized and Permissioned</t>
  </si>
  <si>
    <t>Decentralized and Permissionless</t>
  </si>
  <si>
    <t>Traditional Finance</t>
  </si>
  <si>
    <t>Service Revenue</t>
  </si>
  <si>
    <t>Service Infrastructure</t>
  </si>
  <si>
    <t>1X = 1 BTC buy adds 1 BTC to TVL</t>
  </si>
  <si>
    <t>Bitcoin Treasury 2.0</t>
  </si>
  <si>
    <t>Treasury Model</t>
  </si>
  <si>
    <t>Bitcoin Total Value Locked
Growth Rate</t>
  </si>
  <si>
    <t>Credit Obligation
Funding Strategy</t>
  </si>
  <si>
    <t>Bitcoin Treasury 1.0, 1.5, 2.0</t>
  </si>
  <si>
    <t>Digital Credit 2.0</t>
  </si>
  <si>
    <t>Digital Credit 1.0</t>
  </si>
  <si>
    <t>A distributed approach enables many different bitcoin volatility risk profiles between individuals. Anyone can opt-out providing capital at any time if the bitcoin price underperforms beyond their comfort level however with built-in bitcoin price drawdown liquidation protection only credit obligations are required to maintain the capital position.</t>
  </si>
  <si>
    <t>Bitcoin TVL is increased at a faster rate due to the decentralized capital participation model. A BTC &amp; LN Long 2X position commands a double growth rate increase to the purchased bitcoin while a BTC &amp; LN Long 3X position commands a 50% growth rate increase to the purchased bitcoin due to the reduction of capital.</t>
  </si>
  <si>
    <t>While there remains a small overhead of credit-based products built using Traditional Finance such as bonds, preferred shares, and loans the majority of the effort is bitcoinizing those Real World Liabilities (RWL) using bitcoin-backed products and services on the Lightning Network with Lightning Stable Channels as a mechanism to balance bitcoin stable to fiat with bitcoin volatile using leverage.</t>
  </si>
  <si>
    <t>Bitcoiners can permissionlessly provide bitcoin capital to global credit markets and earn true bitcoin yield by participating in the worldwide bitcoin credit market revolution. An example of the power in decentralized and distributed capital means that individuals in the United States can effortlessly provide capital to credit instruments created in Europe.</t>
  </si>
  <si>
    <t>Streaming Finance
using the Bitcoin Lightning Network</t>
  </si>
  <si>
    <t>Explainer</t>
  </si>
  <si>
    <t>2X = 1 BTC buy adds 2 BTC to TVL
3X = 1 BTC buy adds 1.5 BTC to TVL</t>
  </si>
  <si>
    <t>Bitcoin Treasury 2.0 (BT 2.0) is implemented by Bitcoin-native companies with laser focus on bitcoin yield strategies to earn bitcoin revenue instead of through common share dilution.</t>
  </si>
  <si>
    <t>Bitcoin Lightning Credit Derivatives
A permissionless, decentralized and distributed strategy for ultra-high yields using leveraged bitcoin growth and lightning transaction fee exposure</t>
  </si>
  <si>
    <t>Annual ETF Fee</t>
  </si>
  <si>
    <t>Annual Loan Fee</t>
  </si>
  <si>
    <r>
      <t xml:space="preserve">Lightning Bank 5 Year Revenue Summary
</t>
    </r>
    <r>
      <rPr>
        <sz val="11"/>
        <rFont val="Aptos Display"/>
        <family val="2"/>
        <scheme val="major"/>
      </rPr>
      <t>TVL = Total Value Locked</t>
    </r>
  </si>
  <si>
    <t>Stable Receiver / Fiat Lender</t>
  </si>
  <si>
    <t>Stable Provider / Bitcoin Borrower</t>
  </si>
  <si>
    <t>Stable Balancer / Lightning Service Provider</t>
  </si>
  <si>
    <t>SP BiLY SB BTC</t>
  </si>
  <si>
    <t>SP BiLY SR BTC</t>
  </si>
  <si>
    <t>Bitcoin Lightning Credit Derivatives</t>
  </si>
  <si>
    <t>SP BiLY BTC</t>
  </si>
  <si>
    <r>
      <t xml:space="preserve">Bitcoin Yield Estimate 5 Year Summary
</t>
    </r>
    <r>
      <rPr>
        <sz val="11"/>
        <rFont val="Aptos Display"/>
        <family val="2"/>
        <scheme val="major"/>
      </rPr>
      <t>SR = Stable Receiver
SB = Stable Balancer
SP = Stable Provider</t>
    </r>
  </si>
  <si>
    <t>Annual Bitcoin Transaction Yield %</t>
  </si>
  <si>
    <t>Annual Bitcoin Growth Yield %</t>
  </si>
  <si>
    <t>Stable Security Cumulative %</t>
  </si>
  <si>
    <t>Stable Security Remaining %</t>
  </si>
  <si>
    <t>Stable Security Annual %</t>
  </si>
  <si>
    <t>Stable Security Annual Average %</t>
  </si>
  <si>
    <t>Stable Debt Annual %</t>
  </si>
  <si>
    <t>Stable Debt Annual Avg. %</t>
  </si>
  <si>
    <t>Stable Receiver Security Annual USD %</t>
  </si>
  <si>
    <t>Stable Balancer Security Annual USD %</t>
  </si>
  <si>
    <t>Stable Balancer Debt Annual USD %</t>
  </si>
  <si>
    <t>Stable Provider Debt-to-Value %</t>
  </si>
  <si>
    <t>S E R V I C E</t>
  </si>
  <si>
    <t>Bitcoin Yield Estimate Variables
BiGY = Bitcoin Growth Yield (CAGR)
BiLY = Bitcoin Liquidity Yield
BiTY = Bitcoin Transaction Yield</t>
  </si>
  <si>
    <t>Annual Bitcoin Liquidity Yield %</t>
  </si>
  <si>
    <t>Bitcoin Liquidity Yield (BiLY)</t>
  </si>
  <si>
    <r>
      <t xml:space="preserve">Bitcoin Yield Estimate Variables
</t>
    </r>
    <r>
      <rPr>
        <sz val="11"/>
        <rFont val="Aptos Display"/>
        <family val="2"/>
        <scheme val="major"/>
      </rPr>
      <t>BiGY = Bitcoin Growth Yield (CAGR)
BiLY = Bitcoin Liquidity Yield
BiTY = Bitcoin Transaction Yield</t>
    </r>
  </si>
  <si>
    <t>T R A N S A C T I O N</t>
  </si>
  <si>
    <t>L I Q U I D I T Y</t>
  </si>
  <si>
    <t>G R O W T H</t>
  </si>
  <si>
    <t>G R O S S   T O T A L</t>
  </si>
  <si>
    <t xml:space="preserve">S E C U R I T Y </t>
  </si>
  <si>
    <t>D E B T</t>
  </si>
  <si>
    <t>N E T   T O T A L</t>
  </si>
  <si>
    <t>L E A S E   T O   C A P I T A L</t>
  </si>
  <si>
    <t xml:space="preserve">2 X  </t>
  </si>
  <si>
    <t>C A P I T A L   L E V E R A G E</t>
  </si>
  <si>
    <t xml:space="preserve">2 . 5 X </t>
  </si>
  <si>
    <t xml:space="preserve">3 X </t>
  </si>
  <si>
    <t xml:space="preserve">3 . 5 X </t>
  </si>
  <si>
    <t>4 X</t>
  </si>
  <si>
    <t xml:space="preserve">4 . 5 X </t>
  </si>
  <si>
    <t>5 X</t>
  </si>
  <si>
    <r>
      <rPr>
        <sz val="16"/>
        <color rgb="FF719C59"/>
        <rFont val="Aptos Narrow"/>
        <family val="2"/>
        <scheme val="minor"/>
      </rPr>
      <t>F I A T</t>
    </r>
    <r>
      <rPr>
        <sz val="16"/>
        <color theme="0" tint="-0.14999847407452621"/>
        <rFont val="Aptos Narrow"/>
        <family val="2"/>
        <scheme val="minor"/>
      </rPr>
      <t xml:space="preserve">   G R O W T H</t>
    </r>
  </si>
  <si>
    <r>
      <rPr>
        <sz val="16"/>
        <color rgb="FFFFA500"/>
        <rFont val="Aptos Narrow"/>
        <family val="2"/>
        <scheme val="minor"/>
      </rPr>
      <t>B T C</t>
    </r>
    <r>
      <rPr>
        <sz val="16"/>
        <color theme="0" tint="-0.14999847407452621"/>
        <rFont val="Aptos Narrow"/>
        <family val="2"/>
        <scheme val="minor"/>
      </rPr>
      <t xml:space="preserve">   L I Q U I D I T Y</t>
    </r>
  </si>
  <si>
    <r>
      <rPr>
        <sz val="16"/>
        <color rgb="FFFFA500"/>
        <rFont val="Aptos Narrow"/>
        <family val="2"/>
        <scheme val="minor"/>
      </rPr>
      <t>B T C</t>
    </r>
    <r>
      <rPr>
        <sz val="16"/>
        <color theme="0" tint="-0.14999847407452621"/>
        <rFont val="Aptos Narrow"/>
        <family val="2"/>
        <scheme val="minor"/>
      </rPr>
      <t xml:space="preserve">   T R A N S A C T I O N</t>
    </r>
  </si>
  <si>
    <t>A N N U A L I Z E D
B I T C O I N
Y I E L D</t>
  </si>
  <si>
    <t>A global, permissionless, decentralized and distributed strategy for ultra-high yields using leveraged Bitcoin growth, liquidity and transaction leasing exposure</t>
  </si>
  <si>
    <r>
      <t xml:space="preserve">B I T C O I N   L E A S I N G   Y I E L D
A N N U A L I Z E D   </t>
    </r>
    <r>
      <rPr>
        <sz val="16"/>
        <color rgb="FFFFA500"/>
        <rFont val="Aptos Narrow"/>
        <family val="2"/>
        <scheme val="minor"/>
      </rPr>
      <t>B T C</t>
    </r>
    <r>
      <rPr>
        <sz val="16"/>
        <color rgb="FF1F9BFD"/>
        <rFont val="Aptos Narrow"/>
        <family val="2"/>
        <scheme val="minor"/>
      </rPr>
      <t xml:space="preserve">
5   Y E A R   A V E R A G E</t>
    </r>
  </si>
  <si>
    <r>
      <t xml:space="preserve">B I T C O I N   L E A S I N G   Y I E L D
A N N U A L I Z E D   </t>
    </r>
    <r>
      <rPr>
        <sz val="16"/>
        <color rgb="FFFFA500"/>
        <rFont val="Aptos Narrow"/>
        <family val="2"/>
        <scheme val="minor"/>
      </rPr>
      <t>B T C</t>
    </r>
    <r>
      <rPr>
        <sz val="16"/>
        <color rgb="FF1F9BFD"/>
        <rFont val="Aptos Narrow"/>
        <family val="2"/>
        <scheme val="minor"/>
      </rPr>
      <t xml:space="preserve">
10   Y E A R   A V E R A G E</t>
    </r>
  </si>
  <si>
    <r>
      <t xml:space="preserve">B I T C O I N   L E A S I N G   F E E S
A N N U A L I Z E D   </t>
    </r>
    <r>
      <rPr>
        <sz val="16"/>
        <color rgb="FF719C59"/>
        <rFont val="Aptos Narrow"/>
        <family val="2"/>
        <scheme val="minor"/>
      </rPr>
      <t>F I A T</t>
    </r>
  </si>
  <si>
    <r>
      <rPr>
        <sz val="20"/>
        <color rgb="FFCCCCCC"/>
        <rFont val="Aptos Narrow"/>
        <family val="2"/>
        <scheme val="minor"/>
      </rPr>
      <t xml:space="preserve">A M P L I F Y 
Y O U R
</t>
    </r>
    <r>
      <rPr>
        <sz val="20"/>
        <color rgb="FFFFA500"/>
        <rFont val="Aptos Narrow"/>
        <family val="2"/>
        <scheme val="minor"/>
      </rPr>
      <t>B I T C O I N</t>
    </r>
  </si>
  <si>
    <r>
      <rPr>
        <sz val="20"/>
        <color rgb="FFCCCCCC"/>
        <rFont val="Aptos Narrow"/>
        <family val="2"/>
        <scheme val="minor"/>
      </rPr>
      <t>O N   T H E</t>
    </r>
    <r>
      <rPr>
        <sz val="20"/>
        <color rgb="FFFFA500"/>
        <rFont val="Aptos Narrow"/>
        <family val="2"/>
        <scheme val="minor"/>
      </rPr>
      <t xml:space="preserve">
L I G H T N I N G
N E T W O R K</t>
    </r>
  </si>
  <si>
    <t>Bitcoin Growth Yield is the Bitcoin Compound Annual Growth Rate from leasing the credit (stable bitcoin) liquidity position. Bitcoin Liquidity Yield is the Lightning fees obtained from leasing the credit (stable bitcoin) and capital (volatile bitcoin) liquidity positions. Bitcoin Transaction Yield is the Lightning fees obtained from routing fees in the credit (stable bitcoin) and capital (volatile bitcoin) liquidity positions
Capital Providers receive 100% of the Bitcoin Yield with fiat-denominated fees deducted thus eliminating the need to dilute common shareholders.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</si>
</sst>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00,,&quot; M&quot;"/>
    <numFmt numFmtId="165" formatCode="&quot;$&quot;#,##0,&quot; K&quot;"/>
    <numFmt numFmtId="166" formatCode="&quot;$&quot;###0.00,,,,&quot; T&quot;"/>
    <numFmt numFmtId="167" formatCode="&quot;$&quot;#,##0.00"/>
    <numFmt numFmtId="168" formatCode="#,##0,&quot; K&quot;"/>
    <numFmt numFmtId="169" formatCode="###0.0,,&quot; M&quot;"/>
    <numFmt numFmtId="170" formatCode="&quot;$&quot;###0.00,,,&quot; B&quot;"/>
  </numFmts>
  <fonts count="30" x14ac:knownFonts="1">
    <font>
      <sz val="11"/>
      <color theme="1"/>
      <name val="Aptos Narrow"/>
      <family val="2"/>
      <scheme val="minor"/>
    </font>
    <font>
      <sz val="11"/>
      <color theme="1"/>
      <name val="Aptos Display"/>
      <family val="2"/>
      <scheme val="major"/>
    </font>
    <font>
      <sz val="11"/>
      <color theme="0"/>
      <name val="Aptos Display"/>
      <family val="2"/>
      <scheme val="major"/>
    </font>
    <font>
      <sz val="11"/>
      <name val="Aptos Display"/>
      <family val="2"/>
      <scheme val="major"/>
    </font>
    <font>
      <b/>
      <sz val="11"/>
      <color theme="1"/>
      <name val="Aptos Display"/>
      <family val="2"/>
      <scheme val="major"/>
    </font>
    <font>
      <b/>
      <sz val="11"/>
      <name val="Aptos Display"/>
      <family val="2"/>
      <scheme val="major"/>
    </font>
    <font>
      <sz val="12"/>
      <color theme="0"/>
      <name val="Aptos Display"/>
      <family val="2"/>
      <scheme val="major"/>
    </font>
    <font>
      <sz val="11"/>
      <color rgb="FF006100"/>
      <name val="Aptos Narrow"/>
      <family val="2"/>
      <scheme val="minor"/>
    </font>
    <font>
      <b/>
      <sz val="11"/>
      <color rgb="FF006100"/>
      <name val="Aptos Narrow"/>
      <family val="2"/>
      <scheme val="minor"/>
    </font>
    <font>
      <sz val="18"/>
      <color theme="1"/>
      <name val="Aptos Display"/>
      <family val="2"/>
      <scheme val="major"/>
    </font>
    <font>
      <sz val="16"/>
      <color rgb="FF1F9BFD"/>
      <name val="Aptos Narrow"/>
      <family val="2"/>
      <scheme val="minor"/>
    </font>
    <font>
      <sz val="16"/>
      <color theme="0"/>
      <name val="Aptos Narrow"/>
      <family val="2"/>
      <scheme val="minor"/>
    </font>
    <font>
      <sz val="16"/>
      <color rgb="FF719C59"/>
      <name val="Aptos Narrow"/>
      <family val="2"/>
      <scheme val="minor"/>
    </font>
    <font>
      <sz val="14"/>
      <color theme="0" tint="-0.14999847407452621"/>
      <name val="Aptos Narrow"/>
      <family val="2"/>
      <scheme val="minor"/>
    </font>
    <font>
      <sz val="16"/>
      <color rgb="FFFFA500"/>
      <name val="Aptos Narrow"/>
      <family val="2"/>
      <scheme val="minor"/>
    </font>
    <font>
      <sz val="22"/>
      <color theme="0"/>
      <name val="Aptos Narrow"/>
      <family val="2"/>
      <scheme val="minor"/>
    </font>
    <font>
      <sz val="22"/>
      <color rgb="FF1F9BFD"/>
      <name val="Aptos Narrow"/>
      <family val="2"/>
      <scheme val="minor"/>
    </font>
    <font>
      <sz val="16"/>
      <color theme="0" tint="-0.14999847407452621"/>
      <name val="Aptos Narrow"/>
      <family val="2"/>
      <scheme val="minor"/>
    </font>
    <font>
      <sz val="18"/>
      <color rgb="FFFFA500"/>
      <name val="Aptos Narrow"/>
      <family val="2"/>
      <scheme val="minor"/>
    </font>
    <font>
      <sz val="8"/>
      <name val="Aptos Narrow"/>
      <family val="2"/>
      <scheme val="minor"/>
    </font>
    <font>
      <sz val="16"/>
      <color rgb="FFCCCCCC"/>
      <name val="Aptos Narrow"/>
      <family val="2"/>
      <scheme val="minor"/>
    </font>
    <font>
      <sz val="16"/>
      <color theme="0" tint="-0.34998626667073579"/>
      <name val="Aptos Narrow"/>
      <family val="2"/>
      <scheme val="minor"/>
    </font>
    <font>
      <sz val="18"/>
      <color rgb="FF1F9BFD"/>
      <name val="Aptos Narrow"/>
      <family val="2"/>
      <scheme val="minor"/>
    </font>
    <font>
      <sz val="18"/>
      <color rgb="FFCCCCCC"/>
      <name val="Aptos Narrow"/>
      <family val="2"/>
      <scheme val="minor"/>
    </font>
    <font>
      <sz val="20"/>
      <color rgb="FFFFA500"/>
      <name val="Aptos Narrow"/>
      <family val="2"/>
      <scheme val="minor"/>
    </font>
    <font>
      <sz val="20"/>
      <color rgb="FFCCCCCC"/>
      <name val="Aptos Narrow"/>
      <family val="2"/>
      <scheme val="minor"/>
    </font>
    <font>
      <sz val="16"/>
      <color theme="5"/>
      <name val="Aptos Narrow"/>
      <family val="2"/>
      <scheme val="minor"/>
    </font>
    <font>
      <sz val="20"/>
      <color rgb="FF1F9BFD"/>
      <name val="Aptos Narrow"/>
      <family val="2"/>
      <scheme val="minor"/>
    </font>
    <font>
      <sz val="28"/>
      <color rgb="FF719C59"/>
      <name val="Aptos Narrow"/>
      <family val="2"/>
      <scheme val="minor"/>
    </font>
    <font>
      <sz val="28"/>
      <color rgb="FFFFA500"/>
      <name val="Aptos Narrow"/>
      <family val="2"/>
      <scheme val="minor"/>
    </font>
  </fonts>
  <fills count="15">
    <fill>
      <patternFill patternType="none"/>
    </fill>
    <fill>
      <patternFill patternType="gray125"/>
    </fill>
    <fill>
      <patternFill patternType="solid">
        <fgColor theme="4"/>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5DAA9"/>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rgb="FFC6EFCE"/>
      </patternFill>
    </fill>
    <fill>
      <patternFill patternType="solid">
        <fgColor theme="5" tint="0.59999389629810485"/>
        <bgColor indexed="64"/>
      </patternFill>
    </fill>
    <fill>
      <patternFill patternType="solid">
        <fgColor theme="0" tint="-0.14999847407452621"/>
        <bgColor indexed="64"/>
      </patternFill>
    </fill>
    <fill>
      <patternFill patternType="solid">
        <fgColor theme="1"/>
        <bgColor indexed="64"/>
      </patternFill>
    </fill>
  </fills>
  <borders count="44">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style="thin">
        <color theme="0"/>
      </top>
      <bottom style="thin">
        <color theme="0"/>
      </bottom>
      <diagonal/>
    </border>
    <border>
      <left style="thin">
        <color theme="0"/>
      </left>
      <right/>
      <top/>
      <bottom/>
      <diagonal/>
    </border>
    <border>
      <left/>
      <right/>
      <top style="thin">
        <color indexed="64"/>
      </top>
      <bottom style="thin">
        <color indexed="64"/>
      </bottom>
      <diagonal/>
    </border>
    <border>
      <left/>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diagonal/>
    </border>
    <border>
      <left style="thin">
        <color theme="0"/>
      </left>
      <right style="thin">
        <color theme="0"/>
      </right>
      <top/>
      <bottom style="thin">
        <color indexed="64"/>
      </bottom>
      <diagonal/>
    </border>
    <border>
      <left style="thin">
        <color theme="0"/>
      </left>
      <right/>
      <top style="thin">
        <color indexed="64"/>
      </top>
      <bottom/>
      <diagonal/>
    </border>
    <border>
      <left style="thin">
        <color theme="0"/>
      </left>
      <right/>
      <top/>
      <bottom style="thin">
        <color indexed="64"/>
      </bottom>
      <diagonal/>
    </border>
    <border>
      <left/>
      <right/>
      <top style="thin">
        <color theme="0"/>
      </top>
      <bottom/>
      <diagonal/>
    </border>
    <border>
      <left style="thin">
        <color theme="0"/>
      </left>
      <right/>
      <top style="thin">
        <color theme="0"/>
      </top>
      <bottom/>
      <diagonal/>
    </border>
    <border>
      <left/>
      <right style="thin">
        <color theme="0"/>
      </right>
      <top/>
      <bottom style="thin">
        <color indexed="64"/>
      </bottom>
      <diagonal/>
    </border>
    <border>
      <left/>
      <right/>
      <top style="thin">
        <color theme="1" tint="0.34998626667073579"/>
      </top>
      <bottom style="thin">
        <color theme="1" tint="0.34998626667073579"/>
      </bottom>
      <diagonal/>
    </border>
    <border>
      <left/>
      <right style="thin">
        <color theme="0"/>
      </right>
      <top style="thin">
        <color theme="1" tint="0.34998626667073579"/>
      </top>
      <bottom style="thin">
        <color theme="1" tint="0.34998626667073579"/>
      </bottom>
      <diagonal/>
    </border>
    <border>
      <left style="thin">
        <color theme="0"/>
      </left>
      <right style="thin">
        <color theme="0"/>
      </right>
      <top style="thin">
        <color theme="1" tint="0.34998626667073579"/>
      </top>
      <bottom style="thin">
        <color theme="1" tint="0.34998626667073579"/>
      </bottom>
      <diagonal/>
    </border>
    <border>
      <left style="thin">
        <color theme="0"/>
      </left>
      <right style="thin">
        <color theme="0"/>
      </right>
      <top/>
      <bottom style="thin">
        <color theme="1" tint="0.34998626667073579"/>
      </bottom>
      <diagonal/>
    </border>
    <border>
      <left style="thin">
        <color theme="0"/>
      </left>
      <right/>
      <top style="thin">
        <color theme="1" tint="0.34998626667073579"/>
      </top>
      <bottom style="thin">
        <color theme="1" tint="0.34998626667073579"/>
      </bottom>
      <diagonal/>
    </border>
    <border>
      <left style="thin">
        <color theme="0"/>
      </left>
      <right style="thin">
        <color theme="0"/>
      </right>
      <top style="thin">
        <color theme="0"/>
      </top>
      <bottom/>
      <diagonal/>
    </border>
    <border>
      <left style="thin">
        <color theme="0"/>
      </left>
      <right/>
      <top style="thin">
        <color theme="1" tint="0.34998626667073579"/>
      </top>
      <bottom/>
      <diagonal/>
    </border>
    <border>
      <left style="thin">
        <color theme="0"/>
      </left>
      <right/>
      <top/>
      <bottom style="thin">
        <color theme="1" tint="0.34998626667073579"/>
      </bottom>
      <diagonal/>
    </border>
    <border>
      <left/>
      <right/>
      <top style="thin">
        <color theme="1" tint="0.34998626667073579"/>
      </top>
      <bottom/>
      <diagonal/>
    </border>
    <border>
      <left/>
      <right style="thin">
        <color theme="0"/>
      </right>
      <top style="thin">
        <color theme="1" tint="0.34998626667073579"/>
      </top>
      <bottom/>
      <diagonal/>
    </border>
    <border>
      <left/>
      <right/>
      <top/>
      <bottom style="thin">
        <color theme="1" tint="0.34998626667073579"/>
      </bottom>
      <diagonal/>
    </border>
    <border>
      <left/>
      <right style="thin">
        <color theme="0"/>
      </right>
      <top/>
      <bottom style="thin">
        <color theme="1" tint="0.34998626667073579"/>
      </bottom>
      <diagonal/>
    </border>
    <border>
      <left/>
      <right/>
      <top/>
      <bottom style="thick">
        <color rgb="FF1F9BFD"/>
      </bottom>
      <diagonal/>
    </border>
    <border>
      <left/>
      <right/>
      <top style="thick">
        <color rgb="FF1F9BFD"/>
      </top>
      <bottom style="medium">
        <color rgb="FF1F9BFD"/>
      </bottom>
      <diagonal/>
    </border>
    <border>
      <left/>
      <right/>
      <top style="medium">
        <color rgb="FF1F9BFD"/>
      </top>
      <bottom style="medium">
        <color rgb="FF1F9BFD"/>
      </bottom>
      <diagonal/>
    </border>
    <border>
      <left/>
      <right/>
      <top style="medium">
        <color rgb="FF1F9BFD"/>
      </top>
      <bottom/>
      <diagonal/>
    </border>
    <border>
      <left/>
      <right/>
      <top/>
      <bottom style="medium">
        <color rgb="FF1F9BFD"/>
      </bottom>
      <diagonal/>
    </border>
    <border>
      <left style="thick">
        <color rgb="FF1F9BFD"/>
      </left>
      <right style="thick">
        <color rgb="FF1F9BFD"/>
      </right>
      <top/>
      <bottom/>
      <diagonal/>
    </border>
    <border>
      <left/>
      <right style="thick">
        <color rgb="FF1F9BFD"/>
      </right>
      <top/>
      <bottom/>
      <diagonal/>
    </border>
    <border>
      <left style="thick">
        <color rgb="FF1F9BFD"/>
      </left>
      <right style="thick">
        <color rgb="FF1F9BFD"/>
      </right>
      <top/>
      <bottom style="medium">
        <color rgb="FF1F9BFD"/>
      </bottom>
      <diagonal/>
    </border>
    <border>
      <left style="thick">
        <color rgb="FF1F9BFD"/>
      </left>
      <right/>
      <top/>
      <bottom/>
      <diagonal/>
    </border>
    <border>
      <left/>
      <right style="thick">
        <color rgb="FF1F9BFD"/>
      </right>
      <top/>
      <bottom style="medium">
        <color rgb="FF1F9BFD"/>
      </bottom>
      <diagonal/>
    </border>
    <border>
      <left style="thick">
        <color rgb="FF1F9BFD"/>
      </left>
      <right/>
      <top/>
      <bottom style="medium">
        <color rgb="FF1F9BFD"/>
      </bottom>
      <diagonal/>
    </border>
  </borders>
  <cellStyleXfs count="2">
    <xf numFmtId="0" fontId="0" fillId="0" borderId="0"/>
    <xf numFmtId="0" fontId="7" fillId="11" borderId="0" applyNumberFormat="0" applyBorder="0" applyAlignment="0" applyProtection="0"/>
  </cellStyleXfs>
  <cellXfs count="245">
    <xf numFmtId="0" fontId="0" fillId="0" borderId="0" xfId="0"/>
    <xf numFmtId="0" fontId="1" fillId="0" borderId="4" xfId="0" applyFont="1" applyBorder="1" applyAlignment="1">
      <alignment horizontal="left" vertical="center" indent="1"/>
    </xf>
    <xf numFmtId="0" fontId="1" fillId="0" borderId="0" xfId="0" applyFont="1" applyAlignment="1">
      <alignment horizontal="left" vertical="center" indent="1"/>
    </xf>
    <xf numFmtId="0" fontId="1" fillId="0" borderId="3" xfId="0" applyFont="1" applyBorder="1" applyAlignment="1">
      <alignment horizontal="left" vertical="center" indent="1"/>
    </xf>
    <xf numFmtId="0" fontId="1" fillId="0" borderId="5" xfId="0" applyFont="1" applyBorder="1" applyAlignment="1">
      <alignment horizontal="left" vertical="center" indent="1"/>
    </xf>
    <xf numFmtId="0" fontId="1" fillId="6" borderId="0" xfId="0" applyFont="1" applyFill="1" applyAlignment="1">
      <alignment horizontal="left" vertical="center" wrapText="1" indent="1"/>
    </xf>
    <xf numFmtId="10" fontId="4" fillId="6" borderId="6" xfId="0" applyNumberFormat="1" applyFont="1" applyFill="1" applyBorder="1" applyAlignment="1">
      <alignment horizontal="left" vertical="center" wrapText="1" indent="1"/>
    </xf>
    <xf numFmtId="10" fontId="4" fillId="6" borderId="5" xfId="0" applyNumberFormat="1" applyFont="1" applyFill="1" applyBorder="1" applyAlignment="1">
      <alignment horizontal="left" vertical="center" wrapText="1" indent="1"/>
    </xf>
    <xf numFmtId="0" fontId="1" fillId="0" borderId="1" xfId="0" applyFont="1" applyBorder="1" applyAlignment="1">
      <alignment horizontal="left" vertical="center" indent="1"/>
    </xf>
    <xf numFmtId="0" fontId="1" fillId="0" borderId="2" xfId="0" applyFont="1" applyBorder="1" applyAlignment="1">
      <alignment horizontal="left" vertical="center" indent="1"/>
    </xf>
    <xf numFmtId="164" fontId="1" fillId="0" borderId="3" xfId="0" applyNumberFormat="1" applyFont="1" applyBorder="1" applyAlignment="1">
      <alignment horizontal="left" vertical="center" indent="1"/>
    </xf>
    <xf numFmtId="0" fontId="1" fillId="0" borderId="8" xfId="0" applyFont="1" applyBorder="1" applyAlignment="1">
      <alignment horizontal="left" vertical="center" indent="1"/>
    </xf>
    <xf numFmtId="10" fontId="1" fillId="0" borderId="0" xfId="0" applyNumberFormat="1" applyFont="1" applyAlignment="1">
      <alignment horizontal="left" vertical="center" indent="1"/>
    </xf>
    <xf numFmtId="164" fontId="1" fillId="0" borderId="0" xfId="0" applyNumberFormat="1" applyFont="1" applyAlignment="1">
      <alignment horizontal="left" vertical="center" indent="1"/>
    </xf>
    <xf numFmtId="0" fontId="3" fillId="0" borderId="0" xfId="0" applyFont="1" applyAlignment="1">
      <alignment horizontal="left" vertical="center" indent="1"/>
    </xf>
    <xf numFmtId="0" fontId="5" fillId="5" borderId="10" xfId="0" applyFont="1" applyFill="1" applyBorder="1" applyAlignment="1">
      <alignment horizontal="left" vertical="center" indent="1"/>
    </xf>
    <xf numFmtId="10" fontId="5" fillId="5" borderId="10" xfId="0" applyNumberFormat="1" applyFont="1" applyFill="1" applyBorder="1" applyAlignment="1">
      <alignment horizontal="left" vertical="center" indent="1"/>
    </xf>
    <xf numFmtId="10" fontId="4" fillId="5" borderId="10" xfId="0" applyNumberFormat="1" applyFont="1" applyFill="1" applyBorder="1" applyAlignment="1">
      <alignment horizontal="left" vertical="center" indent="1"/>
    </xf>
    <xf numFmtId="0" fontId="3" fillId="0" borderId="10" xfId="0" applyFont="1" applyBorder="1" applyAlignment="1">
      <alignment horizontal="left" vertical="center" indent="1"/>
    </xf>
    <xf numFmtId="0" fontId="3" fillId="0" borderId="12" xfId="0" applyFont="1" applyBorder="1" applyAlignment="1">
      <alignment horizontal="left" vertical="center" indent="1"/>
    </xf>
    <xf numFmtId="4" fontId="1" fillId="0" borderId="12" xfId="0" applyNumberFormat="1" applyFont="1" applyBorder="1" applyAlignment="1">
      <alignment horizontal="left" vertical="center" indent="1"/>
    </xf>
    <xf numFmtId="164" fontId="1" fillId="0" borderId="12" xfId="0" applyNumberFormat="1" applyFont="1" applyBorder="1" applyAlignment="1">
      <alignment horizontal="left" vertical="center" indent="1"/>
    </xf>
    <xf numFmtId="164" fontId="1" fillId="6" borderId="12" xfId="0" applyNumberFormat="1" applyFont="1" applyFill="1" applyBorder="1" applyAlignment="1">
      <alignment horizontal="left" vertical="center" indent="1"/>
    </xf>
    <xf numFmtId="165" fontId="1" fillId="6" borderId="12" xfId="0" applyNumberFormat="1" applyFont="1" applyFill="1" applyBorder="1" applyAlignment="1">
      <alignment horizontal="left" vertical="center" indent="1"/>
    </xf>
    <xf numFmtId="165" fontId="1" fillId="0" borderId="12" xfId="0" applyNumberFormat="1" applyFont="1" applyBorder="1" applyAlignment="1">
      <alignment horizontal="left" vertical="center" indent="1"/>
    </xf>
    <xf numFmtId="166" fontId="1" fillId="0" borderId="12" xfId="0" applyNumberFormat="1" applyFont="1" applyBorder="1" applyAlignment="1">
      <alignment horizontal="left" vertical="center" indent="1"/>
    </xf>
    <xf numFmtId="10" fontId="3" fillId="0" borderId="12" xfId="0" applyNumberFormat="1" applyFont="1" applyBorder="1" applyAlignment="1">
      <alignment horizontal="left" vertical="center" indent="1"/>
    </xf>
    <xf numFmtId="3" fontId="1" fillId="0" borderId="12" xfId="0" applyNumberFormat="1" applyFont="1" applyBorder="1" applyAlignment="1">
      <alignment horizontal="left" vertical="center" indent="1"/>
    </xf>
    <xf numFmtId="3" fontId="4" fillId="8" borderId="12" xfId="0" applyNumberFormat="1" applyFont="1" applyFill="1" applyBorder="1" applyAlignment="1">
      <alignment horizontal="left" vertical="center" indent="1"/>
    </xf>
    <xf numFmtId="3" fontId="4" fillId="5" borderId="10" xfId="0" applyNumberFormat="1" applyFont="1" applyFill="1" applyBorder="1" applyAlignment="1">
      <alignment horizontal="left" vertical="center" indent="1"/>
    </xf>
    <xf numFmtId="3" fontId="4" fillId="8" borderId="10" xfId="0" applyNumberFormat="1" applyFont="1" applyFill="1" applyBorder="1" applyAlignment="1">
      <alignment horizontal="left" vertical="center" indent="1"/>
    </xf>
    <xf numFmtId="10" fontId="4" fillId="0" borderId="3" xfId="0" applyNumberFormat="1" applyFont="1" applyBorder="1" applyAlignment="1">
      <alignment horizontal="left" vertical="center" indent="1"/>
    </xf>
    <xf numFmtId="0" fontId="3" fillId="0" borderId="10" xfId="0" applyFont="1" applyBorder="1" applyAlignment="1">
      <alignment horizontal="left" vertical="center" wrapText="1" indent="1"/>
    </xf>
    <xf numFmtId="164" fontId="4" fillId="4" borderId="10" xfId="0" applyNumberFormat="1" applyFont="1" applyFill="1" applyBorder="1" applyAlignment="1">
      <alignment horizontal="left" vertical="center" wrapText="1" indent="1"/>
    </xf>
    <xf numFmtId="10" fontId="4" fillId="4" borderId="10" xfId="0" applyNumberFormat="1" applyFont="1" applyFill="1" applyBorder="1" applyAlignment="1">
      <alignment horizontal="left" vertical="center" wrapText="1" indent="1"/>
    </xf>
    <xf numFmtId="10" fontId="4" fillId="4" borderId="10" xfId="0" applyNumberFormat="1" applyFont="1" applyFill="1" applyBorder="1" applyAlignment="1">
      <alignment horizontal="left" vertical="center" indent="1"/>
    </xf>
    <xf numFmtId="10" fontId="5" fillId="4" borderId="10" xfId="0" applyNumberFormat="1" applyFont="1" applyFill="1" applyBorder="1" applyAlignment="1">
      <alignment horizontal="left" vertical="center" wrapText="1" indent="1"/>
    </xf>
    <xf numFmtId="0" fontId="4" fillId="0" borderId="2" xfId="0" applyFont="1" applyBorder="1" applyAlignment="1">
      <alignment horizontal="left" vertical="center" indent="1"/>
    </xf>
    <xf numFmtId="10" fontId="4" fillId="8" borderId="10" xfId="0" applyNumberFormat="1" applyFont="1" applyFill="1" applyBorder="1" applyAlignment="1">
      <alignment horizontal="left" vertical="center" indent="1"/>
    </xf>
    <xf numFmtId="10" fontId="4" fillId="4" borderId="11" xfId="0" applyNumberFormat="1" applyFont="1" applyFill="1" applyBorder="1" applyAlignment="1">
      <alignment horizontal="left" vertical="center" indent="1"/>
    </xf>
    <xf numFmtId="0" fontId="3" fillId="0" borderId="4" xfId="0" applyFont="1" applyBorder="1" applyAlignment="1">
      <alignment horizontal="left" vertical="center" indent="1"/>
    </xf>
    <xf numFmtId="10" fontId="4" fillId="8" borderId="11" xfId="0" applyNumberFormat="1" applyFont="1" applyFill="1" applyBorder="1" applyAlignment="1">
      <alignment horizontal="left" vertical="center" wrapText="1" indent="1"/>
    </xf>
    <xf numFmtId="3" fontId="4" fillId="8" borderId="11" xfId="0" applyNumberFormat="1" applyFont="1" applyFill="1" applyBorder="1" applyAlignment="1">
      <alignment horizontal="left" vertical="center" wrapText="1" indent="1"/>
    </xf>
    <xf numFmtId="0" fontId="2" fillId="0" borderId="4" xfId="0" applyFont="1" applyBorder="1" applyAlignment="1">
      <alignment horizontal="left" vertical="center" indent="1"/>
    </xf>
    <xf numFmtId="0" fontId="3" fillId="0" borderId="15" xfId="0" applyFont="1" applyBorder="1" applyAlignment="1">
      <alignment horizontal="left" vertical="center" indent="1"/>
    </xf>
    <xf numFmtId="0" fontId="1" fillId="0" borderId="12" xfId="0" applyFont="1" applyBorder="1" applyAlignment="1">
      <alignment horizontal="left" vertical="center" indent="1"/>
    </xf>
    <xf numFmtId="0" fontId="1" fillId="0" borderId="6" xfId="0" applyFont="1" applyBorder="1" applyAlignment="1">
      <alignment horizontal="left" vertical="center" indent="1"/>
    </xf>
    <xf numFmtId="164" fontId="1" fillId="0" borderId="22" xfId="0" applyNumberFormat="1" applyFont="1" applyBorder="1" applyAlignment="1">
      <alignment horizontal="left" vertical="center" indent="1"/>
    </xf>
    <xf numFmtId="164" fontId="1" fillId="0" borderId="23" xfId="0" applyNumberFormat="1" applyFont="1" applyBorder="1" applyAlignment="1">
      <alignment horizontal="left" vertical="center" indent="1"/>
    </xf>
    <xf numFmtId="166" fontId="1" fillId="0" borderId="22" xfId="0" applyNumberFormat="1" applyFont="1" applyBorder="1" applyAlignment="1">
      <alignment horizontal="left" vertical="center" indent="1"/>
    </xf>
    <xf numFmtId="166" fontId="1" fillId="0" borderId="23" xfId="0" applyNumberFormat="1" applyFont="1" applyBorder="1" applyAlignment="1">
      <alignment horizontal="left" vertical="center" indent="1"/>
    </xf>
    <xf numFmtId="10" fontId="5" fillId="5" borderId="21" xfId="0" applyNumberFormat="1" applyFont="1" applyFill="1" applyBorder="1" applyAlignment="1">
      <alignment horizontal="left" vertical="center" indent="1"/>
    </xf>
    <xf numFmtId="10" fontId="5" fillId="8" borderId="21" xfId="0" applyNumberFormat="1" applyFont="1" applyFill="1" applyBorder="1" applyAlignment="1">
      <alignment horizontal="left" vertical="center" indent="1"/>
    </xf>
    <xf numFmtId="10" fontId="1" fillId="0" borderId="22" xfId="0" applyNumberFormat="1" applyFont="1" applyBorder="1" applyAlignment="1">
      <alignment horizontal="left" vertical="center" indent="1"/>
    </xf>
    <xf numFmtId="10" fontId="1" fillId="0" borderId="23" xfId="0" applyNumberFormat="1" applyFont="1" applyBorder="1" applyAlignment="1">
      <alignment horizontal="left" vertical="center" indent="1"/>
    </xf>
    <xf numFmtId="10" fontId="3" fillId="0" borderId="23" xfId="0" applyNumberFormat="1" applyFont="1" applyBorder="1" applyAlignment="1">
      <alignment horizontal="left" vertical="center" indent="1"/>
    </xf>
    <xf numFmtId="0" fontId="3" fillId="0" borderId="23" xfId="0" applyFont="1" applyBorder="1" applyAlignment="1">
      <alignment horizontal="left" vertical="center" indent="1"/>
    </xf>
    <xf numFmtId="0" fontId="3" fillId="0" borderId="24" xfId="0" applyFont="1" applyBorder="1" applyAlignment="1">
      <alignment horizontal="left" vertical="center" indent="1"/>
    </xf>
    <xf numFmtId="0" fontId="5" fillId="5" borderId="25" xfId="0" applyFont="1" applyFill="1" applyBorder="1" applyAlignment="1">
      <alignment horizontal="left" vertical="center" indent="1"/>
    </xf>
    <xf numFmtId="0" fontId="3" fillId="0" borderId="12" xfId="0" applyFont="1" applyBorder="1" applyAlignment="1">
      <alignment horizontal="left" vertical="center" wrapText="1" indent="1"/>
    </xf>
    <xf numFmtId="10" fontId="4" fillId="7" borderId="12" xfId="0" applyNumberFormat="1" applyFont="1" applyFill="1" applyBorder="1" applyAlignment="1">
      <alignment vertical="center" wrapText="1"/>
    </xf>
    <xf numFmtId="10" fontId="4" fillId="6" borderId="12" xfId="0" applyNumberFormat="1" applyFont="1" applyFill="1" applyBorder="1" applyAlignment="1">
      <alignment horizontal="left" vertical="center" wrapText="1" indent="1"/>
    </xf>
    <xf numFmtId="10" fontId="4" fillId="6" borderId="0" xfId="0" applyNumberFormat="1" applyFont="1" applyFill="1" applyAlignment="1">
      <alignment horizontal="left" vertical="center" wrapText="1" indent="1"/>
    </xf>
    <xf numFmtId="0" fontId="1" fillId="0" borderId="26" xfId="0" applyFont="1" applyBorder="1" applyAlignment="1">
      <alignment horizontal="left" vertical="center" indent="1"/>
    </xf>
    <xf numFmtId="0" fontId="4" fillId="10" borderId="11" xfId="0" applyFont="1" applyFill="1" applyBorder="1" applyAlignment="1">
      <alignment horizontal="left" vertical="center" indent="1"/>
    </xf>
    <xf numFmtId="170" fontId="8" fillId="11" borderId="11" xfId="1" applyNumberFormat="1" applyFont="1" applyBorder="1" applyAlignment="1">
      <alignment horizontal="left" vertical="center" wrapText="1" indent="1"/>
    </xf>
    <xf numFmtId="0" fontId="3" fillId="0" borderId="13" xfId="0" applyFont="1" applyBorder="1" applyAlignment="1">
      <alignment horizontal="left" vertical="center" indent="1"/>
    </xf>
    <xf numFmtId="0" fontId="3" fillId="0" borderId="17" xfId="0" applyFont="1" applyBorder="1" applyAlignment="1">
      <alignment horizontal="left" vertical="center" indent="1"/>
    </xf>
    <xf numFmtId="168" fontId="3" fillId="0" borderId="12" xfId="0" applyNumberFormat="1" applyFont="1" applyBorder="1" applyAlignment="1">
      <alignment horizontal="left" vertical="center" wrapText="1" indent="1"/>
    </xf>
    <xf numFmtId="0" fontId="3" fillId="0" borderId="13" xfId="0" applyFont="1" applyBorder="1" applyAlignment="1">
      <alignment horizontal="left" vertical="center" wrapText="1" indent="1"/>
    </xf>
    <xf numFmtId="167" fontId="4" fillId="4" borderId="12" xfId="0" applyNumberFormat="1" applyFont="1" applyFill="1" applyBorder="1" applyAlignment="1">
      <alignment horizontal="left" vertical="center" indent="1"/>
    </xf>
    <xf numFmtId="14" fontId="4" fillId="4" borderId="12" xfId="0" applyNumberFormat="1" applyFont="1" applyFill="1" applyBorder="1" applyAlignment="1">
      <alignment horizontal="left" vertical="center" wrapText="1" indent="1"/>
    </xf>
    <xf numFmtId="10" fontId="4" fillId="10" borderId="9" xfId="0" applyNumberFormat="1" applyFont="1" applyFill="1" applyBorder="1" applyAlignment="1">
      <alignment horizontal="left" vertical="center" indent="1"/>
    </xf>
    <xf numFmtId="10" fontId="4" fillId="10" borderId="0" xfId="0" applyNumberFormat="1" applyFont="1" applyFill="1" applyAlignment="1">
      <alignment vertical="center"/>
    </xf>
    <xf numFmtId="0" fontId="5" fillId="0" borderId="15" xfId="0" applyFont="1" applyBorder="1" applyAlignment="1">
      <alignment horizontal="left" vertical="center" wrapText="1" indent="1"/>
    </xf>
    <xf numFmtId="0" fontId="5" fillId="0" borderId="13" xfId="0" applyFont="1" applyBorder="1" applyAlignment="1">
      <alignment horizontal="left" vertical="center" indent="1"/>
    </xf>
    <xf numFmtId="0" fontId="5" fillId="0" borderId="12" xfId="0" applyFont="1" applyBorder="1" applyAlignment="1">
      <alignment horizontal="left" vertical="center" indent="1"/>
    </xf>
    <xf numFmtId="169" fontId="5" fillId="0" borderId="12" xfId="0" applyNumberFormat="1" applyFont="1" applyBorder="1" applyAlignment="1">
      <alignment horizontal="left" vertical="center" wrapText="1" indent="1"/>
    </xf>
    <xf numFmtId="0" fontId="5" fillId="0" borderId="13" xfId="0" applyFont="1" applyBorder="1" applyAlignment="1">
      <alignment horizontal="left" vertical="center" wrapText="1" indent="1"/>
    </xf>
    <xf numFmtId="0" fontId="5" fillId="0" borderId="17" xfId="0" applyFont="1" applyBorder="1" applyAlignment="1">
      <alignment horizontal="left" vertical="center" indent="1"/>
    </xf>
    <xf numFmtId="10" fontId="1" fillId="0" borderId="12" xfId="0" applyNumberFormat="1" applyFont="1" applyBorder="1" applyAlignment="1">
      <alignment horizontal="left" vertical="center" indent="1"/>
    </xf>
    <xf numFmtId="10" fontId="4" fillId="12" borderId="11" xfId="0" applyNumberFormat="1" applyFont="1" applyFill="1" applyBorder="1" applyAlignment="1">
      <alignment horizontal="left" vertical="center" wrapText="1" indent="1"/>
    </xf>
    <xf numFmtId="10" fontId="4" fillId="12" borderId="10" xfId="0" applyNumberFormat="1" applyFont="1" applyFill="1" applyBorder="1" applyAlignment="1">
      <alignment horizontal="left" vertical="center" indent="1"/>
    </xf>
    <xf numFmtId="0" fontId="4" fillId="5" borderId="25" xfId="0" applyFont="1" applyFill="1" applyBorder="1" applyAlignment="1">
      <alignment horizontal="left" vertical="center" indent="1"/>
    </xf>
    <xf numFmtId="0" fontId="4" fillId="5" borderId="21" xfId="0" applyFont="1" applyFill="1" applyBorder="1" applyAlignment="1">
      <alignment horizontal="left" vertical="center" indent="1"/>
    </xf>
    <xf numFmtId="10" fontId="4" fillId="5" borderId="21" xfId="0" applyNumberFormat="1" applyFont="1" applyFill="1" applyBorder="1" applyAlignment="1">
      <alignment horizontal="left" vertical="center" indent="1"/>
    </xf>
    <xf numFmtId="10" fontId="4" fillId="5" borderId="22" xfId="0" applyNumberFormat="1" applyFont="1" applyFill="1" applyBorder="1" applyAlignment="1">
      <alignment horizontal="left" vertical="center" indent="1"/>
    </xf>
    <xf numFmtId="0" fontId="1" fillId="0" borderId="23" xfId="0" applyFont="1" applyBorder="1" applyAlignment="1">
      <alignment horizontal="left" vertical="center" indent="1"/>
    </xf>
    <xf numFmtId="10" fontId="1" fillId="0" borderId="3" xfId="0" applyNumberFormat="1" applyFont="1" applyBorder="1" applyAlignment="1">
      <alignment horizontal="left" vertical="center" indent="1"/>
    </xf>
    <xf numFmtId="0" fontId="4" fillId="13" borderId="25" xfId="0" applyFont="1" applyFill="1" applyBorder="1" applyAlignment="1">
      <alignment horizontal="left" vertical="center" indent="1"/>
    </xf>
    <xf numFmtId="0" fontId="4" fillId="13" borderId="21" xfId="0" applyFont="1" applyFill="1" applyBorder="1" applyAlignment="1">
      <alignment horizontal="left" vertical="center" indent="1"/>
    </xf>
    <xf numFmtId="0" fontId="4" fillId="13" borderId="22" xfId="0" applyFont="1" applyFill="1" applyBorder="1" applyAlignment="1">
      <alignment horizontal="left" vertical="center" indent="1"/>
    </xf>
    <xf numFmtId="10" fontId="1" fillId="0" borderId="21" xfId="0" applyNumberFormat="1" applyFont="1" applyBorder="1" applyAlignment="1">
      <alignment horizontal="left" vertical="center" indent="1"/>
    </xf>
    <xf numFmtId="0" fontId="4" fillId="4" borderId="29" xfId="0" applyFont="1" applyFill="1" applyBorder="1" applyAlignment="1">
      <alignment horizontal="left" vertical="center" indent="1"/>
    </xf>
    <xf numFmtId="0" fontId="4" fillId="7" borderId="29" xfId="0" applyFont="1" applyFill="1" applyBorder="1" applyAlignment="1">
      <alignment horizontal="left" vertical="center" indent="1"/>
    </xf>
    <xf numFmtId="0" fontId="4" fillId="4" borderId="30" xfId="0" applyFont="1" applyFill="1" applyBorder="1" applyAlignment="1">
      <alignment horizontal="left" vertical="center" indent="1"/>
    </xf>
    <xf numFmtId="0" fontId="4" fillId="4" borderId="31" xfId="0" applyFont="1" applyFill="1" applyBorder="1" applyAlignment="1">
      <alignment horizontal="left" vertical="center" indent="1"/>
    </xf>
    <xf numFmtId="0" fontId="4" fillId="7" borderId="31" xfId="0" applyFont="1" applyFill="1" applyBorder="1" applyAlignment="1">
      <alignment horizontal="left" vertical="center" indent="1"/>
    </xf>
    <xf numFmtId="0" fontId="4" fillId="4" borderId="32" xfId="0" applyFont="1" applyFill="1" applyBorder="1" applyAlignment="1">
      <alignment horizontal="left" vertical="center" indent="1"/>
    </xf>
    <xf numFmtId="10" fontId="4" fillId="5" borderId="23" xfId="0" applyNumberFormat="1" applyFont="1" applyFill="1" applyBorder="1" applyAlignment="1">
      <alignment horizontal="left" vertical="center" indent="1"/>
    </xf>
    <xf numFmtId="0" fontId="4" fillId="5" borderId="23" xfId="0" applyFont="1" applyFill="1" applyBorder="1" applyAlignment="1">
      <alignment horizontal="left" vertical="center" indent="1"/>
    </xf>
    <xf numFmtId="0" fontId="16" fillId="14" borderId="0" xfId="0" applyFont="1" applyFill="1" applyAlignment="1">
      <alignment horizontal="right" vertical="center" indent="1"/>
    </xf>
    <xf numFmtId="0" fontId="16" fillId="14" borderId="0" xfId="0" applyFont="1" applyFill="1" applyAlignment="1">
      <alignment horizontal="left" vertical="center" indent="1"/>
    </xf>
    <xf numFmtId="0" fontId="13" fillId="14" borderId="0" xfId="0" applyFont="1" applyFill="1" applyAlignment="1">
      <alignment horizontal="right" vertical="center" indent="1"/>
    </xf>
    <xf numFmtId="0" fontId="13" fillId="14" borderId="0" xfId="0" applyFont="1" applyFill="1" applyAlignment="1">
      <alignment horizontal="left" vertical="center" indent="1"/>
    </xf>
    <xf numFmtId="0" fontId="15" fillId="14" borderId="0" xfId="0" applyFont="1" applyFill="1" applyAlignment="1">
      <alignment horizontal="right" vertical="center" indent="1"/>
    </xf>
    <xf numFmtId="0" fontId="11" fillId="14" borderId="0" xfId="0" applyFont="1" applyFill="1" applyAlignment="1">
      <alignment horizontal="left" vertical="center" indent="1"/>
    </xf>
    <xf numFmtId="0" fontId="17" fillId="14" borderId="0" xfId="0" applyFont="1" applyFill="1" applyAlignment="1">
      <alignment horizontal="left" vertical="center" indent="1"/>
    </xf>
    <xf numFmtId="0" fontId="16" fillId="14" borderId="0" xfId="0" applyFont="1" applyFill="1" applyAlignment="1">
      <alignment horizontal="left" indent="1"/>
    </xf>
    <xf numFmtId="14" fontId="17" fillId="14" borderId="0" xfId="0" applyNumberFormat="1" applyFont="1" applyFill="1" applyAlignment="1">
      <alignment horizontal="left" vertical="top" indent="1"/>
    </xf>
    <xf numFmtId="0" fontId="17" fillId="14" borderId="0" xfId="0" applyFont="1" applyFill="1" applyAlignment="1">
      <alignment horizontal="left" indent="1"/>
    </xf>
    <xf numFmtId="0" fontId="1" fillId="0" borderId="25" xfId="0" applyFont="1" applyBorder="1" applyAlignment="1">
      <alignment horizontal="left" vertical="center" indent="1"/>
    </xf>
    <xf numFmtId="0" fontId="10" fillId="14" borderId="33" xfId="0" applyFont="1" applyFill="1" applyBorder="1" applyAlignment="1">
      <alignment horizontal="right" vertical="center" indent="1"/>
    </xf>
    <xf numFmtId="0" fontId="20" fillId="14" borderId="37" xfId="0" applyFont="1" applyFill="1" applyBorder="1" applyAlignment="1">
      <alignment horizontal="left" vertical="center" wrapText="1" indent="1"/>
    </xf>
    <xf numFmtId="0" fontId="20" fillId="14" borderId="35" xfId="0" applyFont="1" applyFill="1" applyBorder="1" applyAlignment="1">
      <alignment horizontal="left" vertical="center" wrapText="1" indent="1"/>
    </xf>
    <xf numFmtId="0" fontId="20" fillId="14" borderId="36" xfId="0" applyFont="1" applyFill="1" applyBorder="1" applyAlignment="1">
      <alignment horizontal="left" vertical="center" wrapText="1" indent="1"/>
    </xf>
    <xf numFmtId="0" fontId="21" fillId="14" borderId="34" xfId="0" applyFont="1" applyFill="1" applyBorder="1" applyAlignment="1">
      <alignment horizontal="right" vertical="center" indent="1"/>
    </xf>
    <xf numFmtId="0" fontId="20" fillId="14" borderId="34" xfId="0" applyFont="1" applyFill="1" applyBorder="1" applyAlignment="1">
      <alignment horizontal="left" vertical="center" indent="1"/>
    </xf>
    <xf numFmtId="0" fontId="21" fillId="14" borderId="35" xfId="0" applyFont="1" applyFill="1" applyBorder="1" applyAlignment="1">
      <alignment horizontal="right" vertical="center" indent="1"/>
    </xf>
    <xf numFmtId="0" fontId="20" fillId="14" borderId="35" xfId="0" applyFont="1" applyFill="1" applyBorder="1" applyAlignment="1">
      <alignment horizontal="left" vertical="center" indent="1"/>
    </xf>
    <xf numFmtId="0" fontId="21" fillId="14" borderId="36" xfId="0" applyFont="1" applyFill="1" applyBorder="1" applyAlignment="1">
      <alignment horizontal="right" vertical="center" indent="1"/>
    </xf>
    <xf numFmtId="0" fontId="20" fillId="14" borderId="36" xfId="0" applyFont="1" applyFill="1" applyBorder="1" applyAlignment="1">
      <alignment horizontal="left" vertical="center" indent="1"/>
    </xf>
    <xf numFmtId="0" fontId="22" fillId="14" borderId="33" xfId="0" applyFont="1" applyFill="1" applyBorder="1" applyAlignment="1">
      <alignment horizontal="right" vertical="center" indent="1"/>
    </xf>
    <xf numFmtId="0" fontId="22" fillId="14" borderId="33" xfId="0" applyFont="1" applyFill="1" applyBorder="1" applyAlignment="1">
      <alignment horizontal="left" vertical="center" indent="1"/>
    </xf>
    <xf numFmtId="0" fontId="22" fillId="14" borderId="34" xfId="0" applyFont="1" applyFill="1" applyBorder="1" applyAlignment="1">
      <alignment horizontal="right" vertical="center" indent="1"/>
    </xf>
    <xf numFmtId="0" fontId="22" fillId="14" borderId="35" xfId="0" applyFont="1" applyFill="1" applyBorder="1" applyAlignment="1">
      <alignment horizontal="right" vertical="center" indent="1"/>
    </xf>
    <xf numFmtId="0" fontId="22" fillId="14" borderId="36" xfId="0" applyFont="1" applyFill="1" applyBorder="1" applyAlignment="1">
      <alignment horizontal="right" vertical="center" indent="1"/>
    </xf>
    <xf numFmtId="10" fontId="5" fillId="12" borderId="10" xfId="0" applyNumberFormat="1" applyFont="1" applyFill="1" applyBorder="1" applyAlignment="1">
      <alignment horizontal="left" vertical="center" indent="1"/>
    </xf>
    <xf numFmtId="0" fontId="14" fillId="14" borderId="0" xfId="0" applyFont="1" applyFill="1" applyAlignment="1">
      <alignment horizontal="right" vertical="center" indent="1"/>
    </xf>
    <xf numFmtId="0" fontId="10" fillId="14" borderId="0" xfId="0" applyFont="1" applyFill="1" applyAlignment="1">
      <alignment horizontal="center" vertical="center" wrapText="1"/>
    </xf>
    <xf numFmtId="10" fontId="14" fillId="14" borderId="36" xfId="0" applyNumberFormat="1" applyFont="1" applyFill="1" applyBorder="1" applyAlignment="1">
      <alignment horizontal="center" vertical="center"/>
    </xf>
    <xf numFmtId="9" fontId="20" fillId="14" borderId="0" xfId="0" applyNumberFormat="1" applyFont="1" applyFill="1" applyAlignment="1">
      <alignment horizontal="center" vertical="center"/>
    </xf>
    <xf numFmtId="10" fontId="14" fillId="14" borderId="0" xfId="0" applyNumberFormat="1" applyFont="1" applyFill="1" applyAlignment="1">
      <alignment horizontal="center" vertical="center"/>
    </xf>
    <xf numFmtId="10" fontId="26" fillId="14" borderId="0" xfId="0" applyNumberFormat="1" applyFont="1" applyFill="1" applyAlignment="1">
      <alignment horizontal="center" vertical="center"/>
    </xf>
    <xf numFmtId="10" fontId="26" fillId="14" borderId="37" xfId="0" applyNumberFormat="1" applyFont="1" applyFill="1" applyBorder="1" applyAlignment="1">
      <alignment horizontal="center" vertical="center"/>
    </xf>
    <xf numFmtId="0" fontId="17" fillId="14" borderId="0" xfId="0" applyFont="1" applyFill="1" applyAlignment="1">
      <alignment horizontal="right" vertical="center" indent="1"/>
    </xf>
    <xf numFmtId="0" fontId="20" fillId="14" borderId="0" xfId="0" applyFont="1" applyFill="1" applyAlignment="1">
      <alignment horizontal="left" indent="1"/>
    </xf>
    <xf numFmtId="0" fontId="22" fillId="14" borderId="0" xfId="0" applyFont="1" applyFill="1" applyAlignment="1">
      <alignment horizontal="left" vertical="top" indent="1"/>
    </xf>
    <xf numFmtId="0" fontId="18" fillId="14" borderId="0" xfId="0" applyFont="1" applyFill="1" applyAlignment="1">
      <alignment vertical="center" wrapText="1"/>
    </xf>
    <xf numFmtId="0" fontId="20" fillId="14" borderId="36" xfId="0" applyFont="1" applyFill="1" applyBorder="1" applyAlignment="1">
      <alignment horizontal="left" vertical="center" wrapText="1"/>
    </xf>
    <xf numFmtId="0" fontId="20" fillId="14" borderId="37" xfId="0" applyFont="1" applyFill="1" applyBorder="1" applyAlignment="1">
      <alignment horizontal="left" vertical="center" wrapText="1"/>
    </xf>
    <xf numFmtId="9" fontId="20" fillId="14" borderId="36" xfId="0" applyNumberFormat="1" applyFont="1" applyFill="1" applyBorder="1" applyAlignment="1">
      <alignment horizontal="left" vertical="center"/>
    </xf>
    <xf numFmtId="9" fontId="20" fillId="14" borderId="0" xfId="0" applyNumberFormat="1" applyFont="1" applyFill="1" applyAlignment="1">
      <alignment horizontal="left" vertical="center"/>
    </xf>
    <xf numFmtId="10" fontId="12" fillId="14" borderId="36" xfId="0" applyNumberFormat="1" applyFont="1" applyFill="1" applyBorder="1" applyAlignment="1">
      <alignment horizontal="center" vertical="center"/>
    </xf>
    <xf numFmtId="10" fontId="12" fillId="14" borderId="37" xfId="0" applyNumberFormat="1" applyFont="1" applyFill="1" applyBorder="1" applyAlignment="1">
      <alignment horizontal="center" vertical="center"/>
    </xf>
    <xf numFmtId="14" fontId="17" fillId="14" borderId="0" xfId="0" applyNumberFormat="1" applyFont="1" applyFill="1" applyAlignment="1">
      <alignment horizontal="right" vertical="center" indent="1"/>
    </xf>
    <xf numFmtId="0" fontId="10" fillId="14" borderId="36" xfId="0" applyFont="1" applyFill="1" applyBorder="1" applyAlignment="1">
      <alignment horizontal="left" vertical="center" wrapText="1"/>
    </xf>
    <xf numFmtId="0" fontId="10" fillId="14" borderId="37" xfId="0" applyFont="1" applyFill="1" applyBorder="1" applyAlignment="1">
      <alignment horizontal="left" vertical="center" wrapText="1"/>
    </xf>
    <xf numFmtId="0" fontId="4" fillId="9" borderId="18" xfId="0" applyFont="1" applyFill="1" applyBorder="1" applyAlignment="1">
      <alignment horizontal="left" vertical="center" indent="1"/>
    </xf>
    <xf numFmtId="0" fontId="4" fillId="9" borderId="11" xfId="0" applyFont="1" applyFill="1" applyBorder="1" applyAlignment="1">
      <alignment horizontal="left" vertical="center" indent="1"/>
    </xf>
    <xf numFmtId="0" fontId="4" fillId="3" borderId="18" xfId="0" applyFont="1" applyFill="1" applyBorder="1" applyAlignment="1">
      <alignment horizontal="left" vertical="center" indent="1"/>
    </xf>
    <xf numFmtId="0" fontId="4" fillId="3" borderId="11" xfId="0" applyFont="1" applyFill="1" applyBorder="1" applyAlignment="1">
      <alignment horizontal="left" vertical="center" indent="1"/>
    </xf>
    <xf numFmtId="0" fontId="4" fillId="3" borderId="0" xfId="0" applyFont="1" applyFill="1" applyAlignment="1">
      <alignment horizontal="left" vertical="center" wrapText="1" indent="1"/>
    </xf>
    <xf numFmtId="0" fontId="4" fillId="3" borderId="11" xfId="0" applyFont="1" applyFill="1" applyBorder="1" applyAlignment="1">
      <alignment horizontal="left" vertical="center" wrapText="1" indent="1"/>
    </xf>
    <xf numFmtId="0" fontId="4" fillId="4" borderId="0" xfId="0" applyFont="1" applyFill="1" applyAlignment="1">
      <alignment horizontal="left" vertical="center" wrapText="1" indent="1"/>
    </xf>
    <xf numFmtId="0" fontId="4" fillId="4" borderId="11" xfId="0" applyFont="1" applyFill="1" applyBorder="1" applyAlignment="1">
      <alignment horizontal="left" vertical="center" wrapText="1" indent="1"/>
    </xf>
    <xf numFmtId="168" fontId="1" fillId="0" borderId="12" xfId="0" applyNumberFormat="1" applyFont="1" applyBorder="1" applyAlignment="1">
      <alignment horizontal="left" vertical="center" indent="1"/>
    </xf>
    <xf numFmtId="169" fontId="4" fillId="5" borderId="10" xfId="0" applyNumberFormat="1" applyFont="1" applyFill="1" applyBorder="1" applyAlignment="1">
      <alignment horizontal="left" vertical="center" indent="1"/>
    </xf>
    <xf numFmtId="0" fontId="1" fillId="0" borderId="14" xfId="0" applyFont="1" applyBorder="1" applyAlignment="1">
      <alignment horizontal="left" vertical="center" indent="1"/>
    </xf>
    <xf numFmtId="0" fontId="1" fillId="0" borderId="4" xfId="0" applyFont="1" applyBorder="1" applyAlignment="1">
      <alignment horizontal="left" vertical="center" indent="1"/>
    </xf>
    <xf numFmtId="0" fontId="1" fillId="0" borderId="15" xfId="0" applyFont="1" applyBorder="1" applyAlignment="1">
      <alignment horizontal="left" vertical="center" indent="1"/>
    </xf>
    <xf numFmtId="10" fontId="4" fillId="4" borderId="0" xfId="0" applyNumberFormat="1" applyFont="1" applyFill="1" applyAlignment="1">
      <alignment horizontal="left" vertical="center" indent="1"/>
    </xf>
    <xf numFmtId="10" fontId="4" fillId="4" borderId="11" xfId="0" applyNumberFormat="1" applyFont="1" applyFill="1" applyBorder="1" applyAlignment="1">
      <alignment horizontal="left" vertical="center" indent="1"/>
    </xf>
    <xf numFmtId="0" fontId="4" fillId="4" borderId="18" xfId="0" applyFont="1" applyFill="1" applyBorder="1" applyAlignment="1">
      <alignment horizontal="left" vertical="center" indent="1"/>
    </xf>
    <xf numFmtId="0" fontId="4" fillId="4" borderId="11" xfId="0" applyFont="1" applyFill="1" applyBorder="1" applyAlignment="1">
      <alignment horizontal="left" vertical="center" indent="1"/>
    </xf>
    <xf numFmtId="0" fontId="1" fillId="0" borderId="13" xfId="0" applyFont="1" applyBorder="1" applyAlignment="1">
      <alignment horizontal="left" vertical="center" wrapText="1" indent="1"/>
    </xf>
    <xf numFmtId="0" fontId="1" fillId="0" borderId="13" xfId="0" applyFont="1" applyBorder="1" applyAlignment="1">
      <alignment horizontal="left" vertical="center" indent="1"/>
    </xf>
    <xf numFmtId="0" fontId="1" fillId="0" borderId="12" xfId="0" applyFont="1" applyBorder="1" applyAlignment="1">
      <alignment horizontal="left" vertical="center" indent="1"/>
    </xf>
    <xf numFmtId="0" fontId="4" fillId="7" borderId="18" xfId="0" applyFont="1" applyFill="1" applyBorder="1" applyAlignment="1">
      <alignment horizontal="left" vertical="center" indent="1"/>
    </xf>
    <xf numFmtId="0" fontId="4" fillId="7" borderId="11" xfId="0" applyFont="1" applyFill="1" applyBorder="1" applyAlignment="1">
      <alignment horizontal="left" vertical="center" indent="1"/>
    </xf>
    <xf numFmtId="10" fontId="4" fillId="7" borderId="0" xfId="0" applyNumberFormat="1" applyFont="1" applyFill="1" applyAlignment="1">
      <alignment horizontal="left" vertical="center" indent="1"/>
    </xf>
    <xf numFmtId="10" fontId="4" fillId="7" borderId="11" xfId="0" applyNumberFormat="1" applyFont="1" applyFill="1" applyBorder="1" applyAlignment="1">
      <alignment horizontal="left" vertical="center" indent="1"/>
    </xf>
    <xf numFmtId="0" fontId="4" fillId="7" borderId="0" xfId="0" applyFont="1" applyFill="1" applyAlignment="1">
      <alignment horizontal="left" vertical="center" wrapText="1" indent="1"/>
    </xf>
    <xf numFmtId="0" fontId="4" fillId="7" borderId="11" xfId="0" applyFont="1" applyFill="1" applyBorder="1" applyAlignment="1">
      <alignment horizontal="left" vertical="center" wrapText="1" indent="1"/>
    </xf>
    <xf numFmtId="10" fontId="4" fillId="3" borderId="0" xfId="0" applyNumberFormat="1" applyFont="1" applyFill="1" applyAlignment="1">
      <alignment horizontal="left" vertical="center" indent="1"/>
    </xf>
    <xf numFmtId="10" fontId="4" fillId="3" borderId="11" xfId="0" applyNumberFormat="1" applyFont="1" applyFill="1" applyBorder="1" applyAlignment="1">
      <alignment horizontal="left" vertical="center" indent="1"/>
    </xf>
    <xf numFmtId="0" fontId="1" fillId="0" borderId="16" xfId="0" applyFont="1" applyBorder="1" applyAlignment="1">
      <alignment horizontal="left" vertical="center" indent="1"/>
    </xf>
    <xf numFmtId="0" fontId="1" fillId="0" borderId="9" xfId="0" applyFont="1" applyBorder="1" applyAlignment="1">
      <alignment horizontal="left" vertical="center" indent="1"/>
    </xf>
    <xf numFmtId="0" fontId="1" fillId="0" borderId="17" xfId="0" applyFont="1" applyBorder="1" applyAlignment="1">
      <alignment horizontal="left" vertical="center" indent="1"/>
    </xf>
    <xf numFmtId="0" fontId="6" fillId="2" borderId="19" xfId="0" applyFont="1" applyFill="1" applyBorder="1" applyAlignment="1">
      <alignment horizontal="left" vertical="center" wrapText="1" indent="1"/>
    </xf>
    <xf numFmtId="0" fontId="6" fillId="2" borderId="18" xfId="0" applyFont="1" applyFill="1" applyBorder="1" applyAlignment="1">
      <alignment horizontal="left" vertical="center" wrapText="1" indent="1"/>
    </xf>
    <xf numFmtId="0" fontId="6" fillId="2" borderId="9" xfId="0" applyFont="1" applyFill="1" applyBorder="1" applyAlignment="1">
      <alignment horizontal="left" vertical="center" wrapText="1" indent="1"/>
    </xf>
    <xf numFmtId="0" fontId="6" fillId="2" borderId="0" xfId="0" applyFont="1" applyFill="1" applyAlignment="1">
      <alignment horizontal="left" vertical="center" wrapText="1" indent="1"/>
    </xf>
    <xf numFmtId="0" fontId="5" fillId="10" borderId="18" xfId="0" applyFont="1" applyFill="1" applyBorder="1" applyAlignment="1">
      <alignment horizontal="left" vertical="center" indent="1"/>
    </xf>
    <xf numFmtId="0" fontId="5" fillId="10" borderId="11" xfId="0" applyFont="1" applyFill="1" applyBorder="1" applyAlignment="1">
      <alignment horizontal="left" vertical="center" indent="1"/>
    </xf>
    <xf numFmtId="0" fontId="5" fillId="10" borderId="18" xfId="0" applyFont="1" applyFill="1" applyBorder="1" applyAlignment="1">
      <alignment horizontal="left" vertical="center" wrapText="1" indent="1"/>
    </xf>
    <xf numFmtId="0" fontId="5" fillId="10" borderId="7" xfId="0" applyFont="1" applyFill="1" applyBorder="1" applyAlignment="1">
      <alignment horizontal="left" vertical="center" indent="1"/>
    </xf>
    <xf numFmtId="0" fontId="5" fillId="10" borderId="20" xfId="0" applyFont="1" applyFill="1" applyBorder="1" applyAlignment="1">
      <alignment horizontal="left" vertical="center" indent="1"/>
    </xf>
    <xf numFmtId="0" fontId="5" fillId="10" borderId="19" xfId="0" applyFont="1" applyFill="1" applyBorder="1" applyAlignment="1">
      <alignment horizontal="left" vertical="center" wrapText="1" indent="1"/>
    </xf>
    <xf numFmtId="0" fontId="5" fillId="10" borderId="17" xfId="0" applyFont="1" applyFill="1" applyBorder="1" applyAlignment="1">
      <alignment horizontal="left" vertical="center" wrapText="1" indent="1"/>
    </xf>
    <xf numFmtId="0" fontId="5" fillId="10" borderId="11" xfId="0" applyFont="1" applyFill="1" applyBorder="1" applyAlignment="1">
      <alignment horizontal="left" vertical="center" wrapText="1" indent="1"/>
    </xf>
    <xf numFmtId="0" fontId="5" fillId="10" borderId="0" xfId="0" applyFont="1" applyFill="1" applyAlignment="1">
      <alignment horizontal="left" vertical="center" wrapText="1" indent="1"/>
    </xf>
    <xf numFmtId="0" fontId="5" fillId="10" borderId="0" xfId="0" applyFont="1" applyFill="1" applyAlignment="1">
      <alignment horizontal="left" vertical="center" indent="1"/>
    </xf>
    <xf numFmtId="0" fontId="6" fillId="2" borderId="6" xfId="0" applyFont="1" applyFill="1" applyBorder="1" applyAlignment="1">
      <alignment horizontal="left" vertical="center" wrapText="1" indent="1"/>
    </xf>
    <xf numFmtId="9" fontId="9" fillId="0" borderId="4" xfId="0" applyNumberFormat="1" applyFont="1" applyBorder="1" applyAlignment="1">
      <alignment horizontal="center" vertical="center"/>
    </xf>
    <xf numFmtId="9" fontId="9" fillId="0" borderId="24" xfId="0" applyNumberFormat="1" applyFont="1" applyBorder="1" applyAlignment="1">
      <alignment horizontal="center" vertical="center"/>
    </xf>
    <xf numFmtId="9" fontId="9" fillId="0" borderId="14" xfId="0" applyNumberFormat="1" applyFont="1" applyBorder="1" applyAlignment="1">
      <alignment horizontal="center" vertical="center"/>
    </xf>
    <xf numFmtId="9" fontId="9" fillId="0" borderId="15" xfId="0" applyNumberFormat="1" applyFont="1" applyBorder="1" applyAlignment="1">
      <alignment horizontal="center" vertical="center"/>
    </xf>
    <xf numFmtId="0" fontId="4" fillId="10" borderId="29" xfId="0" applyFont="1" applyFill="1" applyBorder="1" applyAlignment="1">
      <alignment horizontal="left" vertical="center" indent="1"/>
    </xf>
    <xf numFmtId="0" fontId="4" fillId="10" borderId="31" xfId="0" applyFont="1" applyFill="1" applyBorder="1" applyAlignment="1">
      <alignment horizontal="left" vertical="center" indent="1"/>
    </xf>
    <xf numFmtId="0" fontId="4" fillId="13" borderId="27" xfId="0" applyFont="1" applyFill="1" applyBorder="1" applyAlignment="1">
      <alignment horizontal="left" vertical="center" wrapText="1" indent="1"/>
    </xf>
    <xf numFmtId="0" fontId="4" fillId="13" borderId="29" xfId="0" applyFont="1" applyFill="1" applyBorder="1" applyAlignment="1">
      <alignment horizontal="left" vertical="center" wrapText="1" indent="1"/>
    </xf>
    <xf numFmtId="0" fontId="4" fillId="13" borderId="28" xfId="0" applyFont="1" applyFill="1" applyBorder="1" applyAlignment="1">
      <alignment horizontal="left" vertical="center" wrapText="1" indent="1"/>
    </xf>
    <xf numFmtId="0" fontId="4" fillId="13" borderId="31" xfId="0" applyFont="1" applyFill="1" applyBorder="1" applyAlignment="1">
      <alignment horizontal="left" vertical="center" wrapText="1" indent="1"/>
    </xf>
    <xf numFmtId="0" fontId="20" fillId="14" borderId="36" xfId="0" applyFont="1" applyFill="1" applyBorder="1" applyAlignment="1">
      <alignment horizontal="left" vertical="center" wrapText="1" indent="1"/>
    </xf>
    <xf numFmtId="0" fontId="20" fillId="14" borderId="0" xfId="0" applyFont="1" applyFill="1" applyAlignment="1">
      <alignment horizontal="left" vertical="center" wrapText="1" indent="1"/>
    </xf>
    <xf numFmtId="0" fontId="20" fillId="14" borderId="37" xfId="0" applyFont="1" applyFill="1" applyBorder="1" applyAlignment="1">
      <alignment horizontal="left" vertical="center" wrapText="1" indent="1"/>
    </xf>
    <xf numFmtId="0" fontId="22" fillId="14" borderId="35" xfId="0" applyFont="1" applyFill="1" applyBorder="1" applyAlignment="1">
      <alignment horizontal="right" vertical="center" wrapText="1"/>
    </xf>
    <xf numFmtId="0" fontId="22" fillId="14" borderId="36" xfId="0" applyFont="1" applyFill="1" applyBorder="1" applyAlignment="1">
      <alignment horizontal="right" vertical="center" wrapText="1"/>
    </xf>
    <xf numFmtId="0" fontId="10" fillId="14" borderId="0" xfId="0" applyFont="1" applyFill="1" applyBorder="1" applyAlignment="1">
      <alignment horizontal="left" vertical="center" wrapText="1"/>
    </xf>
    <xf numFmtId="0" fontId="20" fillId="14" borderId="0" xfId="0" applyFont="1" applyFill="1" applyBorder="1" applyAlignment="1">
      <alignment horizontal="left" vertical="center" wrapText="1"/>
    </xf>
    <xf numFmtId="9" fontId="20" fillId="14" borderId="0" xfId="0" applyNumberFormat="1" applyFont="1" applyFill="1" applyBorder="1" applyAlignment="1">
      <alignment horizontal="center" vertical="center"/>
    </xf>
    <xf numFmtId="0" fontId="17" fillId="14" borderId="0" xfId="0" applyFont="1" applyFill="1" applyAlignment="1">
      <alignment horizontal="left" vertical="center" wrapText="1" indent="1"/>
    </xf>
    <xf numFmtId="0" fontId="17" fillId="14" borderId="0" xfId="0" applyFont="1" applyFill="1" applyBorder="1" applyAlignment="1">
      <alignment horizontal="center"/>
    </xf>
    <xf numFmtId="0" fontId="17" fillId="14" borderId="39" xfId="0" applyFont="1" applyFill="1" applyBorder="1" applyAlignment="1">
      <alignment horizontal="center"/>
    </xf>
    <xf numFmtId="0" fontId="17" fillId="14" borderId="38" xfId="0" applyFont="1" applyFill="1" applyBorder="1" applyAlignment="1">
      <alignment horizontal="center"/>
    </xf>
    <xf numFmtId="0" fontId="17" fillId="14" borderId="41" xfId="0" applyFont="1" applyFill="1" applyBorder="1" applyAlignment="1">
      <alignment horizontal="center"/>
    </xf>
    <xf numFmtId="0" fontId="20" fillId="14" borderId="0" xfId="0" applyFont="1" applyFill="1" applyBorder="1" applyAlignment="1">
      <alignment horizontal="right" vertical="center" wrapText="1"/>
    </xf>
    <xf numFmtId="0" fontId="20" fillId="14" borderId="37" xfId="0" applyFont="1" applyFill="1" applyBorder="1" applyAlignment="1">
      <alignment horizontal="right" vertical="center" wrapText="1"/>
    </xf>
    <xf numFmtId="9" fontId="20" fillId="14" borderId="36" xfId="0" applyNumberFormat="1" applyFont="1" applyFill="1" applyBorder="1" applyAlignment="1">
      <alignment horizontal="right" vertical="center"/>
    </xf>
    <xf numFmtId="9" fontId="20" fillId="14" borderId="0" xfId="0" applyNumberFormat="1" applyFont="1" applyFill="1" applyAlignment="1">
      <alignment horizontal="right" vertical="center"/>
    </xf>
    <xf numFmtId="0" fontId="20" fillId="14" borderId="36" xfId="0" applyFont="1" applyFill="1" applyBorder="1" applyAlignment="1">
      <alignment horizontal="right" vertical="center" wrapText="1"/>
    </xf>
    <xf numFmtId="0" fontId="10" fillId="14" borderId="0" xfId="0" applyFont="1" applyFill="1" applyBorder="1" applyAlignment="1">
      <alignment horizontal="right" vertical="center" wrapText="1"/>
    </xf>
    <xf numFmtId="0" fontId="10" fillId="14" borderId="37" xfId="0" applyFont="1" applyFill="1" applyBorder="1" applyAlignment="1">
      <alignment horizontal="right" vertical="center" wrapText="1"/>
    </xf>
    <xf numFmtId="0" fontId="14" fillId="14" borderId="0" xfId="0" applyFont="1" applyFill="1" applyAlignment="1">
      <alignment horizontal="left" vertical="center" wrapText="1"/>
    </xf>
    <xf numFmtId="9" fontId="26" fillId="14" borderId="0" xfId="0" applyNumberFormat="1" applyFont="1" applyFill="1" applyAlignment="1">
      <alignment horizontal="right" vertical="center"/>
    </xf>
    <xf numFmtId="9" fontId="26" fillId="14" borderId="0" xfId="0" applyNumberFormat="1" applyFont="1" applyFill="1" applyAlignment="1">
      <alignment horizontal="left" vertical="center"/>
    </xf>
    <xf numFmtId="9" fontId="26" fillId="14" borderId="37" xfId="0" applyNumberFormat="1" applyFont="1" applyFill="1" applyBorder="1" applyAlignment="1">
      <alignment horizontal="right" vertical="center"/>
    </xf>
    <xf numFmtId="9" fontId="26" fillId="14" borderId="37" xfId="0" applyNumberFormat="1" applyFont="1" applyFill="1" applyBorder="1" applyAlignment="1">
      <alignment horizontal="left" vertical="center"/>
    </xf>
    <xf numFmtId="0" fontId="27" fillId="14" borderId="0" xfId="0" applyFont="1" applyFill="1" applyAlignment="1">
      <alignment horizontal="left" vertical="top"/>
    </xf>
    <xf numFmtId="0" fontId="20" fillId="14" borderId="0" xfId="0" applyFont="1" applyFill="1" applyAlignment="1">
      <alignment horizontal="left"/>
    </xf>
    <xf numFmtId="0" fontId="24" fillId="14" borderId="0" xfId="0" applyFont="1" applyFill="1" applyAlignment="1">
      <alignment horizontal="left" wrapText="1"/>
    </xf>
    <xf numFmtId="9" fontId="28" fillId="14" borderId="42" xfId="0" applyNumberFormat="1" applyFont="1" applyFill="1" applyBorder="1" applyAlignment="1">
      <alignment horizontal="center" vertical="center"/>
    </xf>
    <xf numFmtId="9" fontId="28" fillId="14" borderId="40" xfId="0" applyNumberFormat="1" applyFont="1" applyFill="1" applyBorder="1" applyAlignment="1">
      <alignment horizontal="center" vertical="center"/>
    </xf>
    <xf numFmtId="9" fontId="28" fillId="14" borderId="43" xfId="0" applyNumberFormat="1" applyFont="1" applyFill="1" applyBorder="1" applyAlignment="1">
      <alignment horizontal="center" vertical="center"/>
    </xf>
    <xf numFmtId="9" fontId="28" fillId="14" borderId="0" xfId="0" applyNumberFormat="1" applyFont="1" applyFill="1" applyBorder="1" applyAlignment="1">
      <alignment horizontal="center" vertical="center"/>
    </xf>
    <xf numFmtId="9" fontId="29" fillId="14" borderId="42" xfId="0" applyNumberFormat="1" applyFont="1" applyFill="1" applyBorder="1" applyAlignment="1">
      <alignment horizontal="center" vertical="center"/>
    </xf>
    <xf numFmtId="9" fontId="29" fillId="14" borderId="40" xfId="0" applyNumberFormat="1" applyFont="1" applyFill="1" applyBorder="1" applyAlignment="1">
      <alignment horizontal="center" vertical="center"/>
    </xf>
    <xf numFmtId="9" fontId="29" fillId="14" borderId="43" xfId="0" applyNumberFormat="1" applyFont="1" applyFill="1" applyBorder="1" applyAlignment="1">
      <alignment horizontal="center" vertical="center"/>
    </xf>
    <xf numFmtId="9" fontId="29" fillId="14" borderId="0" xfId="0" applyNumberFormat="1" applyFont="1" applyFill="1" applyBorder="1" applyAlignment="1">
      <alignment horizontal="center" vertical="center"/>
    </xf>
    <xf numFmtId="0" fontId="10" fillId="14" borderId="37" xfId="0" applyFont="1" applyFill="1" applyBorder="1" applyAlignment="1">
      <alignment vertical="center"/>
    </xf>
    <xf numFmtId="0" fontId="27" fillId="14" borderId="37" xfId="0" applyFont="1" applyFill="1" applyBorder="1" applyAlignment="1">
      <alignment horizontal="center" vertical="center" wrapText="1"/>
    </xf>
    <xf numFmtId="10" fontId="12" fillId="14" borderId="0" xfId="0" applyNumberFormat="1" applyFont="1" applyFill="1" applyBorder="1" applyAlignment="1">
      <alignment horizontal="center" vertical="center"/>
    </xf>
    <xf numFmtId="0" fontId="16" fillId="14" borderId="0" xfId="0" applyFont="1" applyFill="1" applyAlignment="1">
      <alignment horizontal="left"/>
    </xf>
    <xf numFmtId="0" fontId="23" fillId="14" borderId="0" xfId="0" applyFont="1" applyFill="1" applyAlignment="1">
      <alignment horizontal="left" vertical="center"/>
    </xf>
  </cellXfs>
  <cellStyles count="2">
    <cellStyle name="Good" xfId="1" builtinId="26"/>
    <cellStyle name="Normal" xfId="0" builtinId="0"/>
  </cellStyles>
  <dxfs count="0"/>
  <tableStyles count="0" defaultTableStyle="TableStyleMedium2" defaultPivotStyle="PivotStyleLight16"/>
  <colors>
    <mruColors>
      <color rgb="FFCCCCCC"/>
      <color rgb="FF1F9BFD"/>
      <color rgb="FF719C59"/>
      <color rgb="FFFFA500"/>
      <color rgb="FFB87600"/>
      <color rgb="FF111111"/>
      <color rgb="FFF5DAA9"/>
      <color rgb="FFFFE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100012</xdr:colOff>
      <xdr:row>0</xdr:row>
      <xdr:rowOff>109537</xdr:rowOff>
    </xdr:from>
    <xdr:to>
      <xdr:col>1</xdr:col>
      <xdr:colOff>1160146</xdr:colOff>
      <xdr:row>2</xdr:row>
      <xdr:rowOff>441009</xdr:rowOff>
    </xdr:to>
    <xdr:pic>
      <xdr:nvPicPr>
        <xdr:cNvPr id="2" name="Picture 1">
          <a:extLst>
            <a:ext uri="{FF2B5EF4-FFF2-40B4-BE49-F238E27FC236}">
              <a16:creationId xmlns:a16="http://schemas.microsoft.com/office/drawing/2014/main" id="{715501B0-B6AF-4D6B-938A-73E18E7F9C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12" y="109537"/>
          <a:ext cx="1188722" cy="11887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1211396</xdr:colOff>
      <xdr:row>4</xdr:row>
      <xdr:rowOff>71759</xdr:rowOff>
    </xdr:from>
    <xdr:ext cx="965066" cy="965066"/>
    <xdr:pic>
      <xdr:nvPicPr>
        <xdr:cNvPr id="2" name="Picture 1">
          <a:extLst>
            <a:ext uri="{FF2B5EF4-FFF2-40B4-BE49-F238E27FC236}">
              <a16:creationId xmlns:a16="http://schemas.microsoft.com/office/drawing/2014/main" id="{744D022A-67A5-43BD-900F-988C79FFD7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5721" y="986159"/>
          <a:ext cx="965066" cy="965066"/>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ABB38-1F40-499D-BAC3-6DDB1B9CDAE6}">
  <dimension ref="A1:O138"/>
  <sheetViews>
    <sheetView zoomScaleNormal="100" workbookViewId="0">
      <selection activeCell="B32" sqref="B32:B33"/>
    </sheetView>
  </sheetViews>
  <sheetFormatPr defaultColWidth="9" defaultRowHeight="15" customHeight="1" x14ac:dyDescent="0.45"/>
  <cols>
    <col min="1" max="1" width="1.73046875" style="4" customWidth="1"/>
    <col min="2" max="2" width="38.1328125" style="2" bestFit="1" customWidth="1"/>
    <col min="3" max="3" width="14.3984375" style="2" bestFit="1" customWidth="1"/>
    <col min="4" max="4" width="33.1328125" style="2" bestFit="1" customWidth="1"/>
    <col min="5" max="14" width="13.73046875" style="2" customWidth="1"/>
    <col min="15" max="15" width="1.73046875" style="4" customWidth="1"/>
    <col min="16" max="16384" width="9" style="2"/>
  </cols>
  <sheetData>
    <row r="1" spans="1:15" ht="15" customHeight="1" x14ac:dyDescent="0.45">
      <c r="A1" s="8"/>
      <c r="B1" s="8"/>
      <c r="C1" s="8"/>
      <c r="D1" s="8"/>
      <c r="E1" s="8"/>
      <c r="F1" s="8"/>
      <c r="G1" s="8"/>
      <c r="H1" s="8"/>
      <c r="I1" s="8"/>
      <c r="J1" s="8"/>
      <c r="K1" s="63"/>
      <c r="L1" s="63"/>
      <c r="M1" s="63"/>
      <c r="N1" s="63"/>
    </row>
    <row r="2" spans="1:15" ht="60" customHeight="1" x14ac:dyDescent="0.45">
      <c r="A2" s="8"/>
      <c r="B2" s="179" t="s">
        <v>114</v>
      </c>
      <c r="C2" s="180"/>
      <c r="D2" s="185" t="s">
        <v>142</v>
      </c>
      <c r="E2" s="186"/>
      <c r="F2" s="8"/>
      <c r="G2" s="188" t="s">
        <v>125</v>
      </c>
      <c r="H2" s="185"/>
      <c r="I2" s="185"/>
      <c r="J2" s="4"/>
      <c r="K2" s="191" t="s">
        <v>117</v>
      </c>
      <c r="L2" s="191"/>
      <c r="M2" s="191"/>
      <c r="N2" s="191"/>
    </row>
    <row r="3" spans="1:15" ht="15" customHeight="1" x14ac:dyDescent="0.45">
      <c r="A3" s="8"/>
      <c r="B3" s="181"/>
      <c r="C3" s="182"/>
      <c r="D3" s="184"/>
      <c r="E3" s="187"/>
      <c r="F3" s="8"/>
      <c r="G3" s="189"/>
      <c r="H3" s="190"/>
      <c r="I3" s="190"/>
      <c r="J3" s="4"/>
      <c r="K3" s="64" t="s">
        <v>53</v>
      </c>
      <c r="L3" s="64" t="s">
        <v>51</v>
      </c>
      <c r="M3" s="64" t="s">
        <v>32</v>
      </c>
      <c r="N3" s="64" t="s">
        <v>33</v>
      </c>
      <c r="O3" s="9"/>
    </row>
    <row r="4" spans="1:15" ht="15" customHeight="1" x14ac:dyDescent="0.45">
      <c r="A4" s="9"/>
      <c r="B4" s="181"/>
      <c r="C4" s="182"/>
      <c r="D4" s="32" t="s">
        <v>2</v>
      </c>
      <c r="E4" s="33">
        <v>100000</v>
      </c>
      <c r="F4" s="9"/>
      <c r="G4" s="76" t="s">
        <v>34</v>
      </c>
      <c r="H4" s="75" t="s">
        <v>39</v>
      </c>
      <c r="I4" s="41">
        <f>I43</f>
        <v>0.27129299999999995</v>
      </c>
      <c r="J4" s="9"/>
      <c r="K4" s="68">
        <f>C127</f>
        <v>20000</v>
      </c>
      <c r="L4" s="69" t="s">
        <v>40</v>
      </c>
      <c r="M4" s="42">
        <f>I128</f>
        <v>243.55697521903184</v>
      </c>
      <c r="N4" s="65">
        <f t="shared" ref="N4:N9" si="0">M4*$I$15</f>
        <v>90430999.999999985</v>
      </c>
      <c r="O4" s="9"/>
    </row>
    <row r="5" spans="1:15" ht="15" customHeight="1" x14ac:dyDescent="0.45">
      <c r="A5" s="37"/>
      <c r="B5" s="181"/>
      <c r="C5" s="182"/>
      <c r="D5" s="18" t="s">
        <v>127</v>
      </c>
      <c r="E5" s="35">
        <v>0.3</v>
      </c>
      <c r="F5" s="37"/>
      <c r="G5" s="45" t="s">
        <v>37</v>
      </c>
      <c r="H5" s="66" t="s">
        <v>39</v>
      </c>
      <c r="I5" s="81">
        <f>I67</f>
        <v>0.14613418513141913</v>
      </c>
      <c r="J5" s="37"/>
      <c r="K5" s="68">
        <f>C127</f>
        <v>20000</v>
      </c>
      <c r="L5" s="67" t="s">
        <v>41</v>
      </c>
      <c r="M5" s="42">
        <f>I129</f>
        <v>1217.7848760951592</v>
      </c>
      <c r="N5" s="65">
        <f t="shared" si="0"/>
        <v>452154999.99999994</v>
      </c>
      <c r="O5" s="37"/>
    </row>
    <row r="6" spans="1:15" ht="15" customHeight="1" x14ac:dyDescent="0.45">
      <c r="A6" s="37"/>
      <c r="B6" s="181"/>
      <c r="C6" s="182"/>
      <c r="D6" s="18" t="s">
        <v>140</v>
      </c>
      <c r="E6" s="34">
        <v>0.02</v>
      </c>
      <c r="F6" s="37"/>
      <c r="G6" s="45" t="s">
        <v>124</v>
      </c>
      <c r="H6" s="66" t="s">
        <v>39</v>
      </c>
      <c r="I6" s="81">
        <f>I80</f>
        <v>2.9742279008761273E-2</v>
      </c>
      <c r="J6" s="37"/>
      <c r="K6" s="68">
        <f>C130</f>
        <v>400000</v>
      </c>
      <c r="L6" s="69" t="s">
        <v>40</v>
      </c>
      <c r="M6" s="42">
        <f>I131</f>
        <v>4871.1395043806369</v>
      </c>
      <c r="N6" s="65">
        <f t="shared" si="0"/>
        <v>1808619999.9999998</v>
      </c>
      <c r="O6" s="37"/>
    </row>
    <row r="7" spans="1:15" ht="15" customHeight="1" x14ac:dyDescent="0.45">
      <c r="A7" s="37"/>
      <c r="B7" s="181"/>
      <c r="C7" s="182"/>
      <c r="D7" s="18" t="s">
        <v>126</v>
      </c>
      <c r="E7" s="34">
        <v>0.01</v>
      </c>
      <c r="F7" s="37"/>
      <c r="G7" s="45" t="s">
        <v>57</v>
      </c>
      <c r="H7" s="66" t="s">
        <v>39</v>
      </c>
      <c r="I7" s="81">
        <f>I95</f>
        <v>1.4871139504380636E-2</v>
      </c>
      <c r="J7" s="37"/>
      <c r="K7" s="68">
        <f>C130</f>
        <v>400000</v>
      </c>
      <c r="L7" s="67" t="s">
        <v>41</v>
      </c>
      <c r="M7" s="42">
        <f>I132</f>
        <v>24355.697521903185</v>
      </c>
      <c r="N7" s="65">
        <f t="shared" si="0"/>
        <v>9043100000</v>
      </c>
      <c r="O7" s="37"/>
    </row>
    <row r="8" spans="1:15" ht="15" customHeight="1" x14ac:dyDescent="0.45">
      <c r="A8" s="9"/>
      <c r="B8" s="181"/>
      <c r="C8" s="182"/>
      <c r="D8" s="32" t="s">
        <v>134</v>
      </c>
      <c r="E8" s="36">
        <v>0.15</v>
      </c>
      <c r="F8" s="9"/>
      <c r="G8" s="45" t="s">
        <v>122</v>
      </c>
      <c r="H8" s="66" t="s">
        <v>39</v>
      </c>
      <c r="I8" s="81">
        <f>-I35</f>
        <v>-7.3067092565709563E-2</v>
      </c>
      <c r="J8" s="9"/>
      <c r="K8" s="77">
        <f>C133</f>
        <v>1000000</v>
      </c>
      <c r="L8" s="78" t="s">
        <v>40</v>
      </c>
      <c r="M8" s="42">
        <f>I134</f>
        <v>12177.848760951592</v>
      </c>
      <c r="N8" s="65">
        <f t="shared" si="0"/>
        <v>4521550000</v>
      </c>
      <c r="O8" s="9"/>
    </row>
    <row r="9" spans="1:15" ht="15" customHeight="1" x14ac:dyDescent="0.45">
      <c r="A9" s="9"/>
      <c r="B9" s="181"/>
      <c r="C9" s="182"/>
      <c r="D9" s="32" t="s">
        <v>135</v>
      </c>
      <c r="E9" s="36">
        <v>0.05</v>
      </c>
      <c r="F9" s="9"/>
      <c r="G9" s="45" t="s">
        <v>121</v>
      </c>
      <c r="H9" s="66" t="s">
        <v>39</v>
      </c>
      <c r="I9" s="81">
        <f>-I51</f>
        <v>-2.4355697521903186E-2</v>
      </c>
      <c r="J9" s="9"/>
      <c r="K9" s="77">
        <f>C133</f>
        <v>1000000</v>
      </c>
      <c r="L9" s="79" t="s">
        <v>41</v>
      </c>
      <c r="M9" s="42">
        <f>I135</f>
        <v>60889.243804757964</v>
      </c>
      <c r="N9" s="65">
        <f t="shared" si="0"/>
        <v>22607750000</v>
      </c>
      <c r="O9" s="9"/>
    </row>
    <row r="10" spans="1:15" ht="15" customHeight="1" x14ac:dyDescent="0.45">
      <c r="A10" s="9"/>
      <c r="B10" s="181"/>
      <c r="C10" s="182"/>
      <c r="D10" s="32" t="s">
        <v>136</v>
      </c>
      <c r="E10" s="36">
        <v>7.4999999999999997E-2</v>
      </c>
      <c r="F10" s="9"/>
      <c r="G10" s="74" t="s">
        <v>38</v>
      </c>
      <c r="H10" s="75" t="s">
        <v>39</v>
      </c>
      <c r="I10" s="41">
        <f>I110</f>
        <v>9.3324813556948286E-2</v>
      </c>
      <c r="J10" s="8"/>
      <c r="K10" s="10"/>
      <c r="L10" s="10"/>
      <c r="M10" s="3"/>
      <c r="N10" s="8"/>
      <c r="O10" s="9"/>
    </row>
    <row r="11" spans="1:15" ht="15" customHeight="1" x14ac:dyDescent="0.45">
      <c r="A11" s="9"/>
      <c r="B11" s="181"/>
      <c r="C11" s="182"/>
      <c r="D11" s="32" t="s">
        <v>137</v>
      </c>
      <c r="E11" s="36">
        <v>0</v>
      </c>
      <c r="F11" s="3"/>
      <c r="G11" s="10"/>
      <c r="H11" s="10"/>
      <c r="I11" s="3"/>
      <c r="J11" s="8"/>
      <c r="K11" s="8"/>
      <c r="L11" s="8"/>
      <c r="M11" s="8"/>
      <c r="N11" s="8"/>
      <c r="O11" s="9"/>
    </row>
    <row r="12" spans="1:15" ht="15" customHeight="1" x14ac:dyDescent="0.45">
      <c r="A12" s="8"/>
      <c r="B12" s="10"/>
      <c r="C12" s="8"/>
      <c r="D12" s="10"/>
      <c r="E12" s="3"/>
      <c r="F12" s="3"/>
      <c r="G12" s="10"/>
      <c r="H12" s="10"/>
      <c r="I12" s="3"/>
      <c r="J12" s="8"/>
      <c r="K12" s="8"/>
      <c r="L12" s="8"/>
      <c r="M12" s="8"/>
      <c r="N12" s="8"/>
      <c r="O12" s="8"/>
    </row>
    <row r="13" spans="1:15" ht="15" customHeight="1"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5" ht="15" customHeight="1" x14ac:dyDescent="0.45">
      <c r="B14" s="184"/>
      <c r="C14" s="184"/>
      <c r="D14" s="184"/>
      <c r="E14" s="149"/>
      <c r="F14" s="149"/>
      <c r="G14" s="149"/>
      <c r="H14" s="149"/>
      <c r="I14" s="149"/>
      <c r="J14" s="149"/>
      <c r="K14" s="149"/>
      <c r="L14" s="149"/>
      <c r="M14" s="149"/>
      <c r="N14" s="149"/>
    </row>
    <row r="15" spans="1:15" ht="15" customHeight="1" x14ac:dyDescent="0.45">
      <c r="B15" s="158" t="s">
        <v>20</v>
      </c>
      <c r="C15" s="158" t="s">
        <v>33</v>
      </c>
      <c r="D15" s="19" t="s">
        <v>48</v>
      </c>
      <c r="E15" s="21">
        <f>($E$4 * $E$5) + $E$4</f>
        <v>130000</v>
      </c>
      <c r="F15" s="21">
        <f t="shared" ref="F15:N15" si="1">(E15 * $E$5) + E15</f>
        <v>169000</v>
      </c>
      <c r="G15" s="21">
        <f t="shared" si="1"/>
        <v>219700</v>
      </c>
      <c r="H15" s="21">
        <f t="shared" si="1"/>
        <v>285610</v>
      </c>
      <c r="I15" s="21">
        <f t="shared" si="1"/>
        <v>371293</v>
      </c>
      <c r="J15" s="21">
        <f t="shared" si="1"/>
        <v>482680.9</v>
      </c>
      <c r="K15" s="21">
        <f t="shared" si="1"/>
        <v>627485.17000000004</v>
      </c>
      <c r="L15" s="21">
        <f t="shared" si="1"/>
        <v>815730.72100000002</v>
      </c>
      <c r="M15" s="21">
        <f t="shared" si="1"/>
        <v>1060449.9373000001</v>
      </c>
      <c r="N15" s="21">
        <f t="shared" si="1"/>
        <v>1378584.9184900001</v>
      </c>
    </row>
    <row r="16" spans="1:15" ht="15" customHeight="1" x14ac:dyDescent="0.45">
      <c r="B16" s="160"/>
      <c r="C16" s="160"/>
      <c r="D16" s="19" t="s">
        <v>49</v>
      </c>
      <c r="E16" s="25">
        <f>E15*21000000</f>
        <v>2730000000000</v>
      </c>
      <c r="F16" s="25">
        <f t="shared" ref="F16:N16" si="2">F15*21000000</f>
        <v>3549000000000</v>
      </c>
      <c r="G16" s="25">
        <f t="shared" si="2"/>
        <v>4613700000000</v>
      </c>
      <c r="H16" s="25">
        <f t="shared" si="2"/>
        <v>5997810000000</v>
      </c>
      <c r="I16" s="25">
        <f t="shared" si="2"/>
        <v>7797153000000</v>
      </c>
      <c r="J16" s="25">
        <f t="shared" si="2"/>
        <v>10136298900000</v>
      </c>
      <c r="K16" s="25">
        <f t="shared" si="2"/>
        <v>13177188570000</v>
      </c>
      <c r="L16" s="25">
        <f t="shared" si="2"/>
        <v>17130345141000</v>
      </c>
      <c r="M16" s="25">
        <f t="shared" si="2"/>
        <v>22269448683300.004</v>
      </c>
      <c r="N16" s="25">
        <f t="shared" si="2"/>
        <v>28950283288290</v>
      </c>
    </row>
    <row r="17" spans="1:15" ht="15" customHeight="1" x14ac:dyDescent="0.45">
      <c r="B17" s="158" t="s">
        <v>16</v>
      </c>
      <c r="C17" s="176" t="s">
        <v>32</v>
      </c>
      <c r="D17" s="19" t="s">
        <v>128</v>
      </c>
      <c r="E17" s="26">
        <f>(E15-$E4)/E15</f>
        <v>0.23076923076923078</v>
      </c>
      <c r="F17" s="26">
        <f t="shared" ref="F17:N17" si="3">(F15-$E4)/F15</f>
        <v>0.40828402366863903</v>
      </c>
      <c r="G17" s="26">
        <f t="shared" si="3"/>
        <v>0.54483386436049153</v>
      </c>
      <c r="H17" s="26">
        <f t="shared" si="3"/>
        <v>0.64987220335422424</v>
      </c>
      <c r="I17" s="26">
        <f t="shared" si="3"/>
        <v>0.73067092565709557</v>
      </c>
      <c r="J17" s="26">
        <f t="shared" si="3"/>
        <v>0.79282378896699668</v>
      </c>
      <c r="K17" s="26">
        <f t="shared" si="3"/>
        <v>0.84063368382076664</v>
      </c>
      <c r="L17" s="26">
        <f t="shared" si="3"/>
        <v>0.87741052601597436</v>
      </c>
      <c r="M17" s="26">
        <f t="shared" si="3"/>
        <v>0.90570040462767254</v>
      </c>
      <c r="N17" s="26">
        <f t="shared" si="3"/>
        <v>0.92746184971359424</v>
      </c>
    </row>
    <row r="18" spans="1:15" ht="15" customHeight="1" x14ac:dyDescent="0.45">
      <c r="B18" s="159"/>
      <c r="C18" s="177"/>
      <c r="D18" s="19" t="s">
        <v>129</v>
      </c>
      <c r="E18" s="26">
        <f>1-E17</f>
        <v>0.76923076923076916</v>
      </c>
      <c r="F18" s="26">
        <f t="shared" ref="F18:N18" si="4">1-F17</f>
        <v>0.59171597633136097</v>
      </c>
      <c r="G18" s="26">
        <f t="shared" si="4"/>
        <v>0.45516613563950847</v>
      </c>
      <c r="H18" s="26">
        <f t="shared" si="4"/>
        <v>0.35012779664577576</v>
      </c>
      <c r="I18" s="26">
        <f t="shared" si="4"/>
        <v>0.26932907434290443</v>
      </c>
      <c r="J18" s="26">
        <f t="shared" si="4"/>
        <v>0.20717621103300332</v>
      </c>
      <c r="K18" s="26">
        <f t="shared" si="4"/>
        <v>0.15936631617923336</v>
      </c>
      <c r="L18" s="26">
        <f t="shared" si="4"/>
        <v>0.12258947398402564</v>
      </c>
      <c r="M18" s="26">
        <f t="shared" si="4"/>
        <v>9.429959537232746E-2</v>
      </c>
      <c r="N18" s="26">
        <f t="shared" si="4"/>
        <v>7.2538150286405756E-2</v>
      </c>
    </row>
    <row r="19" spans="1:15" ht="15" customHeight="1" x14ac:dyDescent="0.45">
      <c r="B19" s="159"/>
      <c r="C19" s="177"/>
      <c r="D19" s="19" t="s">
        <v>130</v>
      </c>
      <c r="E19" s="80">
        <f>E17</f>
        <v>0.23076923076923078</v>
      </c>
      <c r="F19" s="80">
        <f t="shared" ref="F19:N19" si="5">F17-E17</f>
        <v>0.17751479289940825</v>
      </c>
      <c r="G19" s="80">
        <f>G17-F17</f>
        <v>0.1365498406918525</v>
      </c>
      <c r="H19" s="80">
        <f t="shared" si="5"/>
        <v>0.10503833899373272</v>
      </c>
      <c r="I19" s="80">
        <f t="shared" si="5"/>
        <v>8.0798722302871329E-2</v>
      </c>
      <c r="J19" s="80">
        <f>J17-I17</f>
        <v>6.2152863309901107E-2</v>
      </c>
      <c r="K19" s="80">
        <f t="shared" si="5"/>
        <v>4.7809894853769963E-2</v>
      </c>
      <c r="L19" s="80">
        <f t="shared" si="5"/>
        <v>3.6776842195207715E-2</v>
      </c>
      <c r="M19" s="80">
        <f t="shared" si="5"/>
        <v>2.8289878611698183E-2</v>
      </c>
      <c r="N19" s="80">
        <f t="shared" si="5"/>
        <v>2.1761445085921705E-2</v>
      </c>
    </row>
    <row r="20" spans="1:15" ht="15" customHeight="1" x14ac:dyDescent="0.45">
      <c r="B20" s="159"/>
      <c r="C20" s="177"/>
      <c r="D20" s="19" t="s">
        <v>131</v>
      </c>
      <c r="E20" s="80"/>
      <c r="F20" s="80"/>
      <c r="G20" s="80"/>
      <c r="H20" s="80"/>
      <c r="I20" s="80">
        <f>AVERAGE(E19:I19)</f>
        <v>0.14613418513141913</v>
      </c>
      <c r="J20" s="26"/>
      <c r="K20" s="26"/>
      <c r="L20" s="26"/>
      <c r="M20" s="26"/>
      <c r="N20" s="80">
        <f>AVERAGE(E19:N19)</f>
        <v>9.2746184971359419E-2</v>
      </c>
    </row>
    <row r="21" spans="1:15" ht="15" customHeight="1" x14ac:dyDescent="0.45">
      <c r="B21" s="159"/>
      <c r="C21" s="177"/>
      <c r="D21" s="19" t="s">
        <v>132</v>
      </c>
      <c r="E21" s="80">
        <f>$E$11*E19</f>
        <v>0</v>
      </c>
      <c r="F21" s="80">
        <f t="shared" ref="F21:N21" si="6">$E$11*F19</f>
        <v>0</v>
      </c>
      <c r="G21" s="80">
        <f t="shared" si="6"/>
        <v>0</v>
      </c>
      <c r="H21" s="80">
        <f t="shared" si="6"/>
        <v>0</v>
      </c>
      <c r="I21" s="80">
        <f t="shared" si="6"/>
        <v>0</v>
      </c>
      <c r="J21" s="80">
        <f t="shared" si="6"/>
        <v>0</v>
      </c>
      <c r="K21" s="80">
        <f t="shared" si="6"/>
        <v>0</v>
      </c>
      <c r="L21" s="80">
        <f t="shared" si="6"/>
        <v>0</v>
      </c>
      <c r="M21" s="80">
        <f t="shared" si="6"/>
        <v>0</v>
      </c>
      <c r="N21" s="80">
        <f t="shared" si="6"/>
        <v>0</v>
      </c>
    </row>
    <row r="22" spans="1:15" ht="15" customHeight="1" x14ac:dyDescent="0.45">
      <c r="B22" s="159"/>
      <c r="C22" s="177"/>
      <c r="D22" s="19" t="s">
        <v>133</v>
      </c>
      <c r="E22" s="80"/>
      <c r="F22" s="80"/>
      <c r="G22" s="80"/>
      <c r="H22" s="80"/>
      <c r="I22" s="80">
        <f>AVERAGE(E21:I21)</f>
        <v>0</v>
      </c>
      <c r="J22" s="26"/>
      <c r="K22" s="26"/>
      <c r="L22" s="26"/>
      <c r="M22" s="26"/>
      <c r="N22" s="80">
        <f>AVERAGE(E21:N21)</f>
        <v>0</v>
      </c>
    </row>
    <row r="23" spans="1:15" ht="15" customHeight="1" x14ac:dyDescent="0.45">
      <c r="B23" s="159"/>
      <c r="C23" s="177"/>
      <c r="D23" s="15" t="s">
        <v>58</v>
      </c>
      <c r="E23" s="17">
        <f>E19+E21</f>
        <v>0.23076923076923078</v>
      </c>
      <c r="F23" s="17">
        <f t="shared" ref="F23:N23" si="7">F19+F21</f>
        <v>0.17751479289940825</v>
      </c>
      <c r="G23" s="17">
        <f t="shared" si="7"/>
        <v>0.1365498406918525</v>
      </c>
      <c r="H23" s="17">
        <f t="shared" si="7"/>
        <v>0.10503833899373272</v>
      </c>
      <c r="I23" s="17">
        <f t="shared" si="7"/>
        <v>8.0798722302871329E-2</v>
      </c>
      <c r="J23" s="17">
        <f t="shared" si="7"/>
        <v>6.2152863309901107E-2</v>
      </c>
      <c r="K23" s="17">
        <f t="shared" si="7"/>
        <v>4.7809894853769963E-2</v>
      </c>
      <c r="L23" s="17">
        <f t="shared" si="7"/>
        <v>3.6776842195207715E-2</v>
      </c>
      <c r="M23" s="17">
        <f t="shared" si="7"/>
        <v>2.8289878611698183E-2</v>
      </c>
      <c r="N23" s="17">
        <f t="shared" si="7"/>
        <v>2.1761445085921705E-2</v>
      </c>
    </row>
    <row r="24" spans="1:15" ht="15" customHeight="1" x14ac:dyDescent="0.45">
      <c r="B24" s="160"/>
      <c r="C24" s="178"/>
      <c r="D24" s="15" t="s">
        <v>59</v>
      </c>
      <c r="E24" s="17"/>
      <c r="F24" s="17"/>
      <c r="G24" s="17"/>
      <c r="H24" s="17"/>
      <c r="I24" s="17">
        <f>AVERAGE(E23:I23)</f>
        <v>0.14613418513141913</v>
      </c>
      <c r="J24" s="16"/>
      <c r="K24" s="16"/>
      <c r="L24" s="16"/>
      <c r="M24" s="16"/>
      <c r="N24" s="17">
        <f>AVERAGE(E23:N23)</f>
        <v>9.2746184971359419E-2</v>
      </c>
    </row>
    <row r="25" spans="1:15" ht="15" customHeight="1" x14ac:dyDescent="0.45">
      <c r="B25" s="158" t="s">
        <v>141</v>
      </c>
      <c r="C25" s="176" t="s">
        <v>32</v>
      </c>
      <c r="D25" s="15" t="s">
        <v>43</v>
      </c>
      <c r="E25" s="17">
        <f>((1+$E$11)*$E$6)+($E$6*E18)</f>
        <v>3.5384615384615382E-2</v>
      </c>
      <c r="F25" s="17">
        <f t="shared" ref="F25:N25" si="8">((1+$E$11)*$E$6)+($E$6*F18)</f>
        <v>3.1834319526627221E-2</v>
      </c>
      <c r="G25" s="17">
        <f t="shared" si="8"/>
        <v>2.9103322712790168E-2</v>
      </c>
      <c r="H25" s="17">
        <f t="shared" si="8"/>
        <v>2.7002555932915517E-2</v>
      </c>
      <c r="I25" s="17">
        <f>((1+$E$11)*$E$6)+($E$6*I18)</f>
        <v>2.538658148685809E-2</v>
      </c>
      <c r="J25" s="17">
        <f t="shared" si="8"/>
        <v>2.4143524220660066E-2</v>
      </c>
      <c r="K25" s="17">
        <f t="shared" si="8"/>
        <v>2.3187326323584667E-2</v>
      </c>
      <c r="L25" s="17">
        <f t="shared" si="8"/>
        <v>2.2451789479680514E-2</v>
      </c>
      <c r="M25" s="17">
        <f t="shared" si="8"/>
        <v>2.1885991907446549E-2</v>
      </c>
      <c r="N25" s="17">
        <f t="shared" si="8"/>
        <v>2.1450763005728117E-2</v>
      </c>
    </row>
    <row r="26" spans="1:15" ht="15" customHeight="1" x14ac:dyDescent="0.45">
      <c r="B26" s="159"/>
      <c r="C26" s="177"/>
      <c r="D26" s="15" t="s">
        <v>44</v>
      </c>
      <c r="E26" s="17"/>
      <c r="F26" s="17"/>
      <c r="G26" s="17"/>
      <c r="H26" s="17"/>
      <c r="I26" s="17">
        <f>AVERAGE(E25:I25)</f>
        <v>2.9742279008761273E-2</v>
      </c>
      <c r="J26" s="16"/>
      <c r="K26" s="16"/>
      <c r="L26" s="16"/>
      <c r="M26" s="16"/>
      <c r="N26" s="17">
        <f>AVERAGE(E25:N25)</f>
        <v>2.6183078998090629E-2</v>
      </c>
    </row>
    <row r="27" spans="1:15" ht="15" customHeight="1" x14ac:dyDescent="0.45">
      <c r="B27" s="159"/>
      <c r="C27" s="177"/>
      <c r="D27" s="19" t="s">
        <v>42</v>
      </c>
      <c r="E27" s="80">
        <f>E25</f>
        <v>3.5384615384615382E-2</v>
      </c>
      <c r="F27" s="80">
        <f>E27+F25</f>
        <v>6.7218934911242603E-2</v>
      </c>
      <c r="G27" s="80">
        <f>F27+G25</f>
        <v>9.6322257624032764E-2</v>
      </c>
      <c r="H27" s="80">
        <f t="shared" ref="H27" si="9">G27+H25</f>
        <v>0.12332481355694828</v>
      </c>
      <c r="I27" s="80">
        <f t="shared" ref="I27" si="10">H27+I25</f>
        <v>0.14871139504380637</v>
      </c>
      <c r="J27" s="80">
        <f>I27+J25</f>
        <v>0.17285491926446644</v>
      </c>
      <c r="K27" s="80">
        <f t="shared" ref="K27" si="11">J27+K25</f>
        <v>0.19604224558805111</v>
      </c>
      <c r="L27" s="80">
        <f t="shared" ref="L27" si="12">K27+L25</f>
        <v>0.21849403506773163</v>
      </c>
      <c r="M27" s="80">
        <f t="shared" ref="M27" si="13">L27+M25</f>
        <v>0.24038002697517818</v>
      </c>
      <c r="N27" s="80">
        <f t="shared" ref="N27" si="14">M27+N25</f>
        <v>0.26183078998090631</v>
      </c>
    </row>
    <row r="28" spans="1:15" ht="15" customHeight="1" x14ac:dyDescent="0.45">
      <c r="B28" s="158" t="s">
        <v>17</v>
      </c>
      <c r="C28" s="176" t="s">
        <v>32</v>
      </c>
      <c r="D28" s="15" t="s">
        <v>43</v>
      </c>
      <c r="E28" s="17">
        <f t="shared" ref="E28:N28" si="15">((1+$E$11)*$E$7)+($E$7*E18)</f>
        <v>1.7692307692307691E-2</v>
      </c>
      <c r="F28" s="17">
        <f t="shared" si="15"/>
        <v>1.591715976331361E-2</v>
      </c>
      <c r="G28" s="17">
        <f t="shared" si="15"/>
        <v>1.4551661356395084E-2</v>
      </c>
      <c r="H28" s="17">
        <f t="shared" si="15"/>
        <v>1.3501277966457758E-2</v>
      </c>
      <c r="I28" s="17">
        <f t="shared" si="15"/>
        <v>1.2693290743429045E-2</v>
      </c>
      <c r="J28" s="17">
        <f t="shared" si="15"/>
        <v>1.2071762110330033E-2</v>
      </c>
      <c r="K28" s="17">
        <f t="shared" si="15"/>
        <v>1.1593663161792334E-2</v>
      </c>
      <c r="L28" s="17">
        <f t="shared" si="15"/>
        <v>1.1225894739840257E-2</v>
      </c>
      <c r="M28" s="17">
        <f t="shared" si="15"/>
        <v>1.0942995953723274E-2</v>
      </c>
      <c r="N28" s="17">
        <f t="shared" si="15"/>
        <v>1.0725381502864059E-2</v>
      </c>
    </row>
    <row r="29" spans="1:15" ht="15" customHeight="1" x14ac:dyDescent="0.45">
      <c r="B29" s="159"/>
      <c r="C29" s="177"/>
      <c r="D29" s="15" t="s">
        <v>44</v>
      </c>
      <c r="E29" s="17"/>
      <c r="F29" s="17"/>
      <c r="G29" s="17"/>
      <c r="H29" s="17"/>
      <c r="I29" s="17">
        <f>AVERAGE(E28:I28)</f>
        <v>1.4871139504380636E-2</v>
      </c>
      <c r="J29" s="16"/>
      <c r="K29" s="16"/>
      <c r="L29" s="16"/>
      <c r="M29" s="16"/>
      <c r="N29" s="17">
        <f>AVERAGE(E28:N28)</f>
        <v>1.3091539499045315E-2</v>
      </c>
    </row>
    <row r="30" spans="1:15" ht="15" customHeight="1" x14ac:dyDescent="0.45">
      <c r="B30" s="159"/>
      <c r="C30" s="177"/>
      <c r="D30" s="19" t="s">
        <v>42</v>
      </c>
      <c r="E30" s="80">
        <f>E28</f>
        <v>1.7692307692307691E-2</v>
      </c>
      <c r="F30" s="80">
        <f t="shared" ref="F30:N30" si="16">E30+F28</f>
        <v>3.3609467455621302E-2</v>
      </c>
      <c r="G30" s="80">
        <f>F30+G28</f>
        <v>4.8161128812016382E-2</v>
      </c>
      <c r="H30" s="80">
        <f t="shared" si="16"/>
        <v>6.1662406778474142E-2</v>
      </c>
      <c r="I30" s="80">
        <f t="shared" si="16"/>
        <v>7.4355697521903186E-2</v>
      </c>
      <c r="J30" s="80">
        <f>I30+J28</f>
        <v>8.6427459632233222E-2</v>
      </c>
      <c r="K30" s="80">
        <f t="shared" si="16"/>
        <v>9.8021122794025556E-2</v>
      </c>
      <c r="L30" s="80">
        <f t="shared" si="16"/>
        <v>0.10924701753386581</v>
      </c>
      <c r="M30" s="80">
        <f t="shared" si="16"/>
        <v>0.12019001348758909</v>
      </c>
      <c r="N30" s="80">
        <f t="shared" si="16"/>
        <v>0.13091539499045315</v>
      </c>
    </row>
    <row r="31" spans="1:15" ht="15" customHeight="1" x14ac:dyDescent="0.45">
      <c r="B31" s="3"/>
      <c r="C31" s="1"/>
      <c r="D31" s="43"/>
      <c r="E31" s="31"/>
      <c r="F31" s="31"/>
      <c r="G31" s="31"/>
      <c r="H31" s="31"/>
      <c r="I31" s="31"/>
      <c r="J31" s="31"/>
      <c r="K31" s="31"/>
      <c r="L31" s="31"/>
      <c r="M31" s="31"/>
      <c r="N31" s="31"/>
    </row>
    <row r="32" spans="1:15" ht="15" customHeight="1"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row>
    <row r="33" spans="2:14" ht="15" customHeight="1" x14ac:dyDescent="0.45">
      <c r="B33" s="169"/>
      <c r="C33" s="171"/>
      <c r="D33" s="173"/>
      <c r="E33" s="149"/>
      <c r="F33" s="149"/>
      <c r="G33" s="149"/>
      <c r="H33" s="149"/>
      <c r="I33" s="149"/>
      <c r="J33" s="149"/>
      <c r="K33" s="149"/>
      <c r="L33" s="149"/>
      <c r="M33" s="149"/>
      <c r="N33" s="149"/>
    </row>
    <row r="34" spans="2:14" ht="15" customHeight="1" x14ac:dyDescent="0.45">
      <c r="B34" s="158" t="s">
        <v>141</v>
      </c>
      <c r="C34" s="166" t="s">
        <v>32</v>
      </c>
      <c r="D34" s="15" t="s">
        <v>58</v>
      </c>
      <c r="E34" s="16">
        <f t="shared" ref="E34:N34" si="17">E39*$E$4/E$15</f>
        <v>0.11538461538461539</v>
      </c>
      <c r="F34" s="16">
        <f t="shared" si="17"/>
        <v>8.8757396449704137E-2</v>
      </c>
      <c r="G34" s="16">
        <f t="shared" si="17"/>
        <v>6.8274920345926263E-2</v>
      </c>
      <c r="H34" s="16">
        <f t="shared" si="17"/>
        <v>5.2519169496866358E-2</v>
      </c>
      <c r="I34" s="16">
        <f t="shared" si="17"/>
        <v>4.0399361151435657E-2</v>
      </c>
      <c r="J34" s="16">
        <f t="shared" si="17"/>
        <v>3.1076431654950505E-2</v>
      </c>
      <c r="K34" s="16">
        <f t="shared" si="17"/>
        <v>2.3904947426885002E-2</v>
      </c>
      <c r="L34" s="16">
        <f t="shared" si="17"/>
        <v>1.8388421097603851E-2</v>
      </c>
      <c r="M34" s="16">
        <f t="shared" si="17"/>
        <v>1.4144939305849114E-2</v>
      </c>
      <c r="N34" s="16">
        <f t="shared" si="17"/>
        <v>1.0880722542960857E-2</v>
      </c>
    </row>
    <row r="35" spans="2:14" ht="15" customHeight="1" x14ac:dyDescent="0.45">
      <c r="B35" s="159"/>
      <c r="C35" s="166"/>
      <c r="D35" s="15" t="s">
        <v>59</v>
      </c>
      <c r="E35" s="16"/>
      <c r="F35" s="16"/>
      <c r="G35" s="16"/>
      <c r="H35" s="16"/>
      <c r="I35" s="82">
        <f>AVERAGE(E34:I34)</f>
        <v>7.3067092565709563E-2</v>
      </c>
      <c r="J35" s="16"/>
      <c r="K35" s="16"/>
      <c r="L35" s="16"/>
      <c r="M35" s="16"/>
      <c r="N35" s="17">
        <f>AVERAGE(E34:N34)</f>
        <v>4.6373092485679709E-2</v>
      </c>
    </row>
    <row r="36" spans="2:14" ht="15" customHeight="1" x14ac:dyDescent="0.45">
      <c r="B36" s="159"/>
      <c r="C36" s="166"/>
      <c r="D36" s="15" t="s">
        <v>42</v>
      </c>
      <c r="E36" s="16">
        <f t="shared" ref="E36:N36" si="18">E$17*(E34/E$19)</f>
        <v>0.11538461538461539</v>
      </c>
      <c r="F36" s="16">
        <f t="shared" si="18"/>
        <v>0.20414201183431957</v>
      </c>
      <c r="G36" s="16">
        <f>G$17*(G34/G$19)</f>
        <v>0.27241693218024582</v>
      </c>
      <c r="H36" s="16">
        <f>H$17*(H34/H$19)</f>
        <v>0.32493610167711212</v>
      </c>
      <c r="I36" s="16">
        <f>I$17*(I34/I$19)</f>
        <v>0.36533546282854773</v>
      </c>
      <c r="J36" s="16">
        <f t="shared" si="18"/>
        <v>0.39641189448349773</v>
      </c>
      <c r="K36" s="16">
        <f t="shared" si="18"/>
        <v>0.42031684191038371</v>
      </c>
      <c r="L36" s="16">
        <f t="shared" si="18"/>
        <v>0.43870526300798701</v>
      </c>
      <c r="M36" s="16">
        <f t="shared" si="18"/>
        <v>0.45285020231383699</v>
      </c>
      <c r="N36" s="16">
        <f t="shared" si="18"/>
        <v>0.46373092485679734</v>
      </c>
    </row>
    <row r="37" spans="2:14" ht="15" customHeight="1" x14ac:dyDescent="0.45">
      <c r="B37" s="159"/>
      <c r="C37" s="167"/>
      <c r="D37" s="19" t="s">
        <v>45</v>
      </c>
      <c r="E37" s="20">
        <f t="shared" ref="E37:N37" si="19">10*E34</f>
        <v>1.153846153846154</v>
      </c>
      <c r="F37" s="20">
        <f t="shared" si="19"/>
        <v>0.8875739644970414</v>
      </c>
      <c r="G37" s="20">
        <f t="shared" si="19"/>
        <v>0.6827492034592626</v>
      </c>
      <c r="H37" s="20">
        <f t="shared" si="19"/>
        <v>0.52519169496866358</v>
      </c>
      <c r="I37" s="20">
        <f t="shared" si="19"/>
        <v>0.40399361151435659</v>
      </c>
      <c r="J37" s="20">
        <f t="shared" si="19"/>
        <v>0.31076431654950504</v>
      </c>
      <c r="K37" s="20">
        <f t="shared" si="19"/>
        <v>0.23904947426885004</v>
      </c>
      <c r="L37" s="20">
        <f t="shared" si="19"/>
        <v>0.18388421097603852</v>
      </c>
      <c r="M37" s="20">
        <f t="shared" si="19"/>
        <v>0.14144939305849114</v>
      </c>
      <c r="N37" s="20">
        <f t="shared" si="19"/>
        <v>0.10880722542960858</v>
      </c>
    </row>
    <row r="38" spans="2:14" ht="15" customHeight="1" x14ac:dyDescent="0.45">
      <c r="B38" s="159"/>
      <c r="C38" s="167"/>
      <c r="D38" s="19" t="s">
        <v>46</v>
      </c>
      <c r="E38" s="20">
        <f>10*E36</f>
        <v>1.153846153846154</v>
      </c>
      <c r="F38" s="20">
        <f>10*F36</f>
        <v>2.0414201183431957</v>
      </c>
      <c r="G38" s="20">
        <f>10*G36</f>
        <v>2.7241693218024583</v>
      </c>
      <c r="H38" s="20">
        <f t="shared" ref="H38:N38" si="20">10*H36</f>
        <v>3.2493610167711213</v>
      </c>
      <c r="I38" s="20">
        <f t="shared" si="20"/>
        <v>3.6533546282854772</v>
      </c>
      <c r="J38" s="20">
        <f t="shared" si="20"/>
        <v>3.9641189448349774</v>
      </c>
      <c r="K38" s="20">
        <f t="shared" si="20"/>
        <v>4.2031684191038368</v>
      </c>
      <c r="L38" s="20">
        <f t="shared" si="20"/>
        <v>4.3870526300798698</v>
      </c>
      <c r="M38" s="20">
        <f t="shared" si="20"/>
        <v>4.5285020231383699</v>
      </c>
      <c r="N38" s="20">
        <f t="shared" si="20"/>
        <v>4.6373092485679734</v>
      </c>
    </row>
    <row r="39" spans="2:14" ht="15" customHeight="1" x14ac:dyDescent="0.45">
      <c r="B39" s="159"/>
      <c r="C39" s="165" t="s">
        <v>36</v>
      </c>
      <c r="D39" s="15" t="s">
        <v>43</v>
      </c>
      <c r="E39" s="16">
        <f>E8</f>
        <v>0.15</v>
      </c>
      <c r="F39" s="16">
        <f>E39</f>
        <v>0.15</v>
      </c>
      <c r="G39" s="16">
        <f t="shared" ref="G39:N39" si="21">F39</f>
        <v>0.15</v>
      </c>
      <c r="H39" s="16">
        <f t="shared" si="21"/>
        <v>0.15</v>
      </c>
      <c r="I39" s="16">
        <f t="shared" si="21"/>
        <v>0.15</v>
      </c>
      <c r="J39" s="16">
        <f t="shared" si="21"/>
        <v>0.15</v>
      </c>
      <c r="K39" s="16">
        <f t="shared" si="21"/>
        <v>0.15</v>
      </c>
      <c r="L39" s="16">
        <f t="shared" si="21"/>
        <v>0.15</v>
      </c>
      <c r="M39" s="16">
        <f t="shared" si="21"/>
        <v>0.15</v>
      </c>
      <c r="N39" s="16">
        <f t="shared" si="21"/>
        <v>0.15</v>
      </c>
    </row>
    <row r="40" spans="2:14" ht="15" customHeight="1" x14ac:dyDescent="0.45">
      <c r="B40" s="159"/>
      <c r="C40" s="167"/>
      <c r="D40" s="19" t="s">
        <v>45</v>
      </c>
      <c r="E40" s="21">
        <f>E37*E$15</f>
        <v>150000.00000000003</v>
      </c>
      <c r="F40" s="21">
        <f t="shared" ref="F40:N40" si="22">F37*F$15</f>
        <v>150000</v>
      </c>
      <c r="G40" s="21">
        <f>G37*G$15</f>
        <v>150000</v>
      </c>
      <c r="H40" s="21">
        <f>H37*H$15</f>
        <v>150000</v>
      </c>
      <c r="I40" s="21">
        <f>I37*I$15</f>
        <v>150000</v>
      </c>
      <c r="J40" s="21">
        <f t="shared" si="22"/>
        <v>150000</v>
      </c>
      <c r="K40" s="21">
        <f t="shared" si="22"/>
        <v>150000</v>
      </c>
      <c r="L40" s="21">
        <f t="shared" si="22"/>
        <v>150000.00000000003</v>
      </c>
      <c r="M40" s="21">
        <f t="shared" si="22"/>
        <v>150000</v>
      </c>
      <c r="N40" s="21">
        <f t="shared" si="22"/>
        <v>150000</v>
      </c>
    </row>
    <row r="41" spans="2:14" ht="15" customHeight="1" x14ac:dyDescent="0.45">
      <c r="B41" s="159"/>
      <c r="C41" s="167"/>
      <c r="D41" s="19" t="s">
        <v>46</v>
      </c>
      <c r="E41" s="21">
        <f>E40</f>
        <v>150000.00000000003</v>
      </c>
      <c r="F41" s="21">
        <f>E41+F40</f>
        <v>300000</v>
      </c>
      <c r="G41" s="21">
        <f>F41+G40</f>
        <v>450000</v>
      </c>
      <c r="H41" s="21">
        <f t="shared" ref="H41:N41" si="23">G41+H40</f>
        <v>600000</v>
      </c>
      <c r="I41" s="21">
        <f t="shared" si="23"/>
        <v>750000</v>
      </c>
      <c r="J41" s="21">
        <f>I41+J40</f>
        <v>900000</v>
      </c>
      <c r="K41" s="21">
        <f t="shared" si="23"/>
        <v>1050000</v>
      </c>
      <c r="L41" s="21">
        <f t="shared" si="23"/>
        <v>1200000</v>
      </c>
      <c r="M41" s="21">
        <f t="shared" si="23"/>
        <v>1350000</v>
      </c>
      <c r="N41" s="21">
        <f t="shared" si="23"/>
        <v>1500000</v>
      </c>
    </row>
    <row r="42" spans="2:14" ht="15" customHeight="1" x14ac:dyDescent="0.45">
      <c r="B42" s="159"/>
      <c r="C42" s="165" t="s">
        <v>35</v>
      </c>
      <c r="D42" s="15" t="s">
        <v>43</v>
      </c>
      <c r="E42" s="16">
        <f>E36*E$15/$E$4</f>
        <v>0.15</v>
      </c>
      <c r="F42" s="16">
        <f>F36*F$15/$E$4-E42</f>
        <v>0.19500000000000009</v>
      </c>
      <c r="G42" s="16">
        <f>G36*G$15/$E$4-F42-E42</f>
        <v>0.25349999999999995</v>
      </c>
      <c r="H42" s="16">
        <f>H36*H$15/$E$4-G42-F42-E42</f>
        <v>0.32955000000000001</v>
      </c>
      <c r="I42" s="16">
        <f>I36*I$15/$E$4-H42-G42-F42-E42</f>
        <v>0.42841499999999977</v>
      </c>
      <c r="J42" s="16">
        <f>J36*J$15/$E$4-I42-H42-G42-F42-E42</f>
        <v>0.55693949999999748</v>
      </c>
      <c r="K42" s="16">
        <f>K36*K$15/$E$4-J42-I42-H42-G42-F42-E42</f>
        <v>0.72402135000000556</v>
      </c>
      <c r="L42" s="16">
        <f>L36*L$15/$E$4-K42-J42-I42-H42-G42-F42-E42</f>
        <v>0.94122775499999645</v>
      </c>
      <c r="M42" s="16">
        <f>M36*M$15/$E$4-L42-K42-J42-I42-H42-G42-F42-E42</f>
        <v>1.2235960815000084</v>
      </c>
      <c r="N42" s="16">
        <f>N36*N$15/$E$4-M42-L42-K42-J42-I42-H42-G42-F42-E42</f>
        <v>1.5906749059499956</v>
      </c>
    </row>
    <row r="43" spans="2:14" ht="15" customHeight="1" x14ac:dyDescent="0.45">
      <c r="B43" s="159"/>
      <c r="C43" s="166"/>
      <c r="D43" s="15" t="s">
        <v>44</v>
      </c>
      <c r="E43" s="17"/>
      <c r="F43" s="17"/>
      <c r="G43" s="17"/>
      <c r="H43" s="17"/>
      <c r="I43" s="38">
        <f>AVERAGE(E42:I42)</f>
        <v>0.27129299999999995</v>
      </c>
      <c r="J43" s="17"/>
      <c r="K43" s="17"/>
      <c r="L43" s="17"/>
      <c r="M43" s="17"/>
      <c r="N43" s="17">
        <f>AVERAGE(E42:N42)</f>
        <v>0.63929245924500033</v>
      </c>
    </row>
    <row r="44" spans="2:14" ht="15" customHeight="1" x14ac:dyDescent="0.45">
      <c r="B44" s="159"/>
      <c r="C44" s="167"/>
      <c r="D44" s="19" t="s">
        <v>45</v>
      </c>
      <c r="E44" s="22">
        <f>E46</f>
        <v>150000.00000000003</v>
      </c>
      <c r="F44" s="22">
        <f>F46-E46</f>
        <v>195000.00000000003</v>
      </c>
      <c r="G44" s="22">
        <f>G46-F46</f>
        <v>253500.00000000006</v>
      </c>
      <c r="H44" s="22">
        <f t="shared" ref="H44:N44" si="24">H46-G46</f>
        <v>329549.99999999988</v>
      </c>
      <c r="I44" s="22">
        <f t="shared" si="24"/>
        <v>428414.99999999977</v>
      </c>
      <c r="J44" s="22">
        <f>J46-I46</f>
        <v>556939.49999999767</v>
      </c>
      <c r="K44" s="22">
        <f t="shared" si="24"/>
        <v>724021.35000000498</v>
      </c>
      <c r="L44" s="22">
        <f t="shared" si="24"/>
        <v>941227.75499999616</v>
      </c>
      <c r="M44" s="22">
        <f t="shared" si="24"/>
        <v>1223596.0815000096</v>
      </c>
      <c r="N44" s="22">
        <f t="shared" si="24"/>
        <v>1590674.9059499949</v>
      </c>
    </row>
    <row r="45" spans="2:14" ht="15" customHeight="1" x14ac:dyDescent="0.45">
      <c r="B45" s="159"/>
      <c r="C45" s="167"/>
      <c r="D45" s="19" t="s">
        <v>47</v>
      </c>
      <c r="E45" s="22"/>
      <c r="F45" s="22"/>
      <c r="G45" s="22"/>
      <c r="H45" s="22"/>
      <c r="I45" s="22">
        <f>AVERAGE(E44:I44)</f>
        <v>271292.99999999994</v>
      </c>
      <c r="J45" s="22"/>
      <c r="K45" s="22"/>
      <c r="L45" s="22"/>
      <c r="M45" s="22"/>
      <c r="N45" s="22">
        <f>AVERAGE(E44:N44)</f>
        <v>639292.45924500027</v>
      </c>
    </row>
    <row r="46" spans="2:14" ht="15" customHeight="1" x14ac:dyDescent="0.45">
      <c r="B46" s="160"/>
      <c r="C46" s="167"/>
      <c r="D46" s="19" t="s">
        <v>46</v>
      </c>
      <c r="E46" s="21">
        <f t="shared" ref="E46:N46" si="25">E38*E$15</f>
        <v>150000.00000000003</v>
      </c>
      <c r="F46" s="21">
        <f t="shared" si="25"/>
        <v>345000.00000000006</v>
      </c>
      <c r="G46" s="21">
        <f>G38*G$15</f>
        <v>598500.00000000012</v>
      </c>
      <c r="H46" s="21">
        <f>H38*H$15</f>
        <v>928050</v>
      </c>
      <c r="I46" s="21">
        <f>I38*I$15</f>
        <v>1356464.9999999998</v>
      </c>
      <c r="J46" s="21">
        <f t="shared" si="25"/>
        <v>1913404.4999999974</v>
      </c>
      <c r="K46" s="21">
        <f t="shared" si="25"/>
        <v>2637425.8500000024</v>
      </c>
      <c r="L46" s="21">
        <f t="shared" si="25"/>
        <v>3578653.6049999986</v>
      </c>
      <c r="M46" s="21">
        <f t="shared" si="25"/>
        <v>4802249.6865000082</v>
      </c>
      <c r="N46" s="21">
        <f t="shared" si="25"/>
        <v>6392924.5924500031</v>
      </c>
    </row>
    <row r="47" spans="2:14" s="4" customFormat="1" ht="15" customHeight="1" x14ac:dyDescent="0.45">
      <c r="B47" s="3"/>
      <c r="C47" s="1"/>
      <c r="D47" s="43"/>
      <c r="E47" s="31"/>
      <c r="F47" s="31"/>
      <c r="G47" s="31"/>
      <c r="H47" s="31"/>
      <c r="I47" s="31"/>
      <c r="J47" s="31"/>
      <c r="K47" s="31"/>
      <c r="L47" s="31"/>
      <c r="M47" s="31"/>
      <c r="N47" s="31"/>
    </row>
    <row r="48" spans="2:14" s="4" customFormat="1" ht="15" customHeight="1"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5" s="4" customFormat="1" ht="15" customHeight="1" x14ac:dyDescent="0.45">
      <c r="B49" s="151"/>
      <c r="C49" s="175"/>
      <c r="D49" s="153"/>
      <c r="E49" s="149"/>
      <c r="F49" s="149"/>
      <c r="G49" s="149"/>
      <c r="H49" s="149"/>
      <c r="I49" s="149"/>
      <c r="J49" s="149"/>
      <c r="K49" s="149"/>
      <c r="L49" s="149"/>
      <c r="M49" s="149"/>
      <c r="N49" s="149"/>
    </row>
    <row r="50" spans="1:15" ht="15" customHeight="1" x14ac:dyDescent="0.45">
      <c r="B50" s="158" t="s">
        <v>141</v>
      </c>
      <c r="C50" s="166" t="s">
        <v>32</v>
      </c>
      <c r="D50" s="15" t="s">
        <v>43</v>
      </c>
      <c r="E50" s="16">
        <f>E55*$E$4/E$15</f>
        <v>3.8461538461538464E-2</v>
      </c>
      <c r="F50" s="16">
        <f t="shared" ref="F50:N50" si="26">F55*$E$4/F$15</f>
        <v>2.9585798816568046E-2</v>
      </c>
      <c r="G50" s="16">
        <f t="shared" si="26"/>
        <v>2.2758306781975421E-2</v>
      </c>
      <c r="H50" s="16">
        <f t="shared" si="26"/>
        <v>1.7506389832288784E-2</v>
      </c>
      <c r="I50" s="16">
        <f t="shared" si="26"/>
        <v>1.346645371714522E-2</v>
      </c>
      <c r="J50" s="16">
        <f t="shared" si="26"/>
        <v>1.0358810551650168E-2</v>
      </c>
      <c r="K50" s="16">
        <f t="shared" si="26"/>
        <v>7.9683158089616686E-3</v>
      </c>
      <c r="L50" s="16">
        <f t="shared" si="26"/>
        <v>6.1294736992012835E-3</v>
      </c>
      <c r="M50" s="16">
        <f t="shared" si="26"/>
        <v>4.7149797686163713E-3</v>
      </c>
      <c r="N50" s="16">
        <f t="shared" si="26"/>
        <v>3.626907514320286E-3</v>
      </c>
    </row>
    <row r="51" spans="1:15" ht="15" customHeight="1" x14ac:dyDescent="0.45">
      <c r="B51" s="159"/>
      <c r="C51" s="166"/>
      <c r="D51" s="15" t="s">
        <v>44</v>
      </c>
      <c r="E51" s="16"/>
      <c r="F51" s="16"/>
      <c r="G51" s="16"/>
      <c r="H51" s="16"/>
      <c r="I51" s="127">
        <f>AVERAGE(E50:I50)</f>
        <v>2.4355697521903186E-2</v>
      </c>
      <c r="J51" s="16"/>
      <c r="K51" s="16"/>
      <c r="L51" s="16"/>
      <c r="M51" s="16"/>
      <c r="N51" s="17">
        <f>AVERAGE(E50:N50)</f>
        <v>1.5457697495226571E-2</v>
      </c>
    </row>
    <row r="52" spans="1:15" ht="15" customHeight="1" x14ac:dyDescent="0.45">
      <c r="B52" s="159"/>
      <c r="C52" s="166"/>
      <c r="D52" s="15" t="s">
        <v>42</v>
      </c>
      <c r="E52" s="16">
        <f t="shared" ref="E52:N52" si="27">E$17*(E50/E$19)</f>
        <v>3.8461538461538464E-2</v>
      </c>
      <c r="F52" s="16">
        <f t="shared" si="27"/>
        <v>6.8047337278106509E-2</v>
      </c>
      <c r="G52" s="16">
        <f t="shared" si="27"/>
        <v>9.0805644060081944E-2</v>
      </c>
      <c r="H52" s="16">
        <f t="shared" si="27"/>
        <v>0.10831203389237071</v>
      </c>
      <c r="I52" s="16">
        <f t="shared" si="27"/>
        <v>0.12177848760951593</v>
      </c>
      <c r="J52" s="16">
        <f t="shared" si="27"/>
        <v>0.1321372981611659</v>
      </c>
      <c r="K52" s="16">
        <f t="shared" si="27"/>
        <v>0.14010561397012791</v>
      </c>
      <c r="L52" s="16">
        <f t="shared" si="27"/>
        <v>0.14623508766932899</v>
      </c>
      <c r="M52" s="16">
        <f t="shared" si="27"/>
        <v>0.15095006743794567</v>
      </c>
      <c r="N52" s="16">
        <f t="shared" si="27"/>
        <v>0.15457697495226577</v>
      </c>
    </row>
    <row r="53" spans="1:15" ht="15" customHeight="1" x14ac:dyDescent="0.45">
      <c r="B53" s="159"/>
      <c r="C53" s="167"/>
      <c r="D53" s="19" t="s">
        <v>45</v>
      </c>
      <c r="E53" s="20">
        <f>10*E50</f>
        <v>0.38461538461538464</v>
      </c>
      <c r="F53" s="20">
        <f t="shared" ref="F53:N53" si="28">10*F50</f>
        <v>0.29585798816568043</v>
      </c>
      <c r="G53" s="20">
        <f t="shared" si="28"/>
        <v>0.22758306781975421</v>
      </c>
      <c r="H53" s="20">
        <f t="shared" si="28"/>
        <v>0.17506389832288782</v>
      </c>
      <c r="I53" s="20">
        <f t="shared" si="28"/>
        <v>0.13466453717145219</v>
      </c>
      <c r="J53" s="20">
        <f t="shared" si="28"/>
        <v>0.10358810551650167</v>
      </c>
      <c r="K53" s="20">
        <f t="shared" si="28"/>
        <v>7.9683158089616679E-2</v>
      </c>
      <c r="L53" s="20">
        <f t="shared" si="28"/>
        <v>6.1294736992012835E-2</v>
      </c>
      <c r="M53" s="20">
        <f t="shared" si="28"/>
        <v>4.7149797686163716E-2</v>
      </c>
      <c r="N53" s="20">
        <f t="shared" si="28"/>
        <v>3.6269075143202857E-2</v>
      </c>
    </row>
    <row r="54" spans="1:15" ht="15" customHeight="1" x14ac:dyDescent="0.45">
      <c r="B54" s="159"/>
      <c r="C54" s="167"/>
      <c r="D54" s="19" t="s">
        <v>46</v>
      </c>
      <c r="E54" s="20">
        <f>10*E52</f>
        <v>0.38461538461538464</v>
      </c>
      <c r="F54" s="20">
        <f>10*F52</f>
        <v>0.68047337278106512</v>
      </c>
      <c r="G54" s="20">
        <f>10*G52</f>
        <v>0.90805644060081947</v>
      </c>
      <c r="H54" s="20">
        <f t="shared" ref="H54:N54" si="29">10*H52</f>
        <v>1.083120338923707</v>
      </c>
      <c r="I54" s="20">
        <f t="shared" si="29"/>
        <v>1.2177848760951593</v>
      </c>
      <c r="J54" s="20">
        <f t="shared" si="29"/>
        <v>1.3213729816116591</v>
      </c>
      <c r="K54" s="20">
        <f t="shared" si="29"/>
        <v>1.4010561397012791</v>
      </c>
      <c r="L54" s="20">
        <f t="shared" si="29"/>
        <v>1.46235087669329</v>
      </c>
      <c r="M54" s="20">
        <f t="shared" si="29"/>
        <v>1.5095006743794568</v>
      </c>
      <c r="N54" s="20">
        <f t="shared" si="29"/>
        <v>1.5457697495226577</v>
      </c>
    </row>
    <row r="55" spans="1:15" ht="15" customHeight="1" x14ac:dyDescent="0.45">
      <c r="B55" s="159"/>
      <c r="C55" s="165" t="s">
        <v>36</v>
      </c>
      <c r="D55" s="15" t="s">
        <v>43</v>
      </c>
      <c r="E55" s="16">
        <f t="shared" ref="E55:N55" si="30">$E9+($E$10*$E$11)</f>
        <v>0.05</v>
      </c>
      <c r="F55" s="16">
        <f t="shared" si="30"/>
        <v>0.05</v>
      </c>
      <c r="G55" s="16">
        <f t="shared" si="30"/>
        <v>0.05</v>
      </c>
      <c r="H55" s="16">
        <f t="shared" si="30"/>
        <v>0.05</v>
      </c>
      <c r="I55" s="16">
        <f t="shared" si="30"/>
        <v>0.05</v>
      </c>
      <c r="J55" s="16">
        <f t="shared" si="30"/>
        <v>0.05</v>
      </c>
      <c r="K55" s="16">
        <f t="shared" si="30"/>
        <v>0.05</v>
      </c>
      <c r="L55" s="16">
        <f t="shared" si="30"/>
        <v>0.05</v>
      </c>
      <c r="M55" s="16">
        <f t="shared" si="30"/>
        <v>0.05</v>
      </c>
      <c r="N55" s="16">
        <f t="shared" si="30"/>
        <v>0.05</v>
      </c>
    </row>
    <row r="56" spans="1:15" ht="15" customHeight="1" x14ac:dyDescent="0.45">
      <c r="B56" s="159"/>
      <c r="C56" s="167"/>
      <c r="D56" s="19" t="s">
        <v>45</v>
      </c>
      <c r="E56" s="21">
        <f t="shared" ref="E56:N56" si="31">E53*E$15</f>
        <v>50000</v>
      </c>
      <c r="F56" s="21">
        <f t="shared" si="31"/>
        <v>49999.999999999993</v>
      </c>
      <c r="G56" s="21">
        <f t="shared" si="31"/>
        <v>50000</v>
      </c>
      <c r="H56" s="21">
        <f t="shared" si="31"/>
        <v>49999.999999999993</v>
      </c>
      <c r="I56" s="21">
        <f t="shared" si="31"/>
        <v>50000</v>
      </c>
      <c r="J56" s="21">
        <f t="shared" si="31"/>
        <v>49999.999999999993</v>
      </c>
      <c r="K56" s="21">
        <f t="shared" si="31"/>
        <v>50000</v>
      </c>
      <c r="L56" s="21">
        <f t="shared" si="31"/>
        <v>50000</v>
      </c>
      <c r="M56" s="21">
        <f t="shared" si="31"/>
        <v>50000</v>
      </c>
      <c r="N56" s="21">
        <f t="shared" si="31"/>
        <v>50000</v>
      </c>
    </row>
    <row r="57" spans="1:15" ht="15" customHeight="1" x14ac:dyDescent="0.45">
      <c r="B57" s="159"/>
      <c r="C57" s="167"/>
      <c r="D57" s="19" t="s">
        <v>46</v>
      </c>
      <c r="E57" s="21">
        <f>E56</f>
        <v>50000</v>
      </c>
      <c r="F57" s="21">
        <f>E57+F56</f>
        <v>100000</v>
      </c>
      <c r="G57" s="21">
        <f>F57+G56</f>
        <v>150000</v>
      </c>
      <c r="H57" s="21">
        <f t="shared" ref="H57:N57" si="32">G57+H56</f>
        <v>200000</v>
      </c>
      <c r="I57" s="21">
        <f t="shared" si="32"/>
        <v>250000</v>
      </c>
      <c r="J57" s="21">
        <f>I57+J56</f>
        <v>300000</v>
      </c>
      <c r="K57" s="21">
        <f t="shared" si="32"/>
        <v>350000</v>
      </c>
      <c r="L57" s="21">
        <f t="shared" si="32"/>
        <v>400000</v>
      </c>
      <c r="M57" s="21">
        <f t="shared" si="32"/>
        <v>450000</v>
      </c>
      <c r="N57" s="21">
        <f t="shared" si="32"/>
        <v>500000</v>
      </c>
    </row>
    <row r="58" spans="1:15" ht="15" customHeight="1" x14ac:dyDescent="0.45">
      <c r="B58" s="159"/>
      <c r="C58" s="165" t="s">
        <v>35</v>
      </c>
      <c r="D58" s="15" t="s">
        <v>43</v>
      </c>
      <c r="E58" s="16">
        <f>E52*E$15/$E$4</f>
        <v>0.05</v>
      </c>
      <c r="F58" s="16">
        <f>F52*F$15/$E$4-E58</f>
        <v>6.5000000000000002E-2</v>
      </c>
      <c r="G58" s="16">
        <f>G52*G$15/$E$4-F58-E58</f>
        <v>8.4500000000000033E-2</v>
      </c>
      <c r="H58" s="16">
        <f>H52*H$15/$E$4-G58-F58-E58</f>
        <v>0.10984999999999993</v>
      </c>
      <c r="I58" s="16">
        <f>I52*I$15/$E$4-H58-G58-F58-E58</f>
        <v>0.14280500000000002</v>
      </c>
      <c r="J58" s="16">
        <f>J52*J$15/$E$4-I58-H58-G58-F58-E58</f>
        <v>0.18564649999999905</v>
      </c>
      <c r="K58" s="16">
        <f>K52*K$15/$E$4-J58-I58-H58-G58-F58-E58</f>
        <v>0.24134045000000187</v>
      </c>
      <c r="L58" s="16">
        <f>L52*L$15/$E$4-K58-J58-I58-H58-G58-F58-E58</f>
        <v>0.31374258499999896</v>
      </c>
      <c r="M58" s="16">
        <f>M52*M$15/$E$4-L58-K58-J58-I58-H58-G58-F58-E58</f>
        <v>0.40786536050000322</v>
      </c>
      <c r="N58" s="16">
        <f>N52*N$15/$E$4-M58-L58-K58-J58-I58-H58-G58-F58-E58</f>
        <v>0.53022496864999735</v>
      </c>
    </row>
    <row r="59" spans="1:15" ht="15" customHeight="1" x14ac:dyDescent="0.45">
      <c r="B59" s="159"/>
      <c r="C59" s="166"/>
      <c r="D59" s="15" t="s">
        <v>44</v>
      </c>
      <c r="E59" s="17"/>
      <c r="F59" s="17"/>
      <c r="G59" s="17"/>
      <c r="H59" s="17"/>
      <c r="I59" s="17">
        <f>AVERAGE(E58:I58)</f>
        <v>9.0430999999999997E-2</v>
      </c>
      <c r="J59" s="17"/>
      <c r="K59" s="17"/>
      <c r="L59" s="17"/>
      <c r="M59" s="17"/>
      <c r="N59" s="17">
        <f>AVERAGE(E58:N58)</f>
        <v>0.21309748641500006</v>
      </c>
    </row>
    <row r="60" spans="1:15" ht="15" customHeight="1" x14ac:dyDescent="0.45">
      <c r="B60" s="159"/>
      <c r="C60" s="167"/>
      <c r="D60" s="19" t="s">
        <v>45</v>
      </c>
      <c r="E60" s="22">
        <f>E62</f>
        <v>50000</v>
      </c>
      <c r="F60" s="22">
        <f>F62-E62</f>
        <v>65000</v>
      </c>
      <c r="G60" s="22">
        <f>G62-F62</f>
        <v>84500.000000000029</v>
      </c>
      <c r="H60" s="22">
        <f t="shared" ref="H60:N60" si="33">H62-G62</f>
        <v>109849.99999999991</v>
      </c>
      <c r="I60" s="22">
        <f t="shared" si="33"/>
        <v>142805.00000000006</v>
      </c>
      <c r="J60" s="22">
        <f>J62-I62</f>
        <v>185646.49999999907</v>
      </c>
      <c r="K60" s="22">
        <f t="shared" si="33"/>
        <v>241340.45000000182</v>
      </c>
      <c r="L60" s="22">
        <f t="shared" si="33"/>
        <v>313742.5849999988</v>
      </c>
      <c r="M60" s="22">
        <f t="shared" si="33"/>
        <v>407865.36050000321</v>
      </c>
      <c r="N60" s="22">
        <f t="shared" si="33"/>
        <v>530224.96864999784</v>
      </c>
    </row>
    <row r="61" spans="1:15" ht="15" customHeight="1" x14ac:dyDescent="0.45">
      <c r="B61" s="159"/>
      <c r="C61" s="167"/>
      <c r="D61" s="19" t="s">
        <v>47</v>
      </c>
      <c r="E61" s="22"/>
      <c r="F61" s="22"/>
      <c r="G61" s="22"/>
      <c r="H61" s="22"/>
      <c r="I61" s="22">
        <f>AVERAGE(E60:I60)</f>
        <v>90431</v>
      </c>
      <c r="J61" s="22"/>
      <c r="K61" s="22"/>
      <c r="L61" s="22"/>
      <c r="M61" s="22"/>
      <c r="N61" s="22">
        <f>AVERAGE(E60:N60)</f>
        <v>213097.48641500008</v>
      </c>
    </row>
    <row r="62" spans="1:15" ht="15" customHeight="1" x14ac:dyDescent="0.45">
      <c r="B62" s="160"/>
      <c r="C62" s="167"/>
      <c r="D62" s="19" t="s">
        <v>46</v>
      </c>
      <c r="E62" s="21">
        <f t="shared" ref="E62:N62" si="34">E54*E$15</f>
        <v>50000</v>
      </c>
      <c r="F62" s="21">
        <f t="shared" si="34"/>
        <v>115000</v>
      </c>
      <c r="G62" s="21">
        <f t="shared" si="34"/>
        <v>199500.00000000003</v>
      </c>
      <c r="H62" s="21">
        <f t="shared" si="34"/>
        <v>309349.99999999994</v>
      </c>
      <c r="I62" s="21">
        <f t="shared" si="34"/>
        <v>452155</v>
      </c>
      <c r="J62" s="21">
        <f t="shared" si="34"/>
        <v>637801.49999999907</v>
      </c>
      <c r="K62" s="21">
        <f t="shared" si="34"/>
        <v>879141.95000000088</v>
      </c>
      <c r="L62" s="21">
        <f t="shared" si="34"/>
        <v>1192884.5349999997</v>
      </c>
      <c r="M62" s="21">
        <f t="shared" si="34"/>
        <v>1600749.8955000029</v>
      </c>
      <c r="N62" s="21">
        <f t="shared" si="34"/>
        <v>2130974.8641500007</v>
      </c>
    </row>
    <row r="63" spans="1:15" ht="15" customHeight="1" x14ac:dyDescent="0.45">
      <c r="A63" s="8"/>
      <c r="B63" s="3"/>
      <c r="C63" s="1"/>
      <c r="D63" s="43"/>
      <c r="E63" s="31"/>
      <c r="F63" s="31"/>
      <c r="G63" s="31"/>
      <c r="H63" s="31"/>
      <c r="I63" s="31"/>
      <c r="J63" s="31"/>
      <c r="K63" s="31"/>
      <c r="L63" s="31"/>
      <c r="M63" s="31"/>
      <c r="N63" s="31"/>
      <c r="O63" s="8"/>
    </row>
    <row r="64" spans="1:15" ht="15" customHeight="1"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5" customHeight="1" x14ac:dyDescent="0.45">
      <c r="B65" s="164"/>
      <c r="C65" s="162"/>
      <c r="D65" s="155"/>
      <c r="E65" s="149"/>
      <c r="F65" s="149"/>
      <c r="G65" s="149"/>
      <c r="H65" s="149"/>
      <c r="I65" s="149"/>
      <c r="J65" s="149"/>
      <c r="K65" s="149"/>
      <c r="L65" s="149"/>
      <c r="M65" s="149"/>
      <c r="N65" s="149"/>
    </row>
    <row r="66" spans="2:14" ht="15" customHeight="1" x14ac:dyDescent="0.45">
      <c r="B66" s="167" t="s">
        <v>16</v>
      </c>
      <c r="C66" s="166" t="s">
        <v>32</v>
      </c>
      <c r="D66" s="15" t="s">
        <v>58</v>
      </c>
      <c r="E66" s="16">
        <f>E$23</f>
        <v>0.23076923076923078</v>
      </c>
      <c r="F66" s="16">
        <f t="shared" ref="F66:N66" si="35">F$23</f>
        <v>0.17751479289940825</v>
      </c>
      <c r="G66" s="16">
        <f t="shared" si="35"/>
        <v>0.1365498406918525</v>
      </c>
      <c r="H66" s="16">
        <f t="shared" si="35"/>
        <v>0.10503833899373272</v>
      </c>
      <c r="I66" s="16">
        <f t="shared" si="35"/>
        <v>8.0798722302871329E-2</v>
      </c>
      <c r="J66" s="16">
        <f t="shared" si="35"/>
        <v>6.2152863309901107E-2</v>
      </c>
      <c r="K66" s="16">
        <f t="shared" si="35"/>
        <v>4.7809894853769963E-2</v>
      </c>
      <c r="L66" s="16">
        <f t="shared" si="35"/>
        <v>3.6776842195207715E-2</v>
      </c>
      <c r="M66" s="16">
        <f t="shared" si="35"/>
        <v>2.8289878611698183E-2</v>
      </c>
      <c r="N66" s="16">
        <f t="shared" si="35"/>
        <v>2.1761445085921705E-2</v>
      </c>
    </row>
    <row r="67" spans="2:14" ht="15" customHeight="1" x14ac:dyDescent="0.45">
      <c r="B67" s="167"/>
      <c r="C67" s="166"/>
      <c r="D67" s="15" t="s">
        <v>59</v>
      </c>
      <c r="E67" s="16"/>
      <c r="F67" s="16"/>
      <c r="G67" s="16"/>
      <c r="H67" s="16"/>
      <c r="I67" s="82">
        <f>AVERAGE(E66:I66)</f>
        <v>0.14613418513141913</v>
      </c>
      <c r="J67" s="16"/>
      <c r="K67" s="16"/>
      <c r="L67" s="16"/>
      <c r="M67" s="16"/>
      <c r="N67" s="17">
        <f>AVERAGE(E66:N66)</f>
        <v>9.2746184971359419E-2</v>
      </c>
    </row>
    <row r="68" spans="2:14" ht="15" customHeight="1" x14ac:dyDescent="0.45">
      <c r="B68" s="167"/>
      <c r="C68" s="166"/>
      <c r="D68" s="15" t="s">
        <v>42</v>
      </c>
      <c r="E68" s="16">
        <f>E$17*(E66/E$19)</f>
        <v>0.23076923076923078</v>
      </c>
      <c r="F68" s="16">
        <f t="shared" ref="F68:N68" si="36">F$17*(F66/F$19)</f>
        <v>0.40828402366863903</v>
      </c>
      <c r="G68" s="16">
        <f>G$17*(G66/G$19)</f>
        <v>0.54483386436049153</v>
      </c>
      <c r="H68" s="16">
        <f>H$17*(H66/H$19)</f>
        <v>0.64987220335422424</v>
      </c>
      <c r="I68" s="16">
        <f>I$17*(I66/I$19)</f>
        <v>0.73067092565709557</v>
      </c>
      <c r="J68" s="16">
        <f t="shared" si="36"/>
        <v>0.79282378896699668</v>
      </c>
      <c r="K68" s="16">
        <f t="shared" si="36"/>
        <v>0.84063368382076664</v>
      </c>
      <c r="L68" s="16">
        <f t="shared" si="36"/>
        <v>0.87741052601597436</v>
      </c>
      <c r="M68" s="16">
        <f t="shared" si="36"/>
        <v>0.90570040462767254</v>
      </c>
      <c r="N68" s="16">
        <f t="shared" si="36"/>
        <v>0.92746184971359424</v>
      </c>
    </row>
    <row r="69" spans="2:14" ht="15" customHeight="1" x14ac:dyDescent="0.45">
      <c r="B69" s="167"/>
      <c r="C69" s="167"/>
      <c r="D69" s="19" t="s">
        <v>45</v>
      </c>
      <c r="E69" s="20">
        <f>10*E66</f>
        <v>2.3076923076923079</v>
      </c>
      <c r="F69" s="20">
        <f t="shared" ref="F69:N69" si="37">10*F66</f>
        <v>1.7751479289940826</v>
      </c>
      <c r="G69" s="20">
        <f t="shared" si="37"/>
        <v>1.365498406918525</v>
      </c>
      <c r="H69" s="20">
        <f t="shared" si="37"/>
        <v>1.0503833899373272</v>
      </c>
      <c r="I69" s="20">
        <f t="shared" si="37"/>
        <v>0.80798722302871329</v>
      </c>
      <c r="J69" s="20">
        <f t="shared" si="37"/>
        <v>0.62152863309901107</v>
      </c>
      <c r="K69" s="20">
        <f t="shared" si="37"/>
        <v>0.47809894853769963</v>
      </c>
      <c r="L69" s="20">
        <f t="shared" si="37"/>
        <v>0.36776842195207715</v>
      </c>
      <c r="M69" s="20">
        <f t="shared" si="37"/>
        <v>0.28289878611698183</v>
      </c>
      <c r="N69" s="20">
        <f t="shared" si="37"/>
        <v>0.21761445085921705</v>
      </c>
    </row>
    <row r="70" spans="2:14" ht="15" customHeight="1" x14ac:dyDescent="0.45">
      <c r="B70" s="167"/>
      <c r="C70" s="167"/>
      <c r="D70" s="19" t="s">
        <v>46</v>
      </c>
      <c r="E70" s="20">
        <f>10*E68</f>
        <v>2.3076923076923079</v>
      </c>
      <c r="F70" s="20">
        <f>10*F68</f>
        <v>4.0828402366863905</v>
      </c>
      <c r="G70" s="20">
        <f>10*G68</f>
        <v>5.4483386436049148</v>
      </c>
      <c r="H70" s="20">
        <f t="shared" ref="H70:N70" si="38">10*H68</f>
        <v>6.4987220335422426</v>
      </c>
      <c r="I70" s="20">
        <f t="shared" si="38"/>
        <v>7.3067092565709562</v>
      </c>
      <c r="J70" s="20">
        <f t="shared" si="38"/>
        <v>7.9282378896699672</v>
      </c>
      <c r="K70" s="20">
        <f t="shared" si="38"/>
        <v>8.4063368382076664</v>
      </c>
      <c r="L70" s="20">
        <f t="shared" si="38"/>
        <v>8.7741052601597431</v>
      </c>
      <c r="M70" s="20">
        <f t="shared" si="38"/>
        <v>9.0570040462767256</v>
      </c>
      <c r="N70" s="20">
        <f t="shared" si="38"/>
        <v>9.2746184971359433</v>
      </c>
    </row>
    <row r="71" spans="2:14" ht="15" customHeight="1" x14ac:dyDescent="0.45">
      <c r="B71" s="167"/>
      <c r="C71" s="165" t="s">
        <v>36</v>
      </c>
      <c r="D71" s="15" t="s">
        <v>43</v>
      </c>
      <c r="E71" s="16">
        <f t="shared" ref="E71:N71" si="39">E66*E$15/$E$4</f>
        <v>0.3</v>
      </c>
      <c r="F71" s="16">
        <f t="shared" si="39"/>
        <v>0.29999999999999993</v>
      </c>
      <c r="G71" s="16">
        <f t="shared" si="39"/>
        <v>0.29999999999999993</v>
      </c>
      <c r="H71" s="16">
        <f t="shared" si="39"/>
        <v>0.3</v>
      </c>
      <c r="I71" s="16">
        <f t="shared" si="39"/>
        <v>0.30000000000000004</v>
      </c>
      <c r="J71" s="16">
        <f t="shared" si="39"/>
        <v>0.30000000000000049</v>
      </c>
      <c r="K71" s="16">
        <f t="shared" si="39"/>
        <v>0.29999999999999971</v>
      </c>
      <c r="L71" s="16">
        <f t="shared" si="39"/>
        <v>0.30000000000000016</v>
      </c>
      <c r="M71" s="16">
        <f t="shared" si="39"/>
        <v>0.29999999999999954</v>
      </c>
      <c r="N71" s="16">
        <f t="shared" si="39"/>
        <v>0.29999999999999988</v>
      </c>
    </row>
    <row r="72" spans="2:14" ht="15" customHeight="1" x14ac:dyDescent="0.45">
      <c r="B72" s="167"/>
      <c r="C72" s="167"/>
      <c r="D72" s="19" t="s">
        <v>45</v>
      </c>
      <c r="E72" s="21">
        <f t="shared" ref="E72:N72" si="40">E69*E$15</f>
        <v>300000.00000000006</v>
      </c>
      <c r="F72" s="21">
        <f t="shared" si="40"/>
        <v>299999.99999999994</v>
      </c>
      <c r="G72" s="21">
        <f>G69*G$15</f>
        <v>299999.99999999994</v>
      </c>
      <c r="H72" s="21">
        <f>H69*H$15</f>
        <v>300000</v>
      </c>
      <c r="I72" s="21">
        <f>I69*I$15</f>
        <v>300000.00000000006</v>
      </c>
      <c r="J72" s="21">
        <f t="shared" si="40"/>
        <v>300000.00000000047</v>
      </c>
      <c r="K72" s="21">
        <f t="shared" si="40"/>
        <v>299999.99999999971</v>
      </c>
      <c r="L72" s="21">
        <f t="shared" si="40"/>
        <v>300000.00000000012</v>
      </c>
      <c r="M72" s="21">
        <f t="shared" si="40"/>
        <v>299999.99999999953</v>
      </c>
      <c r="N72" s="21">
        <f t="shared" si="40"/>
        <v>299999.99999999988</v>
      </c>
    </row>
    <row r="73" spans="2:14" ht="15" customHeight="1" x14ac:dyDescent="0.45">
      <c r="B73" s="167"/>
      <c r="C73" s="167"/>
      <c r="D73" s="19" t="s">
        <v>46</v>
      </c>
      <c r="E73" s="21">
        <f>E72</f>
        <v>300000.00000000006</v>
      </c>
      <c r="F73" s="21">
        <f>E73+F72</f>
        <v>600000</v>
      </c>
      <c r="G73" s="21">
        <f>F73+G72</f>
        <v>900000</v>
      </c>
      <c r="H73" s="21">
        <f t="shared" ref="H73:N73" si="41">G73+H72</f>
        <v>1200000</v>
      </c>
      <c r="I73" s="21">
        <f t="shared" si="41"/>
        <v>1500000</v>
      </c>
      <c r="J73" s="21">
        <f>I73+J72</f>
        <v>1800000.0000000005</v>
      </c>
      <c r="K73" s="21">
        <f t="shared" si="41"/>
        <v>2100000</v>
      </c>
      <c r="L73" s="21">
        <f t="shared" si="41"/>
        <v>2400000</v>
      </c>
      <c r="M73" s="21">
        <f t="shared" si="41"/>
        <v>2699999.9999999995</v>
      </c>
      <c r="N73" s="21">
        <f t="shared" si="41"/>
        <v>2999999.9999999995</v>
      </c>
    </row>
    <row r="74" spans="2:14" ht="15" customHeight="1" x14ac:dyDescent="0.45">
      <c r="B74" s="167"/>
      <c r="C74" s="165" t="s">
        <v>35</v>
      </c>
      <c r="D74" s="15" t="s">
        <v>43</v>
      </c>
      <c r="E74" s="16">
        <f>E68*E$15/$E$4</f>
        <v>0.3</v>
      </c>
      <c r="F74" s="16">
        <f>F68*F$15/$E$4-E74</f>
        <v>0.38999999999999996</v>
      </c>
      <c r="G74" s="16">
        <f>G68*G$15/$E$4-F74-E74</f>
        <v>0.5069999999999999</v>
      </c>
      <c r="H74" s="16">
        <f>H68*H$15/$E$4-G74-F74-E74</f>
        <v>0.65910000000000024</v>
      </c>
      <c r="I74" s="16">
        <f>I68*I$15/$E$4-H74-G74-F74-E74</f>
        <v>0.85682999999999976</v>
      </c>
      <c r="J74" s="16">
        <f>J68*J$15/$E$4-I74-H74-G74-F74-E74</f>
        <v>1.1138790000000001</v>
      </c>
      <c r="K74" s="16">
        <f>K68*K$15/$E$4-J74-I74-H74-G74-F74-E74</f>
        <v>1.4480427000000007</v>
      </c>
      <c r="L74" s="16">
        <f>L68*L$15/$E$4-K74-J74-I74-H74-G74-F74-E74</f>
        <v>1.8824555099999991</v>
      </c>
      <c r="M74" s="16">
        <f>M68*M$15/$E$4-L74-K74-J74-I74-H74-G74-F74-E74</f>
        <v>2.4471921630000018</v>
      </c>
      <c r="N74" s="16">
        <f>N68*N$15/$E$4-M74-L74-K74-J74-I74-H74-G74-F74-E74</f>
        <v>3.1813498118999983</v>
      </c>
    </row>
    <row r="75" spans="2:14" ht="15" customHeight="1" x14ac:dyDescent="0.45">
      <c r="B75" s="167"/>
      <c r="C75" s="166"/>
      <c r="D75" s="15" t="s">
        <v>44</v>
      </c>
      <c r="E75" s="17"/>
      <c r="F75" s="17"/>
      <c r="G75" s="17"/>
      <c r="H75" s="17"/>
      <c r="I75" s="17">
        <f>AVERAGE(E74:I74)</f>
        <v>0.54258600000000001</v>
      </c>
      <c r="J75" s="17"/>
      <c r="K75" s="17"/>
      <c r="L75" s="17"/>
      <c r="M75" s="17"/>
      <c r="N75" s="17">
        <f>AVERAGE(E74:N74)</f>
        <v>1.27858491849</v>
      </c>
    </row>
    <row r="76" spans="2:14" ht="15" customHeight="1" x14ac:dyDescent="0.45">
      <c r="B76" s="167"/>
      <c r="C76" s="167"/>
      <c r="D76" s="19" t="s">
        <v>45</v>
      </c>
      <c r="E76" s="22">
        <f>E78</f>
        <v>300000.00000000006</v>
      </c>
      <c r="F76" s="22">
        <f>F78-E78</f>
        <v>389999.99999999994</v>
      </c>
      <c r="G76" s="22">
        <f>G78-F78</f>
        <v>506999.99999999977</v>
      </c>
      <c r="H76" s="22">
        <f t="shared" ref="H76:N76" si="42">H78-G78</f>
        <v>659100.00000000023</v>
      </c>
      <c r="I76" s="22">
        <f t="shared" si="42"/>
        <v>856830</v>
      </c>
      <c r="J76" s="22">
        <f>J78-I78</f>
        <v>1113879.0000000005</v>
      </c>
      <c r="K76" s="22">
        <f t="shared" si="42"/>
        <v>1448042.6999999997</v>
      </c>
      <c r="L76" s="22">
        <f t="shared" si="42"/>
        <v>1882455.5099999998</v>
      </c>
      <c r="M76" s="22">
        <f t="shared" si="42"/>
        <v>2447192.1630000016</v>
      </c>
      <c r="N76" s="22">
        <f t="shared" si="42"/>
        <v>3181349.8118999992</v>
      </c>
    </row>
    <row r="77" spans="2:14" ht="15" customHeight="1" x14ac:dyDescent="0.45">
      <c r="B77" s="167"/>
      <c r="C77" s="167"/>
      <c r="D77" s="19" t="s">
        <v>47</v>
      </c>
      <c r="E77" s="22"/>
      <c r="F77" s="22"/>
      <c r="G77" s="22"/>
      <c r="H77" s="22"/>
      <c r="I77" s="22">
        <f>AVERAGE(E76:I76)</f>
        <v>542586</v>
      </c>
      <c r="J77" s="22"/>
      <c r="K77" s="22"/>
      <c r="L77" s="22"/>
      <c r="M77" s="22"/>
      <c r="N77" s="22">
        <f>AVERAGE(E76:N76)</f>
        <v>1278584.9184900001</v>
      </c>
    </row>
    <row r="78" spans="2:14" ht="15" customHeight="1" x14ac:dyDescent="0.45">
      <c r="B78" s="167"/>
      <c r="C78" s="167"/>
      <c r="D78" s="19" t="s">
        <v>46</v>
      </c>
      <c r="E78" s="21">
        <f t="shared" ref="E78:N78" si="43">E70*E$15</f>
        <v>300000.00000000006</v>
      </c>
      <c r="F78" s="21">
        <f t="shared" si="43"/>
        <v>690000</v>
      </c>
      <c r="G78" s="21">
        <f>G70*G$15</f>
        <v>1196999.9999999998</v>
      </c>
      <c r="H78" s="21">
        <f>H70*H$15</f>
        <v>1856100</v>
      </c>
      <c r="I78" s="21">
        <f>I70*I$15</f>
        <v>2712930</v>
      </c>
      <c r="J78" s="21">
        <f t="shared" si="43"/>
        <v>3826809.0000000005</v>
      </c>
      <c r="K78" s="21">
        <f t="shared" si="43"/>
        <v>5274851.7</v>
      </c>
      <c r="L78" s="21">
        <f t="shared" si="43"/>
        <v>7157307.21</v>
      </c>
      <c r="M78" s="21">
        <f t="shared" si="43"/>
        <v>9604499.3730000015</v>
      </c>
      <c r="N78" s="21">
        <f t="shared" si="43"/>
        <v>12785849.184900001</v>
      </c>
    </row>
    <row r="79" spans="2:14" ht="15" customHeight="1" x14ac:dyDescent="0.45">
      <c r="B79" s="167" t="s">
        <v>141</v>
      </c>
      <c r="C79" s="166" t="s">
        <v>32</v>
      </c>
      <c r="D79" s="15" t="s">
        <v>43</v>
      </c>
      <c r="E79" s="16">
        <f>E$25</f>
        <v>3.5384615384615382E-2</v>
      </c>
      <c r="F79" s="16">
        <f t="shared" ref="F79:N79" si="44">F$25</f>
        <v>3.1834319526627221E-2</v>
      </c>
      <c r="G79" s="16">
        <f t="shared" si="44"/>
        <v>2.9103322712790168E-2</v>
      </c>
      <c r="H79" s="16">
        <f t="shared" si="44"/>
        <v>2.7002555932915517E-2</v>
      </c>
      <c r="I79" s="16">
        <f t="shared" si="44"/>
        <v>2.538658148685809E-2</v>
      </c>
      <c r="J79" s="16">
        <f t="shared" si="44"/>
        <v>2.4143524220660066E-2</v>
      </c>
      <c r="K79" s="16">
        <f t="shared" si="44"/>
        <v>2.3187326323584667E-2</v>
      </c>
      <c r="L79" s="16">
        <f t="shared" si="44"/>
        <v>2.2451789479680514E-2</v>
      </c>
      <c r="M79" s="16">
        <f t="shared" si="44"/>
        <v>2.1885991907446549E-2</v>
      </c>
      <c r="N79" s="16">
        <f t="shared" si="44"/>
        <v>2.1450763005728117E-2</v>
      </c>
    </row>
    <row r="80" spans="2:14" ht="15" customHeight="1" x14ac:dyDescent="0.45">
      <c r="B80" s="167"/>
      <c r="C80" s="166"/>
      <c r="D80" s="15" t="s">
        <v>44</v>
      </c>
      <c r="E80" s="16"/>
      <c r="F80" s="16"/>
      <c r="G80" s="16"/>
      <c r="H80" s="16"/>
      <c r="I80" s="82">
        <f>AVERAGE(E79:I79)</f>
        <v>2.9742279008761273E-2</v>
      </c>
      <c r="J80" s="17"/>
      <c r="K80" s="17"/>
      <c r="L80" s="17"/>
      <c r="M80" s="17"/>
      <c r="N80" s="17">
        <f>AVERAGE(E79:N79)</f>
        <v>2.6183078998090629E-2</v>
      </c>
    </row>
    <row r="81" spans="2:14" ht="15" customHeight="1" x14ac:dyDescent="0.45">
      <c r="B81" s="167"/>
      <c r="C81" s="166"/>
      <c r="D81" s="15" t="s">
        <v>42</v>
      </c>
      <c r="E81" s="16">
        <f>E$27</f>
        <v>3.5384615384615382E-2</v>
      </c>
      <c r="F81" s="16">
        <f t="shared" ref="F81:N81" si="45">F$27</f>
        <v>6.7218934911242603E-2</v>
      </c>
      <c r="G81" s="16">
        <f t="shared" si="45"/>
        <v>9.6322257624032764E-2</v>
      </c>
      <c r="H81" s="16">
        <f t="shared" si="45"/>
        <v>0.12332481355694828</v>
      </c>
      <c r="I81" s="16">
        <f t="shared" si="45"/>
        <v>0.14871139504380637</v>
      </c>
      <c r="J81" s="16">
        <f t="shared" si="45"/>
        <v>0.17285491926446644</v>
      </c>
      <c r="K81" s="16">
        <f t="shared" si="45"/>
        <v>0.19604224558805111</v>
      </c>
      <c r="L81" s="16">
        <f t="shared" si="45"/>
        <v>0.21849403506773163</v>
      </c>
      <c r="M81" s="16">
        <f t="shared" si="45"/>
        <v>0.24038002697517818</v>
      </c>
      <c r="N81" s="16">
        <f t="shared" si="45"/>
        <v>0.26183078998090631</v>
      </c>
    </row>
    <row r="82" spans="2:14" ht="15" customHeight="1" x14ac:dyDescent="0.45">
      <c r="B82" s="167"/>
      <c r="C82" s="167"/>
      <c r="D82" s="19" t="s">
        <v>45</v>
      </c>
      <c r="E82" s="20">
        <f t="shared" ref="E82:N82" si="46">10*E79</f>
        <v>0.35384615384615381</v>
      </c>
      <c r="F82" s="20">
        <f t="shared" si="46"/>
        <v>0.31834319526627219</v>
      </c>
      <c r="G82" s="20">
        <f t="shared" si="46"/>
        <v>0.29103322712790169</v>
      </c>
      <c r="H82" s="20">
        <f t="shared" si="46"/>
        <v>0.27002555932915517</v>
      </c>
      <c r="I82" s="20">
        <f t="shared" si="46"/>
        <v>0.2538658148685809</v>
      </c>
      <c r="J82" s="20">
        <f t="shared" si="46"/>
        <v>0.24143524220660068</v>
      </c>
      <c r="K82" s="20">
        <f t="shared" si="46"/>
        <v>0.23187326323584667</v>
      </c>
      <c r="L82" s="20">
        <f t="shared" si="46"/>
        <v>0.22451789479680515</v>
      </c>
      <c r="M82" s="20">
        <f t="shared" si="46"/>
        <v>0.2188599190744655</v>
      </c>
      <c r="N82" s="20">
        <f t="shared" si="46"/>
        <v>0.21450763005728118</v>
      </c>
    </row>
    <row r="83" spans="2:14" ht="15" customHeight="1" x14ac:dyDescent="0.45">
      <c r="B83" s="167"/>
      <c r="C83" s="167"/>
      <c r="D83" s="19" t="s">
        <v>46</v>
      </c>
      <c r="E83" s="20">
        <f>10*E81</f>
        <v>0.35384615384615381</v>
      </c>
      <c r="F83" s="20">
        <f t="shared" ref="F83:N83" si="47">10*F81</f>
        <v>0.672189349112426</v>
      </c>
      <c r="G83" s="20">
        <f t="shared" si="47"/>
        <v>0.9632225762403277</v>
      </c>
      <c r="H83" s="20">
        <f t="shared" si="47"/>
        <v>1.2332481355694829</v>
      </c>
      <c r="I83" s="20">
        <f t="shared" si="47"/>
        <v>1.4871139504380637</v>
      </c>
      <c r="J83" s="20">
        <f t="shared" si="47"/>
        <v>1.7285491926446643</v>
      </c>
      <c r="K83" s="20">
        <f t="shared" si="47"/>
        <v>1.960422455880511</v>
      </c>
      <c r="L83" s="20">
        <f t="shared" si="47"/>
        <v>2.1849403506773162</v>
      </c>
      <c r="M83" s="20">
        <f t="shared" si="47"/>
        <v>2.4038002697517817</v>
      </c>
      <c r="N83" s="20">
        <f t="shared" si="47"/>
        <v>2.618307899809063</v>
      </c>
    </row>
    <row r="84" spans="2:14" ht="15" customHeight="1" x14ac:dyDescent="0.45">
      <c r="B84" s="167"/>
      <c r="C84" s="165" t="s">
        <v>36</v>
      </c>
      <c r="D84" s="15" t="s">
        <v>43</v>
      </c>
      <c r="E84" s="16">
        <f>E79*E$15/$E$4</f>
        <v>4.5999999999999999E-2</v>
      </c>
      <c r="F84" s="16">
        <f t="shared" ref="F84:N84" si="48">F79*F$15/$E$4</f>
        <v>5.3800000000000001E-2</v>
      </c>
      <c r="G84" s="16">
        <f t="shared" si="48"/>
        <v>6.3939999999999997E-2</v>
      </c>
      <c r="H84" s="16">
        <f t="shared" si="48"/>
        <v>7.712200000000001E-2</v>
      </c>
      <c r="I84" s="16">
        <f t="shared" si="48"/>
        <v>9.4258600000000012E-2</v>
      </c>
      <c r="J84" s="16">
        <f t="shared" si="48"/>
        <v>0.11653618</v>
      </c>
      <c r="K84" s="16">
        <f t="shared" si="48"/>
        <v>0.145497034</v>
      </c>
      <c r="L84" s="16">
        <f t="shared" si="48"/>
        <v>0.18314614420000003</v>
      </c>
      <c r="M84" s="16">
        <f t="shared" si="48"/>
        <v>0.23208998746000001</v>
      </c>
      <c r="N84" s="16">
        <f t="shared" si="48"/>
        <v>0.29571698369800004</v>
      </c>
    </row>
    <row r="85" spans="2:14" ht="15" customHeight="1" x14ac:dyDescent="0.45">
      <c r="B85" s="167"/>
      <c r="C85" s="166"/>
      <c r="D85" s="15" t="s">
        <v>44</v>
      </c>
      <c r="E85" s="16"/>
      <c r="F85" s="16"/>
      <c r="G85" s="16"/>
      <c r="H85" s="16"/>
      <c r="I85" s="17">
        <f>AVERAGE(E84:I84)</f>
        <v>6.7024120000000006E-2</v>
      </c>
      <c r="J85" s="17"/>
      <c r="K85" s="17"/>
      <c r="L85" s="17"/>
      <c r="M85" s="17"/>
      <c r="N85" s="17">
        <f>AVERAGE(E84:N84)</f>
        <v>0.1308106929358</v>
      </c>
    </row>
    <row r="86" spans="2:14" ht="15" customHeight="1" x14ac:dyDescent="0.45">
      <c r="B86" s="167"/>
      <c r="C86" s="167"/>
      <c r="D86" s="19" t="s">
        <v>45</v>
      </c>
      <c r="E86" s="23">
        <f t="shared" ref="E86:F86" si="49">E82*E$15</f>
        <v>45999.999999999993</v>
      </c>
      <c r="F86" s="23">
        <f t="shared" si="49"/>
        <v>53800</v>
      </c>
      <c r="G86" s="23">
        <f>G82*G$15</f>
        <v>63940</v>
      </c>
      <c r="H86" s="23">
        <f>H82*H$15</f>
        <v>77122.000000000015</v>
      </c>
      <c r="I86" s="23">
        <f>I82*I$15</f>
        <v>94258.6</v>
      </c>
      <c r="J86" s="23">
        <f t="shared" ref="J86:N86" si="50">J82*J$15</f>
        <v>116536.18000000001</v>
      </c>
      <c r="K86" s="23">
        <f t="shared" si="50"/>
        <v>145497.03400000001</v>
      </c>
      <c r="L86" s="23">
        <f t="shared" si="50"/>
        <v>183146.14420000001</v>
      </c>
      <c r="M86" s="23">
        <f t="shared" si="50"/>
        <v>232089.98746000003</v>
      </c>
      <c r="N86" s="23">
        <f t="shared" si="50"/>
        <v>295716.98369800008</v>
      </c>
    </row>
    <row r="87" spans="2:14" ht="15" customHeight="1" x14ac:dyDescent="0.45">
      <c r="B87" s="167"/>
      <c r="C87" s="167"/>
      <c r="D87" s="19" t="s">
        <v>47</v>
      </c>
      <c r="E87" s="24"/>
      <c r="F87" s="24"/>
      <c r="G87" s="24"/>
      <c r="H87" s="24"/>
      <c r="I87" s="23">
        <f>AVERAGE(E86:I86)</f>
        <v>67024.12</v>
      </c>
      <c r="J87" s="23"/>
      <c r="K87" s="23"/>
      <c r="L87" s="23"/>
      <c r="M87" s="23"/>
      <c r="N87" s="23">
        <f>AVERAGE(E86:N86)</f>
        <v>130810.69293579999</v>
      </c>
    </row>
    <row r="88" spans="2:14" ht="15" customHeight="1" x14ac:dyDescent="0.45">
      <c r="B88" s="167"/>
      <c r="C88" s="167"/>
      <c r="D88" s="19" t="s">
        <v>46</v>
      </c>
      <c r="E88" s="24">
        <f>E86</f>
        <v>45999.999999999993</v>
      </c>
      <c r="F88" s="24">
        <f t="shared" ref="F88" si="51">E88+F86</f>
        <v>99800</v>
      </c>
      <c r="G88" s="24">
        <f>F88+G86</f>
        <v>163740</v>
      </c>
      <c r="H88" s="24">
        <f t="shared" ref="H88" si="52">G88+H86</f>
        <v>240862</v>
      </c>
      <c r="I88" s="24">
        <f t="shared" ref="I88" si="53">H88+I86</f>
        <v>335120.59999999998</v>
      </c>
      <c r="J88" s="24">
        <f>I88+J86</f>
        <v>451656.77999999997</v>
      </c>
      <c r="K88" s="24">
        <f t="shared" ref="K88" si="54">J88+K86</f>
        <v>597153.81400000001</v>
      </c>
      <c r="L88" s="24">
        <f t="shared" ref="L88" si="55">K88+L86</f>
        <v>780299.95819999999</v>
      </c>
      <c r="M88" s="24">
        <f t="shared" ref="M88" si="56">L88+M86</f>
        <v>1012389.94566</v>
      </c>
      <c r="N88" s="24">
        <f t="shared" ref="N88" si="57">M88+N86</f>
        <v>1308106.9293579999</v>
      </c>
    </row>
    <row r="89" spans="2:14" ht="15" customHeight="1" x14ac:dyDescent="0.45">
      <c r="B89" s="167"/>
      <c r="C89" s="165" t="s">
        <v>35</v>
      </c>
      <c r="D89" s="15" t="s">
        <v>43</v>
      </c>
      <c r="E89" s="16">
        <f>E81*E$15/$E$4</f>
        <v>4.5999999999999999E-2</v>
      </c>
      <c r="F89" s="16">
        <f>F81*F$15/$E$4-E89</f>
        <v>6.7600000000000007E-2</v>
      </c>
      <c r="G89" s="16">
        <f>G81*G$15/$E$4-F89-E89</f>
        <v>9.8019999999999982E-2</v>
      </c>
      <c r="H89" s="16">
        <f>H81*H$15/$E$4-G89-F89-E89</f>
        <v>0.14060800000000007</v>
      </c>
      <c r="I89" s="16">
        <f>I81*I$15/$E$4-H89-G89-F89-E89</f>
        <v>0.19992699999999991</v>
      </c>
      <c r="J89" s="16">
        <f>J81*J$15/$E$4-I89-H89-G89-F89-E89</f>
        <v>0.28218268000000019</v>
      </c>
      <c r="K89" s="16">
        <f>K81*K$15/$E$4-J89-I89-H89-G89-F89-E89</f>
        <v>0.39579833799999981</v>
      </c>
      <c r="L89" s="16">
        <f>L81*L$15/$E$4-K89-J89-I89-H89-G89-F89-E89</f>
        <v>0.55218694959999992</v>
      </c>
      <c r="M89" s="16">
        <f>M81*M$15/$E$4-L89-K89-J89-I89-H89-G89-F89-E89</f>
        <v>0.76678687774000032</v>
      </c>
      <c r="N89" s="16">
        <f>N81*N$15/$E$4-M89-L89-K89-J89-I89-H89-G89-F89-E89</f>
        <v>1.0604499372999998</v>
      </c>
    </row>
    <row r="90" spans="2:14" ht="15" customHeight="1" x14ac:dyDescent="0.45">
      <c r="B90" s="167"/>
      <c r="C90" s="166"/>
      <c r="D90" s="15" t="s">
        <v>44</v>
      </c>
      <c r="E90" s="17"/>
      <c r="F90" s="17"/>
      <c r="G90" s="17"/>
      <c r="H90" s="17"/>
      <c r="I90" s="17">
        <f>AVERAGE(E89:I89)</f>
        <v>0.11043099999999999</v>
      </c>
      <c r="J90" s="17"/>
      <c r="K90" s="17"/>
      <c r="L90" s="17"/>
      <c r="M90" s="17"/>
      <c r="N90" s="17">
        <f>AVERAGE(E89:N89)</f>
        <v>0.360955978264</v>
      </c>
    </row>
    <row r="91" spans="2:14" ht="15" customHeight="1" x14ac:dyDescent="0.45">
      <c r="B91" s="167"/>
      <c r="C91" s="167"/>
      <c r="D91" s="19" t="s">
        <v>45</v>
      </c>
      <c r="E91" s="23">
        <f>E93</f>
        <v>45999.999999999993</v>
      </c>
      <c r="F91" s="23">
        <f>F93-E93</f>
        <v>67600</v>
      </c>
      <c r="G91" s="23">
        <f>G93-F93</f>
        <v>98020</v>
      </c>
      <c r="H91" s="23">
        <f>H93-G93</f>
        <v>140608</v>
      </c>
      <c r="I91" s="23">
        <f>I93-H93</f>
        <v>199927</v>
      </c>
      <c r="J91" s="23">
        <f>J93-I93</f>
        <v>282182.68000000005</v>
      </c>
      <c r="K91" s="23">
        <f t="shared" ref="K91" si="58">K93-J93</f>
        <v>395798.33799999987</v>
      </c>
      <c r="L91" s="23">
        <f t="shared" ref="L91" si="59">L93-K93</f>
        <v>552186.94960000017</v>
      </c>
      <c r="M91" s="23">
        <f t="shared" ref="M91" si="60">M93-L93</f>
        <v>766786.87774000037</v>
      </c>
      <c r="N91" s="23">
        <f t="shared" ref="N91" si="61">N93-M93</f>
        <v>1060449.9372999999</v>
      </c>
    </row>
    <row r="92" spans="2:14" ht="15" customHeight="1" x14ac:dyDescent="0.45">
      <c r="B92" s="167"/>
      <c r="C92" s="167"/>
      <c r="D92" s="19" t="s">
        <v>47</v>
      </c>
      <c r="E92" s="23"/>
      <c r="F92" s="23"/>
      <c r="G92" s="23"/>
      <c r="H92" s="23"/>
      <c r="I92" s="23">
        <f>AVERAGE(E91:I91)</f>
        <v>110431</v>
      </c>
      <c r="J92" s="23"/>
      <c r="K92" s="23"/>
      <c r="L92" s="23"/>
      <c r="M92" s="23"/>
      <c r="N92" s="23">
        <f>AVERAGE(E91:N91)</f>
        <v>360955.97826400003</v>
      </c>
    </row>
    <row r="93" spans="2:14" ht="15" customHeight="1" x14ac:dyDescent="0.45">
      <c r="B93" s="167"/>
      <c r="C93" s="167"/>
      <c r="D93" s="19" t="s">
        <v>46</v>
      </c>
      <c r="E93" s="24">
        <f t="shared" ref="E93:F93" si="62">E83*E$15</f>
        <v>45999.999999999993</v>
      </c>
      <c r="F93" s="24">
        <f t="shared" si="62"/>
        <v>113600</v>
      </c>
      <c r="G93" s="24">
        <f>G83*G$15</f>
        <v>211620</v>
      </c>
      <c r="H93" s="24">
        <f>H83*H$15</f>
        <v>352228</v>
      </c>
      <c r="I93" s="24">
        <f>I83*I$15</f>
        <v>552155</v>
      </c>
      <c r="J93" s="24">
        <f t="shared" ref="J93:N93" si="63">J83*J$15</f>
        <v>834337.68</v>
      </c>
      <c r="K93" s="24">
        <f t="shared" si="63"/>
        <v>1230136.0179999999</v>
      </c>
      <c r="L93" s="24">
        <f t="shared" si="63"/>
        <v>1782322.9676000001</v>
      </c>
      <c r="M93" s="24">
        <f t="shared" si="63"/>
        <v>2549109.8453400005</v>
      </c>
      <c r="N93" s="24">
        <f t="shared" si="63"/>
        <v>3609559.7826400003</v>
      </c>
    </row>
    <row r="94" spans="2:14" ht="15" customHeight="1" x14ac:dyDescent="0.45">
      <c r="B94" s="167" t="s">
        <v>17</v>
      </c>
      <c r="C94" s="166" t="s">
        <v>32</v>
      </c>
      <c r="D94" s="15" t="s">
        <v>43</v>
      </c>
      <c r="E94" s="16">
        <f>E$28</f>
        <v>1.7692307692307691E-2</v>
      </c>
      <c r="F94" s="16">
        <f t="shared" ref="F94:N94" si="64">F$28</f>
        <v>1.591715976331361E-2</v>
      </c>
      <c r="G94" s="16">
        <f t="shared" si="64"/>
        <v>1.4551661356395084E-2</v>
      </c>
      <c r="H94" s="16">
        <f t="shared" si="64"/>
        <v>1.3501277966457758E-2</v>
      </c>
      <c r="I94" s="16">
        <f t="shared" si="64"/>
        <v>1.2693290743429045E-2</v>
      </c>
      <c r="J94" s="16">
        <f t="shared" si="64"/>
        <v>1.2071762110330033E-2</v>
      </c>
      <c r="K94" s="16">
        <f t="shared" si="64"/>
        <v>1.1593663161792334E-2</v>
      </c>
      <c r="L94" s="16">
        <f t="shared" si="64"/>
        <v>1.1225894739840257E-2</v>
      </c>
      <c r="M94" s="16">
        <f t="shared" si="64"/>
        <v>1.0942995953723274E-2</v>
      </c>
      <c r="N94" s="16">
        <f t="shared" si="64"/>
        <v>1.0725381502864059E-2</v>
      </c>
    </row>
    <row r="95" spans="2:14" ht="15" customHeight="1" x14ac:dyDescent="0.45">
      <c r="B95" s="167"/>
      <c r="C95" s="166"/>
      <c r="D95" s="15" t="s">
        <v>44</v>
      </c>
      <c r="E95" s="16"/>
      <c r="F95" s="16"/>
      <c r="G95" s="16"/>
      <c r="H95" s="16"/>
      <c r="I95" s="82">
        <f>AVERAGE(E94:I94)</f>
        <v>1.4871139504380636E-2</v>
      </c>
      <c r="J95" s="17"/>
      <c r="K95" s="17"/>
      <c r="L95" s="17"/>
      <c r="M95" s="17"/>
      <c r="N95" s="17">
        <f>AVERAGE(E94:N94)</f>
        <v>1.3091539499045315E-2</v>
      </c>
    </row>
    <row r="96" spans="2:14" ht="15" customHeight="1" x14ac:dyDescent="0.45">
      <c r="B96" s="167"/>
      <c r="C96" s="166"/>
      <c r="D96" s="15" t="s">
        <v>42</v>
      </c>
      <c r="E96" s="16">
        <f t="shared" ref="E96:N96" si="65">E$30</f>
        <v>1.7692307692307691E-2</v>
      </c>
      <c r="F96" s="16">
        <f t="shared" si="65"/>
        <v>3.3609467455621302E-2</v>
      </c>
      <c r="G96" s="16">
        <f t="shared" si="65"/>
        <v>4.8161128812016382E-2</v>
      </c>
      <c r="H96" s="16">
        <f t="shared" si="65"/>
        <v>6.1662406778474142E-2</v>
      </c>
      <c r="I96" s="16">
        <f t="shared" si="65"/>
        <v>7.4355697521903186E-2</v>
      </c>
      <c r="J96" s="16">
        <f t="shared" si="65"/>
        <v>8.6427459632233222E-2</v>
      </c>
      <c r="K96" s="16">
        <f t="shared" si="65"/>
        <v>9.8021122794025556E-2</v>
      </c>
      <c r="L96" s="16">
        <f t="shared" si="65"/>
        <v>0.10924701753386581</v>
      </c>
      <c r="M96" s="16">
        <f t="shared" si="65"/>
        <v>0.12019001348758909</v>
      </c>
      <c r="N96" s="16">
        <f t="shared" si="65"/>
        <v>0.13091539499045315</v>
      </c>
    </row>
    <row r="97" spans="2:14" ht="15" customHeight="1" x14ac:dyDescent="0.45">
      <c r="B97" s="167"/>
      <c r="C97" s="167"/>
      <c r="D97" s="19" t="s">
        <v>45</v>
      </c>
      <c r="E97" s="20">
        <f t="shared" ref="E97:N97" si="66">10*E94</f>
        <v>0.17692307692307691</v>
      </c>
      <c r="F97" s="20">
        <f t="shared" si="66"/>
        <v>0.1591715976331361</v>
      </c>
      <c r="G97" s="20">
        <f t="shared" si="66"/>
        <v>0.14551661356395085</v>
      </c>
      <c r="H97" s="20">
        <f t="shared" si="66"/>
        <v>0.13501277966457759</v>
      </c>
      <c r="I97" s="20">
        <f t="shared" si="66"/>
        <v>0.12693290743429045</v>
      </c>
      <c r="J97" s="20">
        <f t="shared" si="66"/>
        <v>0.12071762110330034</v>
      </c>
      <c r="K97" s="20">
        <f t="shared" si="66"/>
        <v>0.11593663161792334</v>
      </c>
      <c r="L97" s="20">
        <f t="shared" si="66"/>
        <v>0.11225894739840257</v>
      </c>
      <c r="M97" s="20">
        <f t="shared" si="66"/>
        <v>0.10942995953723275</v>
      </c>
      <c r="N97" s="20">
        <f t="shared" si="66"/>
        <v>0.10725381502864059</v>
      </c>
    </row>
    <row r="98" spans="2:14" ht="15" customHeight="1" x14ac:dyDescent="0.45">
      <c r="B98" s="167"/>
      <c r="C98" s="167"/>
      <c r="D98" s="19" t="s">
        <v>46</v>
      </c>
      <c r="E98" s="20">
        <f>10*E96</f>
        <v>0.17692307692307691</v>
      </c>
      <c r="F98" s="20">
        <f t="shared" ref="F98:N98" si="67">10*F96</f>
        <v>0.336094674556213</v>
      </c>
      <c r="G98" s="20">
        <f t="shared" si="67"/>
        <v>0.48161128812016385</v>
      </c>
      <c r="H98" s="20">
        <f t="shared" si="67"/>
        <v>0.61662406778474144</v>
      </c>
      <c r="I98" s="20">
        <f t="shared" si="67"/>
        <v>0.74355697521903186</v>
      </c>
      <c r="J98" s="20">
        <f t="shared" si="67"/>
        <v>0.86427459632233217</v>
      </c>
      <c r="K98" s="20">
        <f t="shared" si="67"/>
        <v>0.9802112279402555</v>
      </c>
      <c r="L98" s="20">
        <f t="shared" si="67"/>
        <v>1.0924701753386581</v>
      </c>
      <c r="M98" s="20">
        <f t="shared" si="67"/>
        <v>1.2019001348758909</v>
      </c>
      <c r="N98" s="20">
        <f t="shared" si="67"/>
        <v>1.3091539499045315</v>
      </c>
    </row>
    <row r="99" spans="2:14" ht="15" customHeight="1" x14ac:dyDescent="0.45">
      <c r="B99" s="167"/>
      <c r="C99" s="165" t="s">
        <v>36</v>
      </c>
      <c r="D99" s="15" t="s">
        <v>43</v>
      </c>
      <c r="E99" s="16">
        <f t="shared" ref="E99:N99" si="68">E94*E$15/$E$4</f>
        <v>2.3E-2</v>
      </c>
      <c r="F99" s="16">
        <f t="shared" si="68"/>
        <v>2.69E-2</v>
      </c>
      <c r="G99" s="16">
        <f t="shared" si="68"/>
        <v>3.1969999999999998E-2</v>
      </c>
      <c r="H99" s="16">
        <f t="shared" si="68"/>
        <v>3.8561000000000005E-2</v>
      </c>
      <c r="I99" s="16">
        <f t="shared" si="68"/>
        <v>4.7129300000000006E-2</v>
      </c>
      <c r="J99" s="16">
        <f t="shared" si="68"/>
        <v>5.8268090000000002E-2</v>
      </c>
      <c r="K99" s="16">
        <f t="shared" si="68"/>
        <v>7.2748516999999999E-2</v>
      </c>
      <c r="L99" s="16">
        <f t="shared" si="68"/>
        <v>9.1573072100000014E-2</v>
      </c>
      <c r="M99" s="16">
        <f t="shared" si="68"/>
        <v>0.11604499373</v>
      </c>
      <c r="N99" s="16">
        <f t="shared" si="68"/>
        <v>0.14785849184900002</v>
      </c>
    </row>
    <row r="100" spans="2:14" ht="15" customHeight="1" x14ac:dyDescent="0.45">
      <c r="B100" s="167"/>
      <c r="C100" s="166"/>
      <c r="D100" s="15" t="s">
        <v>44</v>
      </c>
      <c r="E100" s="16"/>
      <c r="F100" s="16"/>
      <c r="G100" s="16"/>
      <c r="H100" s="16"/>
      <c r="I100" s="17">
        <f>AVERAGE(E99:I99)</f>
        <v>3.3512060000000003E-2</v>
      </c>
      <c r="J100" s="17"/>
      <c r="K100" s="17"/>
      <c r="L100" s="17"/>
      <c r="M100" s="17"/>
      <c r="N100" s="17">
        <f>AVERAGE(E99:N99)</f>
        <v>6.54053464679E-2</v>
      </c>
    </row>
    <row r="101" spans="2:14" ht="15" customHeight="1" x14ac:dyDescent="0.45">
      <c r="B101" s="167"/>
      <c r="C101" s="167"/>
      <c r="D101" s="19" t="s">
        <v>45</v>
      </c>
      <c r="E101" s="23">
        <f t="shared" ref="E101:N101" si="69">E97*E$15</f>
        <v>22999.999999999996</v>
      </c>
      <c r="F101" s="23">
        <f t="shared" si="69"/>
        <v>26900</v>
      </c>
      <c r="G101" s="23">
        <f>G97*G$15</f>
        <v>31970</v>
      </c>
      <c r="H101" s="23">
        <f>H97*H$15</f>
        <v>38561.000000000007</v>
      </c>
      <c r="I101" s="23">
        <f>I97*I$15</f>
        <v>47129.3</v>
      </c>
      <c r="J101" s="23">
        <f t="shared" si="69"/>
        <v>58268.090000000004</v>
      </c>
      <c r="K101" s="23">
        <f t="shared" si="69"/>
        <v>72748.517000000007</v>
      </c>
      <c r="L101" s="23">
        <f t="shared" si="69"/>
        <v>91573.072100000005</v>
      </c>
      <c r="M101" s="23">
        <f t="shared" si="69"/>
        <v>116044.99373000002</v>
      </c>
      <c r="N101" s="23">
        <f t="shared" si="69"/>
        <v>147858.49184900004</v>
      </c>
    </row>
    <row r="102" spans="2:14" ht="15" customHeight="1" x14ac:dyDescent="0.45">
      <c r="B102" s="167"/>
      <c r="C102" s="167"/>
      <c r="D102" s="19" t="s">
        <v>47</v>
      </c>
      <c r="E102" s="24"/>
      <c r="F102" s="24"/>
      <c r="G102" s="24"/>
      <c r="H102" s="24"/>
      <c r="I102" s="23">
        <f>AVERAGE(E101:I101)</f>
        <v>33512.06</v>
      </c>
      <c r="J102" s="23"/>
      <c r="K102" s="23"/>
      <c r="L102" s="23"/>
      <c r="M102" s="23"/>
      <c r="N102" s="23">
        <f>AVERAGE(E101:N101)</f>
        <v>65405.346467899995</v>
      </c>
    </row>
    <row r="103" spans="2:14" ht="15" customHeight="1" x14ac:dyDescent="0.45">
      <c r="B103" s="167"/>
      <c r="C103" s="167"/>
      <c r="D103" s="19" t="s">
        <v>46</v>
      </c>
      <c r="E103" s="24">
        <f>E101</f>
        <v>22999.999999999996</v>
      </c>
      <c r="F103" s="24">
        <f t="shared" ref="F103:N103" si="70">E103+F101</f>
        <v>49900</v>
      </c>
      <c r="G103" s="24">
        <f>F103+G101</f>
        <v>81870</v>
      </c>
      <c r="H103" s="24">
        <f t="shared" si="70"/>
        <v>120431</v>
      </c>
      <c r="I103" s="24">
        <f t="shared" si="70"/>
        <v>167560.29999999999</v>
      </c>
      <c r="J103" s="24">
        <f>I103+J101</f>
        <v>225828.38999999998</v>
      </c>
      <c r="K103" s="24">
        <f t="shared" si="70"/>
        <v>298576.90700000001</v>
      </c>
      <c r="L103" s="24">
        <f t="shared" si="70"/>
        <v>390149.9791</v>
      </c>
      <c r="M103" s="24">
        <f t="shared" si="70"/>
        <v>506194.97282999998</v>
      </c>
      <c r="N103" s="24">
        <f t="shared" si="70"/>
        <v>654053.46467899997</v>
      </c>
    </row>
    <row r="104" spans="2:14" ht="15" customHeight="1" x14ac:dyDescent="0.45">
      <c r="B104" s="167"/>
      <c r="C104" s="165" t="s">
        <v>35</v>
      </c>
      <c r="D104" s="15" t="s">
        <v>43</v>
      </c>
      <c r="E104" s="16">
        <f>E96*E$15/$E$4</f>
        <v>2.3E-2</v>
      </c>
      <c r="F104" s="16">
        <f>F96*F$15/$E$4-E104</f>
        <v>3.3800000000000004E-2</v>
      </c>
      <c r="G104" s="16">
        <f>G96*G$15/$E$4-F104-E104</f>
        <v>4.9009999999999991E-2</v>
      </c>
      <c r="H104" s="16">
        <f>H96*H$15/$E$4-G104-F104-E104</f>
        <v>7.0304000000000033E-2</v>
      </c>
      <c r="I104" s="16">
        <f>I96*I$15/$E$4-H104-G104-F104-E104</f>
        <v>9.9963499999999955E-2</v>
      </c>
      <c r="J104" s="16">
        <f>J96*J$15/$E$4-I104-H104-G104-F104-E104</f>
        <v>0.14109134000000009</v>
      </c>
      <c r="K104" s="16">
        <f>K96*K$15/$E$4-J104-I104-H104-G104-F104-E104</f>
        <v>0.1978991689999999</v>
      </c>
      <c r="L104" s="16">
        <f>L96*L$15/$E$4-K104-J104-I104-H104-G104-F104-E104</f>
        <v>0.27609347479999996</v>
      </c>
      <c r="M104" s="16">
        <f>M96*M$15/$E$4-L104-K104-J104-I104-H104-G104-F104-E104</f>
        <v>0.38339343887000016</v>
      </c>
      <c r="N104" s="16">
        <f>N96*N$15/$E$4-M104-L104-K104-J104-I104-H104-G104-F104-E104</f>
        <v>0.53022496864999991</v>
      </c>
    </row>
    <row r="105" spans="2:14" ht="15" customHeight="1" x14ac:dyDescent="0.45">
      <c r="B105" s="167"/>
      <c r="C105" s="166"/>
      <c r="D105" s="15" t="s">
        <v>44</v>
      </c>
      <c r="E105" s="17"/>
      <c r="F105" s="17"/>
      <c r="G105" s="17"/>
      <c r="H105" s="17"/>
      <c r="I105" s="17">
        <f>AVERAGE(E104:I104)</f>
        <v>5.5215499999999994E-2</v>
      </c>
      <c r="J105" s="17"/>
      <c r="K105" s="17"/>
      <c r="L105" s="17"/>
      <c r="M105" s="17"/>
      <c r="N105" s="17">
        <f>AVERAGE(E104:N104)</f>
        <v>0.180477989132</v>
      </c>
    </row>
    <row r="106" spans="2:14" ht="15" customHeight="1" x14ac:dyDescent="0.45">
      <c r="B106" s="167"/>
      <c r="C106" s="167"/>
      <c r="D106" s="19" t="s">
        <v>45</v>
      </c>
      <c r="E106" s="23">
        <f>E108</f>
        <v>22999.999999999996</v>
      </c>
      <c r="F106" s="23">
        <f>F108-E108</f>
        <v>33800</v>
      </c>
      <c r="G106" s="23">
        <f>G108-F108</f>
        <v>49010</v>
      </c>
      <c r="H106" s="23">
        <f>H108-G108</f>
        <v>70304</v>
      </c>
      <c r="I106" s="23">
        <f>I108-H108</f>
        <v>99963.5</v>
      </c>
      <c r="J106" s="23">
        <f>J108-I108</f>
        <v>141091.34000000003</v>
      </c>
      <c r="K106" s="23">
        <f t="shared" ref="K106:N106" si="71">K108-J108</f>
        <v>197899.16899999994</v>
      </c>
      <c r="L106" s="23">
        <f t="shared" si="71"/>
        <v>276093.47480000008</v>
      </c>
      <c r="M106" s="23">
        <f t="shared" si="71"/>
        <v>383393.43887000019</v>
      </c>
      <c r="N106" s="23">
        <f t="shared" si="71"/>
        <v>530224.96864999994</v>
      </c>
    </row>
    <row r="107" spans="2:14" ht="15" customHeight="1" x14ac:dyDescent="0.45">
      <c r="B107" s="167"/>
      <c r="C107" s="167"/>
      <c r="D107" s="19" t="s">
        <v>47</v>
      </c>
      <c r="E107" s="23"/>
      <c r="F107" s="23"/>
      <c r="G107" s="23"/>
      <c r="H107" s="23"/>
      <c r="I107" s="23">
        <f>AVERAGE(E106:I106)</f>
        <v>55215.5</v>
      </c>
      <c r="J107" s="23"/>
      <c r="K107" s="23"/>
      <c r="L107" s="23"/>
      <c r="M107" s="23"/>
      <c r="N107" s="23">
        <f>AVERAGE(E106:N106)</f>
        <v>180477.98913200002</v>
      </c>
    </row>
    <row r="108" spans="2:14" ht="15" customHeight="1" x14ac:dyDescent="0.45">
      <c r="B108" s="167"/>
      <c r="C108" s="167"/>
      <c r="D108" s="19" t="s">
        <v>46</v>
      </c>
      <c r="E108" s="24">
        <f t="shared" ref="E108:N108" si="72">E98*E$15</f>
        <v>22999.999999999996</v>
      </c>
      <c r="F108" s="24">
        <f t="shared" si="72"/>
        <v>56800</v>
      </c>
      <c r="G108" s="24">
        <f>G98*G$15</f>
        <v>105810</v>
      </c>
      <c r="H108" s="24">
        <f>H98*H$15</f>
        <v>176114</v>
      </c>
      <c r="I108" s="24">
        <f>I98*I$15</f>
        <v>276077.5</v>
      </c>
      <c r="J108" s="24">
        <f t="shared" si="72"/>
        <v>417168.84</v>
      </c>
      <c r="K108" s="24">
        <f t="shared" si="72"/>
        <v>615068.00899999996</v>
      </c>
      <c r="L108" s="24">
        <f t="shared" si="72"/>
        <v>891161.48380000005</v>
      </c>
      <c r="M108" s="24">
        <f t="shared" si="72"/>
        <v>1274554.9226700002</v>
      </c>
      <c r="N108" s="24">
        <f t="shared" si="72"/>
        <v>1804779.8913200002</v>
      </c>
    </row>
    <row r="109" spans="2:14" ht="15" customHeight="1" x14ac:dyDescent="0.45">
      <c r="B109" s="167" t="s">
        <v>18</v>
      </c>
      <c r="C109" s="166" t="s">
        <v>32</v>
      </c>
      <c r="D109" s="15" t="s">
        <v>43</v>
      </c>
      <c r="E109" s="16">
        <f>E66+E79+E94-E34-E50</f>
        <v>0.13</v>
      </c>
      <c r="F109" s="16">
        <f t="shared" ref="F109:N109" si="73">F66+F79+F94-F34-F50</f>
        <v>0.10692307692307688</v>
      </c>
      <c r="G109" s="16">
        <f t="shared" si="73"/>
        <v>8.9171597633136063E-2</v>
      </c>
      <c r="H109" s="16">
        <f t="shared" si="73"/>
        <v>7.5516613563950841E-2</v>
      </c>
      <c r="I109" s="16">
        <f t="shared" si="73"/>
        <v>6.501277966457758E-2</v>
      </c>
      <c r="J109" s="16">
        <f t="shared" si="73"/>
        <v>5.6932907434290553E-2</v>
      </c>
      <c r="K109" s="16">
        <f t="shared" si="73"/>
        <v>5.0717621103300289E-2</v>
      </c>
      <c r="L109" s="16">
        <f t="shared" si="73"/>
        <v>4.5936631617923357E-2</v>
      </c>
      <c r="M109" s="16">
        <f t="shared" si="73"/>
        <v>4.2258947398402517E-2</v>
      </c>
      <c r="N109" s="16">
        <f t="shared" si="73"/>
        <v>3.9429959537232731E-2</v>
      </c>
    </row>
    <row r="110" spans="2:14" ht="15" customHeight="1" x14ac:dyDescent="0.45">
      <c r="B110" s="167"/>
      <c r="C110" s="166"/>
      <c r="D110" s="15" t="s">
        <v>44</v>
      </c>
      <c r="E110" s="16"/>
      <c r="F110" s="16"/>
      <c r="G110" s="16"/>
      <c r="H110" s="16"/>
      <c r="I110" s="38">
        <f>AVERAGE(E109:I109)</f>
        <v>9.3324813556948286E-2</v>
      </c>
      <c r="J110" s="16"/>
      <c r="K110" s="16"/>
      <c r="L110" s="16"/>
      <c r="M110" s="16"/>
      <c r="N110" s="17">
        <f>AVERAGE(E109:N109)</f>
        <v>7.019001348758909E-2</v>
      </c>
    </row>
    <row r="111" spans="2:14" ht="15" customHeight="1" x14ac:dyDescent="0.45">
      <c r="B111" s="167"/>
      <c r="C111" s="166"/>
      <c r="D111" s="15" t="s">
        <v>42</v>
      </c>
      <c r="E111" s="16">
        <f>E68+E81+E96-E36-E52</f>
        <v>0.13</v>
      </c>
      <c r="F111" s="16">
        <f t="shared" ref="F111:N111" si="74">F68+F81+F96-F36-F52</f>
        <v>0.23692307692307679</v>
      </c>
      <c r="G111" s="16">
        <f t="shared" si="74"/>
        <v>0.32609467455621294</v>
      </c>
      <c r="H111" s="16">
        <f t="shared" si="74"/>
        <v>0.40161128812016383</v>
      </c>
      <c r="I111" s="16">
        <f t="shared" si="74"/>
        <v>0.46662406778474141</v>
      </c>
      <c r="J111" s="16">
        <f t="shared" si="74"/>
        <v>0.52355697521903255</v>
      </c>
      <c r="K111" s="16">
        <f t="shared" si="74"/>
        <v>0.57427459632233158</v>
      </c>
      <c r="L111" s="16">
        <f t="shared" si="74"/>
        <v>0.62021122794025563</v>
      </c>
      <c r="M111" s="16">
        <f t="shared" si="74"/>
        <v>0.66247017533865715</v>
      </c>
      <c r="N111" s="16">
        <f t="shared" si="74"/>
        <v>0.70190013487589054</v>
      </c>
    </row>
    <row r="112" spans="2:14" ht="15" customHeight="1" x14ac:dyDescent="0.45">
      <c r="B112" s="167"/>
      <c r="C112" s="167"/>
      <c r="D112" s="19" t="s">
        <v>45</v>
      </c>
      <c r="E112" s="20">
        <f>10*E109</f>
        <v>1.3</v>
      </c>
      <c r="F112" s="20">
        <f t="shared" ref="F112:N112" si="75">10*F109</f>
        <v>1.0692307692307688</v>
      </c>
      <c r="G112" s="20">
        <f t="shared" si="75"/>
        <v>0.89171597633136068</v>
      </c>
      <c r="H112" s="20">
        <f t="shared" si="75"/>
        <v>0.75516613563950841</v>
      </c>
      <c r="I112" s="20">
        <f t="shared" si="75"/>
        <v>0.6501277966457758</v>
      </c>
      <c r="J112" s="20">
        <f t="shared" si="75"/>
        <v>0.56932907434290558</v>
      </c>
      <c r="K112" s="20">
        <f t="shared" si="75"/>
        <v>0.50717621103300292</v>
      </c>
      <c r="L112" s="20">
        <f t="shared" si="75"/>
        <v>0.45936631617923357</v>
      </c>
      <c r="M112" s="20">
        <f t="shared" si="75"/>
        <v>0.42258947398402519</v>
      </c>
      <c r="N112" s="20">
        <f t="shared" si="75"/>
        <v>0.39429959537232728</v>
      </c>
    </row>
    <row r="113" spans="1:15" ht="15" customHeight="1" x14ac:dyDescent="0.45">
      <c r="B113" s="167"/>
      <c r="C113" s="167"/>
      <c r="D113" s="19" t="s">
        <v>46</v>
      </c>
      <c r="E113" s="20">
        <f>10*E111</f>
        <v>1.3</v>
      </c>
      <c r="F113" s="20">
        <f>10*F111</f>
        <v>2.3692307692307679</v>
      </c>
      <c r="G113" s="20">
        <f>10*G111</f>
        <v>3.2609467455621295</v>
      </c>
      <c r="H113" s="20">
        <f t="shared" ref="H113:N113" si="76">10*H111</f>
        <v>4.0161128812016385</v>
      </c>
      <c r="I113" s="20">
        <f t="shared" si="76"/>
        <v>4.6662406778474139</v>
      </c>
      <c r="J113" s="20">
        <f t="shared" si="76"/>
        <v>5.2355697521903259</v>
      </c>
      <c r="K113" s="20">
        <f t="shared" si="76"/>
        <v>5.7427459632233155</v>
      </c>
      <c r="L113" s="20">
        <f t="shared" si="76"/>
        <v>6.2021122794025558</v>
      </c>
      <c r="M113" s="20">
        <f t="shared" si="76"/>
        <v>6.6247017533865717</v>
      </c>
      <c r="N113" s="20">
        <f t="shared" si="76"/>
        <v>7.0190013487589056</v>
      </c>
    </row>
    <row r="114" spans="1:15" ht="15" customHeight="1" x14ac:dyDescent="0.45">
      <c r="B114" s="167"/>
      <c r="C114" s="165" t="s">
        <v>36</v>
      </c>
      <c r="D114" s="15" t="s">
        <v>43</v>
      </c>
      <c r="E114" s="16">
        <f>E71+E84+E99-E39-E55</f>
        <v>0.16899999999999998</v>
      </c>
      <c r="F114" s="16">
        <f t="shared" ref="F114:N114" si="77">F71+F84+F99-F39-F55</f>
        <v>0.18069999999999992</v>
      </c>
      <c r="G114" s="16">
        <f t="shared" si="77"/>
        <v>0.19590999999999992</v>
      </c>
      <c r="H114" s="16">
        <f t="shared" si="77"/>
        <v>0.21568300000000001</v>
      </c>
      <c r="I114" s="16">
        <f t="shared" si="77"/>
        <v>0.24138790000000004</v>
      </c>
      <c r="J114" s="16">
        <f t="shared" si="77"/>
        <v>0.27480427000000046</v>
      </c>
      <c r="K114" s="16">
        <f t="shared" si="77"/>
        <v>0.31824555099999968</v>
      </c>
      <c r="L114" s="16">
        <f t="shared" si="77"/>
        <v>0.37471921630000021</v>
      </c>
      <c r="M114" s="16">
        <f t="shared" si="77"/>
        <v>0.44813498118999956</v>
      </c>
      <c r="N114" s="16">
        <f t="shared" si="77"/>
        <v>0.54357547554699981</v>
      </c>
    </row>
    <row r="115" spans="1:15" ht="15" customHeight="1" x14ac:dyDescent="0.45">
      <c r="B115" s="167"/>
      <c r="C115" s="166"/>
      <c r="D115" s="15" t="s">
        <v>44</v>
      </c>
      <c r="E115" s="16"/>
      <c r="F115" s="16"/>
      <c r="G115" s="16"/>
      <c r="H115" s="16"/>
      <c r="I115" s="17">
        <f>AVERAGE(E114:I114)</f>
        <v>0.20053617999999998</v>
      </c>
      <c r="J115" s="17"/>
      <c r="K115" s="17"/>
      <c r="L115" s="17"/>
      <c r="M115" s="17"/>
      <c r="N115" s="17">
        <f>AVERAGE(E114:N114)</f>
        <v>0.29621603940369995</v>
      </c>
    </row>
    <row r="116" spans="1:15" ht="15" customHeight="1" x14ac:dyDescent="0.45">
      <c r="B116" s="167"/>
      <c r="C116" s="167"/>
      <c r="D116" s="19" t="s">
        <v>45</v>
      </c>
      <c r="E116" s="22">
        <f t="shared" ref="E116:N116" si="78">E112*E$15</f>
        <v>169000</v>
      </c>
      <c r="F116" s="22">
        <f t="shared" si="78"/>
        <v>180699.99999999991</v>
      </c>
      <c r="G116" s="22">
        <f>G112*G$15</f>
        <v>195909.99999999994</v>
      </c>
      <c r="H116" s="22">
        <f>H112*H$15</f>
        <v>215683</v>
      </c>
      <c r="I116" s="22">
        <f>I112*I$15</f>
        <v>241387.90000000002</v>
      </c>
      <c r="J116" s="22">
        <f t="shared" si="78"/>
        <v>274804.2700000006</v>
      </c>
      <c r="K116" s="22">
        <f t="shared" si="78"/>
        <v>318245.55099999974</v>
      </c>
      <c r="L116" s="22">
        <f t="shared" si="78"/>
        <v>374719.21630000015</v>
      </c>
      <c r="M116" s="22">
        <f t="shared" si="78"/>
        <v>448134.98118999955</v>
      </c>
      <c r="N116" s="22">
        <f t="shared" si="78"/>
        <v>543575.47554699983</v>
      </c>
    </row>
    <row r="117" spans="1:15" ht="15" customHeight="1" x14ac:dyDescent="0.45">
      <c r="B117" s="167"/>
      <c r="C117" s="167"/>
      <c r="D117" s="19" t="s">
        <v>47</v>
      </c>
      <c r="E117" s="21"/>
      <c r="F117" s="21"/>
      <c r="G117" s="21"/>
      <c r="H117" s="21"/>
      <c r="I117" s="22">
        <f>AVERAGE(E116:I116)</f>
        <v>200536.17999999996</v>
      </c>
      <c r="J117" s="22"/>
      <c r="K117" s="22"/>
      <c r="L117" s="22"/>
      <c r="M117" s="22"/>
      <c r="N117" s="22">
        <f>AVERAGE(E116:N116)</f>
        <v>296216.03940369998</v>
      </c>
    </row>
    <row r="118" spans="1:15" ht="15" customHeight="1" x14ac:dyDescent="0.45">
      <c r="B118" s="167"/>
      <c r="C118" s="167"/>
      <c r="D118" s="19" t="s">
        <v>46</v>
      </c>
      <c r="E118" s="21">
        <f>E116</f>
        <v>169000</v>
      </c>
      <c r="F118" s="21">
        <f t="shared" ref="F118:N118" si="79">E118+F116</f>
        <v>349699.99999999988</v>
      </c>
      <c r="G118" s="21">
        <f>F118+G116</f>
        <v>545609.99999999977</v>
      </c>
      <c r="H118" s="21">
        <f t="shared" si="79"/>
        <v>761292.99999999977</v>
      </c>
      <c r="I118" s="21">
        <f t="shared" si="79"/>
        <v>1002680.8999999998</v>
      </c>
      <c r="J118" s="21">
        <f>I118+J116</f>
        <v>1277485.1700000004</v>
      </c>
      <c r="K118" s="21">
        <f t="shared" si="79"/>
        <v>1595730.7210000001</v>
      </c>
      <c r="L118" s="21">
        <f t="shared" si="79"/>
        <v>1970449.9373000003</v>
      </c>
      <c r="M118" s="21">
        <f t="shared" si="79"/>
        <v>2418584.9184900001</v>
      </c>
      <c r="N118" s="21">
        <f t="shared" si="79"/>
        <v>2962160.3940369999</v>
      </c>
    </row>
    <row r="119" spans="1:15" ht="15" customHeight="1" x14ac:dyDescent="0.45">
      <c r="B119" s="167"/>
      <c r="C119" s="165" t="s">
        <v>35</v>
      </c>
      <c r="D119" s="15" t="s">
        <v>43</v>
      </c>
      <c r="E119" s="16">
        <f>E74+E89+E104-E42-E58</f>
        <v>0.16899999999999998</v>
      </c>
      <c r="F119" s="16">
        <f t="shared" ref="F119:N119" si="80">F74+F89+F104-F42-F58</f>
        <v>0.23139999999999988</v>
      </c>
      <c r="G119" s="16">
        <f t="shared" si="80"/>
        <v>0.31602999999999992</v>
      </c>
      <c r="H119" s="16">
        <f t="shared" si="80"/>
        <v>0.43061200000000038</v>
      </c>
      <c r="I119" s="16">
        <f t="shared" si="80"/>
        <v>0.58550049999999976</v>
      </c>
      <c r="J119" s="16">
        <f t="shared" si="80"/>
        <v>0.79456702000000379</v>
      </c>
      <c r="K119" s="16">
        <f t="shared" si="80"/>
        <v>1.0763784069999933</v>
      </c>
      <c r="L119" s="16">
        <f t="shared" si="80"/>
        <v>1.4557655944000039</v>
      </c>
      <c r="M119" s="16">
        <f t="shared" si="80"/>
        <v>1.9659110376099909</v>
      </c>
      <c r="N119" s="16">
        <f t="shared" si="80"/>
        <v>2.6511248432500052</v>
      </c>
    </row>
    <row r="120" spans="1:15" ht="15" customHeight="1" x14ac:dyDescent="0.45">
      <c r="B120" s="167"/>
      <c r="C120" s="166"/>
      <c r="D120" s="15" t="s">
        <v>44</v>
      </c>
      <c r="E120" s="17"/>
      <c r="F120" s="17"/>
      <c r="G120" s="17"/>
      <c r="H120" s="17"/>
      <c r="I120" s="17">
        <f>AVERAGE(E119:I119)</f>
        <v>0.3465085</v>
      </c>
      <c r="J120" s="17"/>
      <c r="K120" s="17"/>
      <c r="L120" s="17"/>
      <c r="M120" s="17"/>
      <c r="N120" s="17">
        <f>AVERAGE(E119:N119)</f>
        <v>0.96762894022599966</v>
      </c>
    </row>
    <row r="121" spans="1:15" ht="15" customHeight="1" x14ac:dyDescent="0.45">
      <c r="B121" s="167"/>
      <c r="C121" s="167"/>
      <c r="D121" s="19" t="s">
        <v>45</v>
      </c>
      <c r="E121" s="22">
        <f>E123</f>
        <v>169000</v>
      </c>
      <c r="F121" s="22">
        <f>F123-E123</f>
        <v>231399.99999999977</v>
      </c>
      <c r="G121" s="22">
        <f>G123-F123</f>
        <v>316030.00000000012</v>
      </c>
      <c r="H121" s="22">
        <f t="shared" ref="H121:N121" si="81">H123-G123</f>
        <v>430612.00000000012</v>
      </c>
      <c r="I121" s="22">
        <f t="shared" si="81"/>
        <v>585500.49999999977</v>
      </c>
      <c r="J121" s="22">
        <f>J123-I123</f>
        <v>794567.02000000398</v>
      </c>
      <c r="K121" s="22">
        <f t="shared" si="81"/>
        <v>1076378.4069999922</v>
      </c>
      <c r="L121" s="22">
        <f t="shared" si="81"/>
        <v>1455765.5944000049</v>
      </c>
      <c r="M121" s="22">
        <f t="shared" si="81"/>
        <v>1965911.0376099898</v>
      </c>
      <c r="N121" s="22">
        <f t="shared" si="81"/>
        <v>2651124.8432500055</v>
      </c>
    </row>
    <row r="122" spans="1:15" ht="15" customHeight="1" x14ac:dyDescent="0.45">
      <c r="A122" s="8"/>
      <c r="B122" s="167"/>
      <c r="C122" s="167"/>
      <c r="D122" s="19" t="s">
        <v>47</v>
      </c>
      <c r="E122" s="22"/>
      <c r="F122" s="22"/>
      <c r="G122" s="22"/>
      <c r="H122" s="22"/>
      <c r="I122" s="22">
        <f>AVERAGE(E121:I121)</f>
        <v>346508.49999999994</v>
      </c>
      <c r="J122" s="22"/>
      <c r="K122" s="22"/>
      <c r="L122" s="22"/>
      <c r="M122" s="22"/>
      <c r="N122" s="22">
        <f>AVERAGE(E121:N121)</f>
        <v>967628.94022599957</v>
      </c>
      <c r="O122" s="8"/>
    </row>
    <row r="123" spans="1:15" ht="15" customHeight="1" x14ac:dyDescent="0.45">
      <c r="B123" s="167"/>
      <c r="C123" s="167"/>
      <c r="D123" s="19" t="s">
        <v>46</v>
      </c>
      <c r="E123" s="21">
        <f t="shared" ref="E123:N123" si="82">E113*E$15</f>
        <v>169000</v>
      </c>
      <c r="F123" s="21">
        <f t="shared" si="82"/>
        <v>400399.99999999977</v>
      </c>
      <c r="G123" s="21">
        <f>G113*G$15</f>
        <v>716429.99999999988</v>
      </c>
      <c r="H123" s="21">
        <f>H113*H$15</f>
        <v>1147042</v>
      </c>
      <c r="I123" s="21">
        <f>I113*I$15</f>
        <v>1732542.4999999998</v>
      </c>
      <c r="J123" s="21">
        <f t="shared" si="82"/>
        <v>2527109.5200000037</v>
      </c>
      <c r="K123" s="21">
        <f t="shared" si="82"/>
        <v>3603487.926999996</v>
      </c>
      <c r="L123" s="21">
        <f t="shared" si="82"/>
        <v>5059253.5214000009</v>
      </c>
      <c r="M123" s="21">
        <f t="shared" si="82"/>
        <v>7025164.5590099907</v>
      </c>
      <c r="N123" s="21">
        <f t="shared" si="82"/>
        <v>9676289.4022599962</v>
      </c>
    </row>
    <row r="124" spans="1:15" ht="15" customHeight="1" x14ac:dyDescent="0.45">
      <c r="B124" s="1"/>
      <c r="C124" s="1"/>
      <c r="D124" s="40"/>
      <c r="E124" s="10"/>
      <c r="F124" s="10"/>
      <c r="G124" s="10"/>
      <c r="H124" s="10"/>
      <c r="I124" s="10"/>
      <c r="J124" s="10"/>
      <c r="K124" s="10"/>
      <c r="L124" s="10"/>
      <c r="M124" s="10"/>
      <c r="N124" s="10"/>
    </row>
    <row r="125" spans="1:15"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5" ht="15" customHeight="1" x14ac:dyDescent="0.45">
      <c r="B126" s="151"/>
      <c r="C126" s="153"/>
      <c r="D126" s="153"/>
      <c r="E126" s="149"/>
      <c r="F126" s="149"/>
      <c r="G126" s="149"/>
      <c r="H126" s="149"/>
      <c r="I126" s="149"/>
      <c r="J126" s="149"/>
      <c r="K126" s="149"/>
      <c r="L126" s="149"/>
      <c r="M126" s="149"/>
      <c r="N126" s="149"/>
    </row>
    <row r="127" spans="1:15" s="4" customFormat="1" ht="15" customHeight="1" x14ac:dyDescent="0.45">
      <c r="B127" s="158" t="s">
        <v>141</v>
      </c>
      <c r="C127" s="156">
        <v>20000</v>
      </c>
      <c r="D127" s="44" t="s">
        <v>19</v>
      </c>
      <c r="E127" s="27">
        <f t="shared" ref="E127:N127" si="83">E$53/10*$C127/(2+$E$11)</f>
        <v>384.61538461538464</v>
      </c>
      <c r="F127" s="27">
        <f t="shared" si="83"/>
        <v>295.85798816568041</v>
      </c>
      <c r="G127" s="27">
        <f t="shared" si="83"/>
        <v>227.58306781975421</v>
      </c>
      <c r="H127" s="27">
        <f t="shared" si="83"/>
        <v>175.06389832288784</v>
      </c>
      <c r="I127" s="27">
        <f t="shared" si="83"/>
        <v>134.66453717145217</v>
      </c>
      <c r="J127" s="27">
        <f t="shared" si="83"/>
        <v>103.58810551650168</v>
      </c>
      <c r="K127" s="27">
        <f t="shared" si="83"/>
        <v>79.683158089616683</v>
      </c>
      <c r="L127" s="27">
        <f t="shared" si="83"/>
        <v>61.294736992012837</v>
      </c>
      <c r="M127" s="27">
        <f t="shared" si="83"/>
        <v>47.149797686163716</v>
      </c>
      <c r="N127" s="27">
        <f t="shared" si="83"/>
        <v>36.269075143202855</v>
      </c>
    </row>
    <row r="128" spans="1:15" s="4" customFormat="1" ht="15" customHeight="1" x14ac:dyDescent="0.45">
      <c r="B128" s="159"/>
      <c r="C128" s="156"/>
      <c r="D128" s="19" t="s">
        <v>22</v>
      </c>
      <c r="E128" s="27"/>
      <c r="F128" s="27"/>
      <c r="G128" s="27"/>
      <c r="H128" s="27"/>
      <c r="I128" s="28">
        <f>AVERAGE(E127:I127)</f>
        <v>243.55697521903184</v>
      </c>
      <c r="J128" s="27"/>
      <c r="K128" s="27"/>
      <c r="L128" s="27"/>
      <c r="M128" s="27"/>
      <c r="N128" s="27">
        <f>AVERAGE(E127:N127)</f>
        <v>154.57697495226569</v>
      </c>
    </row>
    <row r="129" spans="2:14" s="4" customFormat="1" ht="15" customHeight="1" x14ac:dyDescent="0.45">
      <c r="B129" s="159"/>
      <c r="C129" s="156"/>
      <c r="D129" s="19" t="s">
        <v>41</v>
      </c>
      <c r="E129" s="27">
        <f t="shared" ref="E129:N129" si="84">E$54/10*$C127/(2+$E$11)</f>
        <v>384.61538461538464</v>
      </c>
      <c r="F129" s="27">
        <f t="shared" si="84"/>
        <v>680.47337278106511</v>
      </c>
      <c r="G129" s="27">
        <f t="shared" si="84"/>
        <v>908.05644060081943</v>
      </c>
      <c r="H129" s="27">
        <f t="shared" si="84"/>
        <v>1083.1203389237069</v>
      </c>
      <c r="I129" s="28">
        <f t="shared" si="84"/>
        <v>1217.7848760951592</v>
      </c>
      <c r="J129" s="27">
        <f t="shared" si="84"/>
        <v>1321.372981611659</v>
      </c>
      <c r="K129" s="27">
        <f t="shared" si="84"/>
        <v>1401.0561397012791</v>
      </c>
      <c r="L129" s="27">
        <f t="shared" si="84"/>
        <v>1462.35087669329</v>
      </c>
      <c r="M129" s="27">
        <f t="shared" si="84"/>
        <v>1509.5006743794568</v>
      </c>
      <c r="N129" s="27">
        <f t="shared" si="84"/>
        <v>1545.7697495226578</v>
      </c>
    </row>
    <row r="130" spans="2:14" s="4" customFormat="1" ht="15" customHeight="1" x14ac:dyDescent="0.45">
      <c r="B130" s="159"/>
      <c r="C130" s="156">
        <v>400000</v>
      </c>
      <c r="D130" s="44" t="s">
        <v>19</v>
      </c>
      <c r="E130" s="27">
        <f t="shared" ref="E130:N130" si="85">E$53/10*$C130/(2+$E$11)</f>
        <v>7692.3076923076924</v>
      </c>
      <c r="F130" s="27">
        <f t="shared" si="85"/>
        <v>5917.1597633136089</v>
      </c>
      <c r="G130" s="27">
        <f t="shared" si="85"/>
        <v>4551.6613563950841</v>
      </c>
      <c r="H130" s="27">
        <f t="shared" si="85"/>
        <v>3501.2779664577565</v>
      </c>
      <c r="I130" s="27">
        <f t="shared" si="85"/>
        <v>2693.2907434290437</v>
      </c>
      <c r="J130" s="27">
        <f t="shared" si="85"/>
        <v>2071.7621103300335</v>
      </c>
      <c r="K130" s="27">
        <f t="shared" si="85"/>
        <v>1593.6631617923338</v>
      </c>
      <c r="L130" s="27">
        <f t="shared" si="85"/>
        <v>1225.8947398402568</v>
      </c>
      <c r="M130" s="27">
        <f t="shared" si="85"/>
        <v>942.99595372327428</v>
      </c>
      <c r="N130" s="27">
        <f t="shared" si="85"/>
        <v>725.3815028640571</v>
      </c>
    </row>
    <row r="131" spans="2:14" s="4" customFormat="1" ht="15" customHeight="1" x14ac:dyDescent="0.45">
      <c r="B131" s="159"/>
      <c r="C131" s="156"/>
      <c r="D131" s="19" t="s">
        <v>22</v>
      </c>
      <c r="E131" s="27"/>
      <c r="F131" s="27"/>
      <c r="G131" s="27"/>
      <c r="H131" s="27"/>
      <c r="I131" s="28">
        <f>AVERAGE(E130:I130)</f>
        <v>4871.1395043806369</v>
      </c>
      <c r="J131" s="27"/>
      <c r="K131" s="27"/>
      <c r="L131" s="27"/>
      <c r="M131" s="27"/>
      <c r="N131" s="27">
        <f>AVERAGE(E130:N130)</f>
        <v>3091.5394990453142</v>
      </c>
    </row>
    <row r="132" spans="2:14" s="4" customFormat="1" ht="15" customHeight="1" x14ac:dyDescent="0.45">
      <c r="B132" s="159"/>
      <c r="C132" s="156"/>
      <c r="D132" s="19" t="s">
        <v>41</v>
      </c>
      <c r="E132" s="27">
        <f t="shared" ref="E132:N132" si="86">E$54/10*$C130/(2+$E$11)</f>
        <v>7692.3076923076924</v>
      </c>
      <c r="F132" s="27">
        <f t="shared" si="86"/>
        <v>13609.467455621301</v>
      </c>
      <c r="G132" s="27">
        <f t="shared" si="86"/>
        <v>18161.128812016388</v>
      </c>
      <c r="H132" s="27">
        <f t="shared" si="86"/>
        <v>21662.406778474138</v>
      </c>
      <c r="I132" s="28">
        <f t="shared" si="86"/>
        <v>24355.697521903185</v>
      </c>
      <c r="J132" s="27">
        <f t="shared" si="86"/>
        <v>26427.459632233182</v>
      </c>
      <c r="K132" s="27">
        <f t="shared" si="86"/>
        <v>28021.122794025581</v>
      </c>
      <c r="L132" s="27">
        <f t="shared" si="86"/>
        <v>29247.017533865797</v>
      </c>
      <c r="M132" s="27">
        <f t="shared" si="86"/>
        <v>30190.013487589134</v>
      </c>
      <c r="N132" s="27">
        <f t="shared" si="86"/>
        <v>30915.394990453155</v>
      </c>
    </row>
    <row r="133" spans="2:14" s="4" customFormat="1" ht="15" customHeight="1" x14ac:dyDescent="0.45">
      <c r="B133" s="159"/>
      <c r="C133" s="157">
        <v>1000000</v>
      </c>
      <c r="D133" s="15" t="s">
        <v>19</v>
      </c>
      <c r="E133" s="29">
        <f t="shared" ref="E133:N133" si="87">E$53/10*$C133/(2+$E$11)</f>
        <v>19230.76923076923</v>
      </c>
      <c r="F133" s="29">
        <f t="shared" si="87"/>
        <v>14792.899408284022</v>
      </c>
      <c r="G133" s="29">
        <f t="shared" si="87"/>
        <v>11379.153390987711</v>
      </c>
      <c r="H133" s="29">
        <f t="shared" si="87"/>
        <v>8753.1949161443918</v>
      </c>
      <c r="I133" s="29">
        <f t="shared" si="87"/>
        <v>6733.2268585726088</v>
      </c>
      <c r="J133" s="29">
        <f t="shared" si="87"/>
        <v>5179.4052758250837</v>
      </c>
      <c r="K133" s="29">
        <f t="shared" si="87"/>
        <v>3984.1579044808341</v>
      </c>
      <c r="L133" s="29">
        <f t="shared" si="87"/>
        <v>3064.7368496006416</v>
      </c>
      <c r="M133" s="29">
        <f t="shared" si="87"/>
        <v>2357.4898843081855</v>
      </c>
      <c r="N133" s="29">
        <f t="shared" si="87"/>
        <v>1813.4537571601427</v>
      </c>
    </row>
    <row r="134" spans="2:14" s="4" customFormat="1" ht="15" customHeight="1" x14ac:dyDescent="0.45">
      <c r="B134" s="159"/>
      <c r="C134" s="157"/>
      <c r="D134" s="15" t="s">
        <v>22</v>
      </c>
      <c r="E134" s="29"/>
      <c r="F134" s="29"/>
      <c r="G134" s="29"/>
      <c r="H134" s="29"/>
      <c r="I134" s="30">
        <f>AVERAGE(E133:I133)</f>
        <v>12177.848760951592</v>
      </c>
      <c r="J134" s="29"/>
      <c r="K134" s="29"/>
      <c r="L134" s="29"/>
      <c r="M134" s="29"/>
      <c r="N134" s="29">
        <f>AVERAGE(E133:N133)</f>
        <v>7728.8487476132841</v>
      </c>
    </row>
    <row r="135" spans="2:14" s="4" customFormat="1" ht="15" customHeight="1" x14ac:dyDescent="0.45">
      <c r="B135" s="160"/>
      <c r="C135" s="157"/>
      <c r="D135" s="15" t="s">
        <v>41</v>
      </c>
      <c r="E135" s="29">
        <f t="shared" ref="E135:N135" si="88">E$54/10*$C133/(2+$E$11)</f>
        <v>19230.76923076923</v>
      </c>
      <c r="F135" s="29">
        <f t="shared" si="88"/>
        <v>34023.668639053256</v>
      </c>
      <c r="G135" s="29">
        <f t="shared" si="88"/>
        <v>45402.822030040974</v>
      </c>
      <c r="H135" s="29">
        <f t="shared" si="88"/>
        <v>54156.016946185344</v>
      </c>
      <c r="I135" s="30">
        <f t="shared" si="88"/>
        <v>60889.243804757964</v>
      </c>
      <c r="J135" s="29">
        <f t="shared" si="88"/>
        <v>66068.649080582953</v>
      </c>
      <c r="K135" s="29">
        <f t="shared" si="88"/>
        <v>70052.806985063959</v>
      </c>
      <c r="L135" s="29">
        <f t="shared" si="88"/>
        <v>73117.543834664495</v>
      </c>
      <c r="M135" s="29">
        <f t="shared" si="88"/>
        <v>75475.033718972831</v>
      </c>
      <c r="N135" s="29">
        <f t="shared" si="88"/>
        <v>77288.487476132883</v>
      </c>
    </row>
    <row r="136" spans="2:14" s="4" customFormat="1" ht="15" customHeight="1" x14ac:dyDescent="0.45">
      <c r="B136" s="3"/>
      <c r="C136" s="1"/>
      <c r="D136" s="40"/>
      <c r="E136" s="10"/>
      <c r="F136" s="10"/>
      <c r="G136" s="10"/>
      <c r="H136" s="10"/>
      <c r="I136" s="10"/>
      <c r="J136" s="10"/>
      <c r="K136" s="10"/>
      <c r="L136" s="10"/>
      <c r="M136" s="10"/>
      <c r="N136" s="10"/>
    </row>
    <row r="137" spans="2:14" s="4" customFormat="1" ht="15" customHeight="1" x14ac:dyDescent="0.45">
      <c r="B137" s="2"/>
      <c r="C137" s="2"/>
      <c r="D137" s="14"/>
      <c r="E137" s="13"/>
      <c r="F137" s="13"/>
      <c r="G137" s="13"/>
      <c r="H137" s="13"/>
      <c r="I137" s="13"/>
      <c r="J137" s="13"/>
      <c r="K137" s="13"/>
      <c r="L137" s="13"/>
      <c r="M137" s="13"/>
      <c r="N137" s="13"/>
    </row>
    <row r="138" spans="2:14" ht="15" customHeight="1" x14ac:dyDescent="0.45">
      <c r="G138" s="12"/>
    </row>
  </sheetData>
  <mergeCells count="105">
    <mergeCell ref="B2:C11"/>
    <mergeCell ref="B13:B14"/>
    <mergeCell ref="C13:C14"/>
    <mergeCell ref="D13:D14"/>
    <mergeCell ref="E13:E14"/>
    <mergeCell ref="F13:F14"/>
    <mergeCell ref="J13:J14"/>
    <mergeCell ref="K13:K14"/>
    <mergeCell ref="L13:L14"/>
    <mergeCell ref="D2:E3"/>
    <mergeCell ref="G2:I3"/>
    <mergeCell ref="K2:N2"/>
    <mergeCell ref="M13:M14"/>
    <mergeCell ref="N13:N14"/>
    <mergeCell ref="G13:G14"/>
    <mergeCell ref="H13:H14"/>
    <mergeCell ref="I13:I14"/>
    <mergeCell ref="B28:B30"/>
    <mergeCell ref="C28:C30"/>
    <mergeCell ref="B17:B24"/>
    <mergeCell ref="C17:C24"/>
    <mergeCell ref="B15:B16"/>
    <mergeCell ref="C15:C16"/>
    <mergeCell ref="B25:B27"/>
    <mergeCell ref="C25:C27"/>
    <mergeCell ref="K32:K33"/>
    <mergeCell ref="C39:C41"/>
    <mergeCell ref="C42:C46"/>
    <mergeCell ref="B34:B46"/>
    <mergeCell ref="C34:C38"/>
    <mergeCell ref="B48:B49"/>
    <mergeCell ref="E48:E49"/>
    <mergeCell ref="F48:F49"/>
    <mergeCell ref="G48:G49"/>
    <mergeCell ref="H48:H49"/>
    <mergeCell ref="C48:C49"/>
    <mergeCell ref="D48:D49"/>
    <mergeCell ref="L32:L33"/>
    <mergeCell ref="M32:M33"/>
    <mergeCell ref="N32:N33"/>
    <mergeCell ref="B32:B33"/>
    <mergeCell ref="E32:E33"/>
    <mergeCell ref="F32:F33"/>
    <mergeCell ref="G32:G33"/>
    <mergeCell ref="H32:H33"/>
    <mergeCell ref="I32:I33"/>
    <mergeCell ref="J32:J33"/>
    <mergeCell ref="C32:C33"/>
    <mergeCell ref="D32:D33"/>
    <mergeCell ref="B50:B62"/>
    <mergeCell ref="N48:N49"/>
    <mergeCell ref="C119:C123"/>
    <mergeCell ref="C114:C118"/>
    <mergeCell ref="C104:C108"/>
    <mergeCell ref="C71:C73"/>
    <mergeCell ref="L64:L65"/>
    <mergeCell ref="M64:M65"/>
    <mergeCell ref="N64:N65"/>
    <mergeCell ref="E64:E65"/>
    <mergeCell ref="F64:F65"/>
    <mergeCell ref="G64:G65"/>
    <mergeCell ref="H64:H65"/>
    <mergeCell ref="I64:I65"/>
    <mergeCell ref="I48:I49"/>
    <mergeCell ref="J48:J49"/>
    <mergeCell ref="K48:K49"/>
    <mergeCell ref="L48:L49"/>
    <mergeCell ref="M48:M49"/>
    <mergeCell ref="C55:C57"/>
    <mergeCell ref="C58:C62"/>
    <mergeCell ref="C50:C54"/>
    <mergeCell ref="B109:B123"/>
    <mergeCell ref="C109:C113"/>
    <mergeCell ref="J64:J65"/>
    <mergeCell ref="K64:K65"/>
    <mergeCell ref="D64:D65"/>
    <mergeCell ref="C130:C132"/>
    <mergeCell ref="C133:C135"/>
    <mergeCell ref="C127:C129"/>
    <mergeCell ref="B127:B135"/>
    <mergeCell ref="J125:J126"/>
    <mergeCell ref="K125:K126"/>
    <mergeCell ref="C64:C65"/>
    <mergeCell ref="B64:B65"/>
    <mergeCell ref="C99:C103"/>
    <mergeCell ref="C74:C78"/>
    <mergeCell ref="B94:B108"/>
    <mergeCell ref="C94:C98"/>
    <mergeCell ref="B66:B78"/>
    <mergeCell ref="C66:C70"/>
    <mergeCell ref="B79:B93"/>
    <mergeCell ref="C79:C83"/>
    <mergeCell ref="C84:C88"/>
    <mergeCell ref="C89:C93"/>
    <mergeCell ref="L125:L126"/>
    <mergeCell ref="M125:M126"/>
    <mergeCell ref="N125:N126"/>
    <mergeCell ref="B125:B126"/>
    <mergeCell ref="C125:C126"/>
    <mergeCell ref="D125:D126"/>
    <mergeCell ref="E125:E126"/>
    <mergeCell ref="F125:F126"/>
    <mergeCell ref="G125:G126"/>
    <mergeCell ref="H125:H126"/>
    <mergeCell ref="I125:I126"/>
  </mergeCells>
  <pageMargins left="0.7" right="0.7" top="0.75" bottom="0.75" header="0.3" footer="0.3"/>
  <pageSetup orientation="portrait" r:id="rId1"/>
  <headerFooter>
    <oddHeader>&amp;R&amp;"Aptos"&amp;12&amp;K000000 Unclassified / Non classifié&amp;1#_x000D_</oddHeader>
  </headerFooter>
  <ignoredErrors>
    <ignoredError sqref="I60 N60 I76 N76 I110 N110 I116 N116 I121 N121 I21 N21 I23 N23 I28 N28 I44 N44 I101 N101 I106 N106 I25 N25 I86 N86 I91 N9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A8B3-4D3D-4488-B4BF-24906CFC65EC}">
  <dimension ref="A1:N42"/>
  <sheetViews>
    <sheetView zoomScaleNormal="100" workbookViewId="0">
      <selection activeCell="C37" sqref="C37"/>
    </sheetView>
  </sheetViews>
  <sheetFormatPr defaultColWidth="9" defaultRowHeight="15" customHeight="1" x14ac:dyDescent="0.45"/>
  <cols>
    <col min="1" max="1" width="1.73046875" style="2" customWidth="1"/>
    <col min="2" max="2" width="41" style="2" customWidth="1"/>
    <col min="3" max="3" width="24.1328125" style="2" bestFit="1" customWidth="1"/>
    <col min="4" max="13" width="13.73046875" style="2" customWidth="1"/>
    <col min="14" max="14" width="1.73046875" style="2" customWidth="1"/>
    <col min="15" max="15" width="14.3984375" style="2" customWidth="1"/>
    <col min="16" max="16" width="1.59765625" style="2" customWidth="1"/>
    <col min="17" max="16384" width="9" style="2"/>
  </cols>
  <sheetData>
    <row r="1" spans="1:14" ht="15" customHeight="1" x14ac:dyDescent="0.45">
      <c r="A1" s="1"/>
      <c r="B1" s="1"/>
      <c r="C1" s="1"/>
      <c r="D1" s="1"/>
      <c r="E1" s="1"/>
      <c r="F1" s="1"/>
      <c r="G1" s="1"/>
      <c r="H1" s="1"/>
      <c r="I1" s="1"/>
      <c r="J1" s="1"/>
      <c r="K1" s="1"/>
      <c r="L1" s="1"/>
      <c r="M1" s="1"/>
      <c r="N1" s="11"/>
    </row>
    <row r="2" spans="1:14" ht="15" customHeight="1" x14ac:dyDescent="0.45">
      <c r="A2" s="4"/>
      <c r="B2" s="182" t="s">
        <v>114</v>
      </c>
      <c r="C2" s="183" t="s">
        <v>28</v>
      </c>
      <c r="D2" s="186"/>
      <c r="E2" s="5"/>
      <c r="F2" s="192" t="s">
        <v>23</v>
      </c>
      <c r="G2" s="192"/>
      <c r="H2" s="192"/>
      <c r="I2" s="192"/>
      <c r="J2" s="6"/>
      <c r="K2" s="6"/>
      <c r="L2" s="6"/>
      <c r="M2" s="6"/>
      <c r="N2" s="4"/>
    </row>
    <row r="3" spans="1:14" ht="15" customHeight="1" x14ac:dyDescent="0.45">
      <c r="A3" s="4"/>
      <c r="B3" s="182"/>
      <c r="C3" s="184"/>
      <c r="D3" s="187"/>
      <c r="E3" s="5"/>
      <c r="F3" s="192"/>
      <c r="G3" s="192"/>
      <c r="H3" s="192"/>
      <c r="I3" s="192"/>
      <c r="J3" s="6"/>
      <c r="K3" s="6"/>
      <c r="L3" s="6"/>
      <c r="M3" s="6"/>
      <c r="N3" s="4"/>
    </row>
    <row r="4" spans="1:14" ht="15" customHeight="1" x14ac:dyDescent="0.45">
      <c r="A4" s="4"/>
      <c r="B4" s="182"/>
      <c r="C4" s="32" t="s">
        <v>2</v>
      </c>
      <c r="D4" s="33">
        <v>100000</v>
      </c>
      <c r="E4" s="5"/>
      <c r="F4" s="59" t="s">
        <v>24</v>
      </c>
      <c r="G4" s="45"/>
      <c r="H4" s="61"/>
      <c r="I4" s="70">
        <v>57885.440000000002</v>
      </c>
      <c r="J4" s="6"/>
      <c r="K4" s="6"/>
      <c r="L4" s="6"/>
      <c r="M4" s="6"/>
      <c r="N4" s="4"/>
    </row>
    <row r="5" spans="1:14" ht="15" customHeight="1" x14ac:dyDescent="0.45">
      <c r="A5" s="4"/>
      <c r="B5" s="182"/>
      <c r="C5" s="6"/>
      <c r="D5" s="6"/>
      <c r="E5" s="4"/>
      <c r="F5" s="59" t="s">
        <v>25</v>
      </c>
      <c r="G5" s="45"/>
      <c r="H5" s="61"/>
      <c r="I5" s="71">
        <v>44519</v>
      </c>
      <c r="J5" s="6"/>
      <c r="K5" s="6"/>
      <c r="L5" s="6"/>
      <c r="M5" s="6"/>
      <c r="N5" s="4"/>
    </row>
    <row r="6" spans="1:14" ht="15" customHeight="1" x14ac:dyDescent="0.45">
      <c r="A6" s="4"/>
      <c r="B6" s="182"/>
      <c r="C6" s="6"/>
      <c r="D6" s="6"/>
      <c r="E6" s="4"/>
      <c r="F6" s="59" t="s">
        <v>26</v>
      </c>
      <c r="G6" s="45"/>
      <c r="H6" s="61"/>
      <c r="I6" s="70">
        <v>89588.18</v>
      </c>
      <c r="J6" s="6"/>
      <c r="K6" s="6"/>
      <c r="L6" s="6"/>
      <c r="M6" s="6"/>
      <c r="N6" s="4"/>
    </row>
    <row r="7" spans="1:14" ht="15" customHeight="1" x14ac:dyDescent="0.45">
      <c r="A7" s="4"/>
      <c r="B7" s="182"/>
      <c r="C7" s="6"/>
      <c r="D7" s="6"/>
      <c r="E7" s="4"/>
      <c r="F7" s="59" t="s">
        <v>27</v>
      </c>
      <c r="G7" s="45"/>
      <c r="H7" s="61"/>
      <c r="I7" s="71">
        <v>45980</v>
      </c>
      <c r="J7" s="6"/>
      <c r="K7" s="6"/>
      <c r="L7" s="6"/>
      <c r="M7" s="6"/>
      <c r="N7" s="4"/>
    </row>
    <row r="8" spans="1:14" ht="15" customHeight="1" x14ac:dyDescent="0.45">
      <c r="A8" s="46"/>
      <c r="B8" s="193"/>
      <c r="C8" s="6"/>
      <c r="D8" s="6"/>
      <c r="F8" s="19" t="s">
        <v>29</v>
      </c>
      <c r="G8" s="45"/>
      <c r="H8" s="61"/>
      <c r="I8" s="60">
        <f>(I6/I4)^(1/DATEDIF(I5,I7,"Y"))-1</f>
        <v>0.11537355608552313</v>
      </c>
      <c r="J8" s="6"/>
      <c r="K8" s="6"/>
      <c r="L8" s="6"/>
      <c r="M8" s="6"/>
      <c r="N8" s="4"/>
    </row>
    <row r="9" spans="1:14" ht="15" customHeight="1" x14ac:dyDescent="0.45">
      <c r="A9" s="1"/>
      <c r="B9" s="1"/>
      <c r="C9" s="62"/>
      <c r="D9" s="6"/>
      <c r="E9" s="5"/>
      <c r="F9" s="6"/>
      <c r="G9" s="6"/>
      <c r="H9" s="6"/>
      <c r="I9" s="6"/>
      <c r="J9" s="6"/>
      <c r="K9" s="6"/>
      <c r="L9" s="6"/>
      <c r="M9" s="6"/>
      <c r="N9" s="4"/>
    </row>
    <row r="10" spans="1:14" ht="30" customHeight="1" x14ac:dyDescent="0.45">
      <c r="A10" s="4"/>
      <c r="B10" s="72" t="s">
        <v>56</v>
      </c>
      <c r="C10" s="73"/>
      <c r="D10" s="148" t="s">
        <v>3</v>
      </c>
      <c r="E10" s="148" t="s">
        <v>4</v>
      </c>
      <c r="F10" s="148" t="s">
        <v>5</v>
      </c>
      <c r="G10" s="148" t="s">
        <v>6</v>
      </c>
      <c r="H10" s="148" t="s">
        <v>7</v>
      </c>
      <c r="I10" s="148" t="s">
        <v>8</v>
      </c>
      <c r="J10" s="148" t="s">
        <v>9</v>
      </c>
      <c r="K10" s="148" t="s">
        <v>10</v>
      </c>
      <c r="L10" s="148" t="s">
        <v>11</v>
      </c>
      <c r="M10" s="148" t="s">
        <v>12</v>
      </c>
      <c r="N10" s="7"/>
    </row>
    <row r="11" spans="1:14" ht="30" customHeight="1" x14ac:dyDescent="0.45">
      <c r="A11" s="4"/>
      <c r="B11" s="39" t="s">
        <v>30</v>
      </c>
      <c r="C11" s="39" t="s">
        <v>51</v>
      </c>
      <c r="D11" s="149"/>
      <c r="E11" s="149"/>
      <c r="F11" s="149"/>
      <c r="G11" s="149"/>
      <c r="H11" s="149"/>
      <c r="I11" s="149"/>
      <c r="J11" s="149"/>
      <c r="K11" s="149"/>
      <c r="L11" s="149"/>
      <c r="M11" s="149"/>
      <c r="N11" s="4"/>
    </row>
    <row r="12" spans="1:14" ht="15" customHeight="1" x14ac:dyDescent="0.45">
      <c r="A12" s="4"/>
      <c r="B12" s="194">
        <v>0.2</v>
      </c>
      <c r="C12" s="57" t="s">
        <v>0</v>
      </c>
      <c r="D12" s="47">
        <f>($D$4 * $B12) + $D$4</f>
        <v>120000</v>
      </c>
      <c r="E12" s="48">
        <f>(D12 * $B12) + D12</f>
        <v>144000</v>
      </c>
      <c r="F12" s="48">
        <f t="shared" ref="F12:M12" si="0">(E12 * $B12) + E12</f>
        <v>172800</v>
      </c>
      <c r="G12" s="48">
        <f t="shared" si="0"/>
        <v>207360</v>
      </c>
      <c r="H12" s="48">
        <f t="shared" si="0"/>
        <v>248832</v>
      </c>
      <c r="I12" s="48">
        <f t="shared" si="0"/>
        <v>298598.40000000002</v>
      </c>
      <c r="J12" s="48">
        <f t="shared" si="0"/>
        <v>358318.08000000002</v>
      </c>
      <c r="K12" s="48">
        <f t="shared" si="0"/>
        <v>429981.696</v>
      </c>
      <c r="L12" s="48">
        <f t="shared" si="0"/>
        <v>515978.03519999998</v>
      </c>
      <c r="M12" s="48">
        <f t="shared" si="0"/>
        <v>619173.64223999996</v>
      </c>
      <c r="N12" s="8"/>
    </row>
    <row r="13" spans="1:14" ht="15" customHeight="1" x14ac:dyDescent="0.45">
      <c r="A13" s="4"/>
      <c r="B13" s="194"/>
      <c r="C13" s="56" t="s">
        <v>1</v>
      </c>
      <c r="D13" s="49">
        <f>D12*21000000</f>
        <v>2520000000000</v>
      </c>
      <c r="E13" s="50">
        <f t="shared" ref="E13:M13" si="1">E12*21000000</f>
        <v>3024000000000</v>
      </c>
      <c r="F13" s="50">
        <f t="shared" si="1"/>
        <v>3628800000000</v>
      </c>
      <c r="G13" s="50">
        <f t="shared" si="1"/>
        <v>4354560000000</v>
      </c>
      <c r="H13" s="50">
        <f t="shared" si="1"/>
        <v>5225472000000</v>
      </c>
      <c r="I13" s="50">
        <f t="shared" si="1"/>
        <v>6270566400000.001</v>
      </c>
      <c r="J13" s="50">
        <f t="shared" si="1"/>
        <v>7524679680000</v>
      </c>
      <c r="K13" s="50">
        <f t="shared" si="1"/>
        <v>9029615616000</v>
      </c>
      <c r="L13" s="50">
        <f t="shared" si="1"/>
        <v>10835538739200</v>
      </c>
      <c r="M13" s="50">
        <f t="shared" si="1"/>
        <v>13002646487040</v>
      </c>
      <c r="N13" s="8"/>
    </row>
    <row r="14" spans="1:14" ht="15" customHeight="1" x14ac:dyDescent="0.45">
      <c r="A14" s="4"/>
      <c r="B14" s="194"/>
      <c r="C14" s="58" t="s">
        <v>14</v>
      </c>
      <c r="D14" s="51">
        <f>( ( D12 - $D$4 ) ) / D12</f>
        <v>0.16666666666666666</v>
      </c>
      <c r="E14" s="51">
        <f t="shared" ref="E14:M14" si="2">( ( E12 - $D$4 ) ) / E12</f>
        <v>0.30555555555555558</v>
      </c>
      <c r="F14" s="51">
        <f t="shared" si="2"/>
        <v>0.42129629629629628</v>
      </c>
      <c r="G14" s="51">
        <f t="shared" si="2"/>
        <v>0.51774691358024694</v>
      </c>
      <c r="H14" s="52">
        <f t="shared" si="2"/>
        <v>0.5981224279835391</v>
      </c>
      <c r="I14" s="51">
        <f t="shared" si="2"/>
        <v>0.66510202331961599</v>
      </c>
      <c r="J14" s="51">
        <f t="shared" si="2"/>
        <v>0.72091835276634664</v>
      </c>
      <c r="K14" s="51">
        <f t="shared" si="2"/>
        <v>0.76743196063862218</v>
      </c>
      <c r="L14" s="51">
        <f t="shared" si="2"/>
        <v>0.80619330053218508</v>
      </c>
      <c r="M14" s="51">
        <f t="shared" si="2"/>
        <v>0.83849441711015427</v>
      </c>
      <c r="N14" s="9"/>
    </row>
    <row r="15" spans="1:14" ht="15" customHeight="1" x14ac:dyDescent="0.45">
      <c r="A15" s="4"/>
      <c r="B15" s="194"/>
      <c r="C15" s="58" t="s">
        <v>13</v>
      </c>
      <c r="D15" s="51">
        <f>1-D14</f>
        <v>0.83333333333333337</v>
      </c>
      <c r="E15" s="51">
        <f t="shared" ref="E15:M15" si="3">1-E14</f>
        <v>0.69444444444444442</v>
      </c>
      <c r="F15" s="51">
        <f t="shared" si="3"/>
        <v>0.57870370370370372</v>
      </c>
      <c r="G15" s="51">
        <f t="shared" si="3"/>
        <v>0.48225308641975306</v>
      </c>
      <c r="H15" s="52">
        <f t="shared" si="3"/>
        <v>0.4018775720164609</v>
      </c>
      <c r="I15" s="51">
        <f t="shared" si="3"/>
        <v>0.33489797668038401</v>
      </c>
      <c r="J15" s="51">
        <f t="shared" si="3"/>
        <v>0.27908164723365336</v>
      </c>
      <c r="K15" s="51">
        <f t="shared" si="3"/>
        <v>0.23256803936137782</v>
      </c>
      <c r="L15" s="51">
        <f t="shared" si="3"/>
        <v>0.19380669946781492</v>
      </c>
      <c r="M15" s="51">
        <f t="shared" si="3"/>
        <v>0.16150558288984573</v>
      </c>
      <c r="N15" s="9"/>
    </row>
    <row r="16" spans="1:14" ht="15" customHeight="1" x14ac:dyDescent="0.45">
      <c r="A16" s="4"/>
      <c r="B16" s="194"/>
      <c r="C16" s="56" t="s">
        <v>15</v>
      </c>
      <c r="D16" s="53">
        <f>D14</f>
        <v>0.16666666666666666</v>
      </c>
      <c r="E16" s="54">
        <f>E14-D14</f>
        <v>0.13888888888888892</v>
      </c>
      <c r="F16" s="54">
        <f>F14-E14</f>
        <v>0.1157407407407407</v>
      </c>
      <c r="G16" s="54">
        <f t="shared" ref="G16:M16" si="4">G14-F14</f>
        <v>9.6450617283950657E-2</v>
      </c>
      <c r="H16" s="54">
        <f t="shared" si="4"/>
        <v>8.0375514403292159E-2</v>
      </c>
      <c r="I16" s="54">
        <f t="shared" si="4"/>
        <v>6.6979595336076891E-2</v>
      </c>
      <c r="J16" s="54">
        <f t="shared" si="4"/>
        <v>5.581632944673065E-2</v>
      </c>
      <c r="K16" s="54">
        <f t="shared" si="4"/>
        <v>4.6513607872275542E-2</v>
      </c>
      <c r="L16" s="54">
        <f t="shared" si="4"/>
        <v>3.8761339893562896E-2</v>
      </c>
      <c r="M16" s="54">
        <f t="shared" si="4"/>
        <v>3.2301116577969191E-2</v>
      </c>
      <c r="N16" s="8"/>
    </row>
    <row r="17" spans="1:14" ht="15" customHeight="1" x14ac:dyDescent="0.45">
      <c r="A17" s="4"/>
      <c r="B17" s="197"/>
      <c r="C17" s="56" t="s">
        <v>31</v>
      </c>
      <c r="D17" s="53"/>
      <c r="E17" s="54"/>
      <c r="F17" s="54"/>
      <c r="G17" s="54"/>
      <c r="H17" s="54">
        <f>SUM(D16:H16)/5</f>
        <v>0.11962448559670782</v>
      </c>
      <c r="I17" s="55"/>
      <c r="J17" s="55"/>
      <c r="K17" s="55"/>
      <c r="L17" s="55"/>
      <c r="M17" s="54">
        <f>SUM(D16:M16)/10</f>
        <v>8.3849441711015424E-2</v>
      </c>
      <c r="N17" s="8"/>
    </row>
    <row r="18" spans="1:14" ht="15" customHeight="1" x14ac:dyDescent="0.45">
      <c r="A18" s="4"/>
      <c r="B18" s="196">
        <v>0.25</v>
      </c>
      <c r="C18" s="56" t="s">
        <v>0</v>
      </c>
      <c r="D18" s="47">
        <f>($D$4 * $B18) + $D$4</f>
        <v>125000</v>
      </c>
      <c r="E18" s="48">
        <f>(D18 * $B18) + D18</f>
        <v>156250</v>
      </c>
      <c r="F18" s="48">
        <f t="shared" ref="F18:M18" si="5">(E18 * $B18) + E18</f>
        <v>195312.5</v>
      </c>
      <c r="G18" s="48">
        <f t="shared" si="5"/>
        <v>244140.625</v>
      </c>
      <c r="H18" s="48">
        <f t="shared" si="5"/>
        <v>305175.78125</v>
      </c>
      <c r="I18" s="48">
        <f t="shared" si="5"/>
        <v>381469.7265625</v>
      </c>
      <c r="J18" s="48">
        <f t="shared" si="5"/>
        <v>476837.158203125</v>
      </c>
      <c r="K18" s="48">
        <f t="shared" si="5"/>
        <v>596046.44775390625</v>
      </c>
      <c r="L18" s="48">
        <f t="shared" si="5"/>
        <v>745058.05969238281</v>
      </c>
      <c r="M18" s="48">
        <f t="shared" si="5"/>
        <v>931322.57461547852</v>
      </c>
      <c r="N18" s="4"/>
    </row>
    <row r="19" spans="1:14" ht="15" customHeight="1" x14ac:dyDescent="0.45">
      <c r="A19" s="4"/>
      <c r="B19" s="194"/>
      <c r="C19" s="56" t="s">
        <v>1</v>
      </c>
      <c r="D19" s="49">
        <f>D18*21000000</f>
        <v>2625000000000</v>
      </c>
      <c r="E19" s="50">
        <f t="shared" ref="E19:M19" si="6">E18*21000000</f>
        <v>3281250000000</v>
      </c>
      <c r="F19" s="50">
        <f t="shared" si="6"/>
        <v>4101562500000</v>
      </c>
      <c r="G19" s="50">
        <f t="shared" si="6"/>
        <v>5126953125000</v>
      </c>
      <c r="H19" s="50">
        <f t="shared" si="6"/>
        <v>6408691406250</v>
      </c>
      <c r="I19" s="50">
        <f t="shared" si="6"/>
        <v>8010864257812.5</v>
      </c>
      <c r="J19" s="50">
        <f t="shared" si="6"/>
        <v>10013580322265.625</v>
      </c>
      <c r="K19" s="50">
        <f t="shared" si="6"/>
        <v>12516975402832.031</v>
      </c>
      <c r="L19" s="50">
        <f t="shared" si="6"/>
        <v>15646219253540.039</v>
      </c>
      <c r="M19" s="50">
        <f t="shared" si="6"/>
        <v>19557774066925.047</v>
      </c>
      <c r="N19" s="4"/>
    </row>
    <row r="20" spans="1:14" ht="15" customHeight="1" x14ac:dyDescent="0.45">
      <c r="A20" s="4"/>
      <c r="B20" s="194"/>
      <c r="C20" s="58" t="s">
        <v>14</v>
      </c>
      <c r="D20" s="51">
        <f>( ( D18 - $D$4 ) ) / D18</f>
        <v>0.2</v>
      </c>
      <c r="E20" s="51">
        <f t="shared" ref="E20:M20" si="7">( ( E18 - $D$4 ) ) / E18</f>
        <v>0.36</v>
      </c>
      <c r="F20" s="51">
        <f t="shared" si="7"/>
        <v>0.48799999999999999</v>
      </c>
      <c r="G20" s="51">
        <f t="shared" si="7"/>
        <v>0.59040000000000004</v>
      </c>
      <c r="H20" s="52">
        <f t="shared" si="7"/>
        <v>0.67232000000000003</v>
      </c>
      <c r="I20" s="51">
        <f t="shared" si="7"/>
        <v>0.73785599999999996</v>
      </c>
      <c r="J20" s="51">
        <f t="shared" si="7"/>
        <v>0.79028480000000001</v>
      </c>
      <c r="K20" s="51">
        <f t="shared" si="7"/>
        <v>0.83222784000000005</v>
      </c>
      <c r="L20" s="51">
        <f t="shared" si="7"/>
        <v>0.86578227200000002</v>
      </c>
      <c r="M20" s="51">
        <f t="shared" si="7"/>
        <v>0.89262581760000004</v>
      </c>
      <c r="N20" s="4"/>
    </row>
    <row r="21" spans="1:14" ht="15" customHeight="1" x14ac:dyDescent="0.45">
      <c r="A21" s="4"/>
      <c r="B21" s="194"/>
      <c r="C21" s="58" t="s">
        <v>13</v>
      </c>
      <c r="D21" s="51">
        <f>1-D20</f>
        <v>0.8</v>
      </c>
      <c r="E21" s="51">
        <f t="shared" ref="E21:M21" si="8">1-E20</f>
        <v>0.64</v>
      </c>
      <c r="F21" s="51">
        <f t="shared" si="8"/>
        <v>0.51200000000000001</v>
      </c>
      <c r="G21" s="51">
        <f t="shared" si="8"/>
        <v>0.40959999999999996</v>
      </c>
      <c r="H21" s="52">
        <f t="shared" si="8"/>
        <v>0.32767999999999997</v>
      </c>
      <c r="I21" s="51">
        <f t="shared" si="8"/>
        <v>0.26214400000000004</v>
      </c>
      <c r="J21" s="51">
        <f t="shared" si="8"/>
        <v>0.20971519999999999</v>
      </c>
      <c r="K21" s="51">
        <f t="shared" si="8"/>
        <v>0.16777215999999995</v>
      </c>
      <c r="L21" s="51">
        <f t="shared" si="8"/>
        <v>0.13421772799999998</v>
      </c>
      <c r="M21" s="51">
        <f t="shared" si="8"/>
        <v>0.10737418239999996</v>
      </c>
      <c r="N21" s="4"/>
    </row>
    <row r="22" spans="1:14" ht="15" customHeight="1" x14ac:dyDescent="0.45">
      <c r="A22" s="4"/>
      <c r="B22" s="194"/>
      <c r="C22" s="56" t="s">
        <v>15</v>
      </c>
      <c r="D22" s="53">
        <f>D20</f>
        <v>0.2</v>
      </c>
      <c r="E22" s="54">
        <f>E20-D20</f>
        <v>0.15999999999999998</v>
      </c>
      <c r="F22" s="54">
        <f>F20-E20</f>
        <v>0.128</v>
      </c>
      <c r="G22" s="54">
        <f t="shared" ref="G22" si="9">G20-F20</f>
        <v>0.10240000000000005</v>
      </c>
      <c r="H22" s="54">
        <f t="shared" ref="H22" si="10">H20-G20</f>
        <v>8.1919999999999993E-2</v>
      </c>
      <c r="I22" s="54">
        <f t="shared" ref="I22" si="11">I20-H20</f>
        <v>6.5535999999999928E-2</v>
      </c>
      <c r="J22" s="54">
        <f t="shared" ref="J22" si="12">J20-I20</f>
        <v>5.2428800000000053E-2</v>
      </c>
      <c r="K22" s="54">
        <f t="shared" ref="K22" si="13">K20-J20</f>
        <v>4.1943040000000043E-2</v>
      </c>
      <c r="L22" s="54">
        <f t="shared" ref="L22" si="14">L20-K20</f>
        <v>3.3554431999999967E-2</v>
      </c>
      <c r="M22" s="54">
        <f t="shared" ref="M22" si="15">M20-L20</f>
        <v>2.6843545600000018E-2</v>
      </c>
      <c r="N22" s="4"/>
    </row>
    <row r="23" spans="1:14" ht="15" customHeight="1" x14ac:dyDescent="0.45">
      <c r="A23" s="4"/>
      <c r="B23" s="197"/>
      <c r="C23" s="56" t="s">
        <v>31</v>
      </c>
      <c r="D23" s="53"/>
      <c r="E23" s="54"/>
      <c r="F23" s="54"/>
      <c r="G23" s="54"/>
      <c r="H23" s="54">
        <f>SUM(D22:H22)/5</f>
        <v>0.134464</v>
      </c>
      <c r="I23" s="55"/>
      <c r="J23" s="55"/>
      <c r="K23" s="55"/>
      <c r="L23" s="55"/>
      <c r="M23" s="54">
        <f>SUM(D22:M22)/10</f>
        <v>8.9262581760000001E-2</v>
      </c>
      <c r="N23" s="4"/>
    </row>
    <row r="24" spans="1:14" ht="15" customHeight="1" x14ac:dyDescent="0.45">
      <c r="A24" s="4"/>
      <c r="B24" s="196">
        <v>0.3</v>
      </c>
      <c r="C24" s="56" t="s">
        <v>0</v>
      </c>
      <c r="D24" s="47">
        <f>($D$4 * $B24) + $D$4</f>
        <v>130000</v>
      </c>
      <c r="E24" s="48">
        <f>(D24 * $B24) + D24</f>
        <v>169000</v>
      </c>
      <c r="F24" s="48">
        <f t="shared" ref="F24:M24" si="16">(E24 * $B24) + E24</f>
        <v>219700</v>
      </c>
      <c r="G24" s="48">
        <f t="shared" si="16"/>
        <v>285610</v>
      </c>
      <c r="H24" s="48">
        <f t="shared" si="16"/>
        <v>371293</v>
      </c>
      <c r="I24" s="48">
        <f t="shared" si="16"/>
        <v>482680.9</v>
      </c>
      <c r="J24" s="48">
        <f t="shared" si="16"/>
        <v>627485.17000000004</v>
      </c>
      <c r="K24" s="48">
        <f t="shared" si="16"/>
        <v>815730.72100000002</v>
      </c>
      <c r="L24" s="48">
        <f t="shared" si="16"/>
        <v>1060449.9373000001</v>
      </c>
      <c r="M24" s="48">
        <f t="shared" si="16"/>
        <v>1378584.9184900001</v>
      </c>
      <c r="N24" s="4"/>
    </row>
    <row r="25" spans="1:14" ht="15" customHeight="1" x14ac:dyDescent="0.45">
      <c r="A25" s="4"/>
      <c r="B25" s="194"/>
      <c r="C25" s="56" t="s">
        <v>1</v>
      </c>
      <c r="D25" s="49">
        <f>D24*21000000</f>
        <v>2730000000000</v>
      </c>
      <c r="E25" s="50">
        <f t="shared" ref="E25:M25" si="17">E24*21000000</f>
        <v>3549000000000</v>
      </c>
      <c r="F25" s="50">
        <f t="shared" si="17"/>
        <v>4613700000000</v>
      </c>
      <c r="G25" s="50">
        <f t="shared" si="17"/>
        <v>5997810000000</v>
      </c>
      <c r="H25" s="50">
        <f t="shared" si="17"/>
        <v>7797153000000</v>
      </c>
      <c r="I25" s="50">
        <f t="shared" si="17"/>
        <v>10136298900000</v>
      </c>
      <c r="J25" s="50">
        <f t="shared" si="17"/>
        <v>13177188570000</v>
      </c>
      <c r="K25" s="50">
        <f t="shared" si="17"/>
        <v>17130345141000</v>
      </c>
      <c r="L25" s="50">
        <f t="shared" si="17"/>
        <v>22269448683300.004</v>
      </c>
      <c r="M25" s="50">
        <f t="shared" si="17"/>
        <v>28950283288290</v>
      </c>
      <c r="N25" s="4"/>
    </row>
    <row r="26" spans="1:14" ht="15" customHeight="1" x14ac:dyDescent="0.45">
      <c r="A26" s="4"/>
      <c r="B26" s="194"/>
      <c r="C26" s="58" t="s">
        <v>14</v>
      </c>
      <c r="D26" s="51">
        <f>( ( D24 - $D$4 ) ) / D24</f>
        <v>0.23076923076923078</v>
      </c>
      <c r="E26" s="51">
        <f t="shared" ref="E26:M26" si="18">( ( E24 - $D$4 ) ) / E24</f>
        <v>0.40828402366863903</v>
      </c>
      <c r="F26" s="51">
        <f t="shared" si="18"/>
        <v>0.54483386436049153</v>
      </c>
      <c r="G26" s="51">
        <f t="shared" si="18"/>
        <v>0.64987220335422424</v>
      </c>
      <c r="H26" s="52">
        <f t="shared" si="18"/>
        <v>0.73067092565709557</v>
      </c>
      <c r="I26" s="51">
        <f t="shared" si="18"/>
        <v>0.79282378896699668</v>
      </c>
      <c r="J26" s="51">
        <f t="shared" si="18"/>
        <v>0.84063368382076664</v>
      </c>
      <c r="K26" s="51">
        <f t="shared" si="18"/>
        <v>0.87741052601597436</v>
      </c>
      <c r="L26" s="51">
        <f t="shared" si="18"/>
        <v>0.90570040462767254</v>
      </c>
      <c r="M26" s="51">
        <f t="shared" si="18"/>
        <v>0.92746184971359424</v>
      </c>
      <c r="N26" s="4"/>
    </row>
    <row r="27" spans="1:14" ht="15" customHeight="1" x14ac:dyDescent="0.45">
      <c r="A27" s="4"/>
      <c r="B27" s="194"/>
      <c r="C27" s="58" t="s">
        <v>13</v>
      </c>
      <c r="D27" s="51">
        <f>1-D26</f>
        <v>0.76923076923076916</v>
      </c>
      <c r="E27" s="51">
        <f t="shared" ref="E27:M27" si="19">1-E26</f>
        <v>0.59171597633136097</v>
      </c>
      <c r="F27" s="51">
        <f t="shared" si="19"/>
        <v>0.45516613563950847</v>
      </c>
      <c r="G27" s="51">
        <f t="shared" si="19"/>
        <v>0.35012779664577576</v>
      </c>
      <c r="H27" s="52">
        <f t="shared" si="19"/>
        <v>0.26932907434290443</v>
      </c>
      <c r="I27" s="51">
        <f t="shared" si="19"/>
        <v>0.20717621103300332</v>
      </c>
      <c r="J27" s="51">
        <f t="shared" si="19"/>
        <v>0.15936631617923336</v>
      </c>
      <c r="K27" s="51">
        <f t="shared" si="19"/>
        <v>0.12258947398402564</v>
      </c>
      <c r="L27" s="51">
        <f t="shared" si="19"/>
        <v>9.429959537232746E-2</v>
      </c>
      <c r="M27" s="51">
        <f t="shared" si="19"/>
        <v>7.2538150286405756E-2</v>
      </c>
      <c r="N27" s="4"/>
    </row>
    <row r="28" spans="1:14" ht="15" customHeight="1" x14ac:dyDescent="0.45">
      <c r="A28" s="4"/>
      <c r="B28" s="194"/>
      <c r="C28" s="56" t="s">
        <v>15</v>
      </c>
      <c r="D28" s="53">
        <f>D26</f>
        <v>0.23076923076923078</v>
      </c>
      <c r="E28" s="54">
        <f>E26-D26</f>
        <v>0.17751479289940825</v>
      </c>
      <c r="F28" s="54">
        <f>F26-E26</f>
        <v>0.1365498406918525</v>
      </c>
      <c r="G28" s="54">
        <f t="shared" ref="G28" si="20">G26-F26</f>
        <v>0.10503833899373272</v>
      </c>
      <c r="H28" s="54">
        <f t="shared" ref="H28" si="21">H26-G26</f>
        <v>8.0798722302871329E-2</v>
      </c>
      <c r="I28" s="54">
        <f t="shared" ref="I28" si="22">I26-H26</f>
        <v>6.2152863309901107E-2</v>
      </c>
      <c r="J28" s="54">
        <f t="shared" ref="J28" si="23">J26-I26</f>
        <v>4.7809894853769963E-2</v>
      </c>
      <c r="K28" s="54">
        <f t="shared" ref="K28" si="24">K26-J26</f>
        <v>3.6776842195207715E-2</v>
      </c>
      <c r="L28" s="54">
        <f t="shared" ref="L28" si="25">L26-K26</f>
        <v>2.8289878611698183E-2</v>
      </c>
      <c r="M28" s="54">
        <f t="shared" ref="M28" si="26">M26-L26</f>
        <v>2.1761445085921705E-2</v>
      </c>
      <c r="N28" s="4"/>
    </row>
    <row r="29" spans="1:14" ht="15" customHeight="1" x14ac:dyDescent="0.45">
      <c r="A29" s="4"/>
      <c r="B29" s="197"/>
      <c r="C29" s="56" t="s">
        <v>31</v>
      </c>
      <c r="D29" s="53"/>
      <c r="E29" s="54"/>
      <c r="F29" s="54"/>
      <c r="G29" s="54"/>
      <c r="H29" s="54">
        <f>SUM(D28:H28)/5</f>
        <v>0.14613418513141913</v>
      </c>
      <c r="I29" s="55"/>
      <c r="J29" s="55"/>
      <c r="K29" s="55"/>
      <c r="L29" s="55"/>
      <c r="M29" s="54">
        <f>SUM(D28:M28)/10</f>
        <v>9.2746184971359419E-2</v>
      </c>
      <c r="N29" s="4"/>
    </row>
    <row r="30" spans="1:14" ht="15" customHeight="1" x14ac:dyDescent="0.45">
      <c r="A30" s="4"/>
      <c r="B30" s="196">
        <v>0.35</v>
      </c>
      <c r="C30" s="56" t="s">
        <v>0</v>
      </c>
      <c r="D30" s="47">
        <f>($D$4 * $B30) + $D$4</f>
        <v>135000</v>
      </c>
      <c r="E30" s="48">
        <f>(D30 * $B30) + D30</f>
        <v>182250</v>
      </c>
      <c r="F30" s="48">
        <f t="shared" ref="F30:M30" si="27">(E30 * $B30) + E30</f>
        <v>246037.5</v>
      </c>
      <c r="G30" s="48">
        <f t="shared" si="27"/>
        <v>332150.625</v>
      </c>
      <c r="H30" s="48">
        <f t="shared" si="27"/>
        <v>448403.34375</v>
      </c>
      <c r="I30" s="48">
        <f t="shared" si="27"/>
        <v>605344.51406249998</v>
      </c>
      <c r="J30" s="48">
        <f t="shared" si="27"/>
        <v>817215.09398437501</v>
      </c>
      <c r="K30" s="48">
        <f t="shared" si="27"/>
        <v>1103240.3768789063</v>
      </c>
      <c r="L30" s="48">
        <f t="shared" si="27"/>
        <v>1489374.5087865235</v>
      </c>
      <c r="M30" s="48">
        <f t="shared" si="27"/>
        <v>2010655.5868618067</v>
      </c>
      <c r="N30" s="4"/>
    </row>
    <row r="31" spans="1:14" ht="15" customHeight="1" x14ac:dyDescent="0.45">
      <c r="A31" s="4"/>
      <c r="B31" s="194"/>
      <c r="C31" s="56" t="s">
        <v>1</v>
      </c>
      <c r="D31" s="49">
        <f>D30*21000000</f>
        <v>2835000000000</v>
      </c>
      <c r="E31" s="50">
        <f t="shared" ref="E31:M31" si="28">E30*21000000</f>
        <v>3827250000000</v>
      </c>
      <c r="F31" s="50">
        <f t="shared" si="28"/>
        <v>5166787500000</v>
      </c>
      <c r="G31" s="50">
        <f t="shared" si="28"/>
        <v>6975163125000</v>
      </c>
      <c r="H31" s="50">
        <f t="shared" si="28"/>
        <v>9416470218750</v>
      </c>
      <c r="I31" s="50">
        <f t="shared" si="28"/>
        <v>12712234795312.5</v>
      </c>
      <c r="J31" s="50">
        <f t="shared" si="28"/>
        <v>17161516973671.875</v>
      </c>
      <c r="K31" s="50">
        <f t="shared" si="28"/>
        <v>23168047914457.031</v>
      </c>
      <c r="L31" s="50">
        <f t="shared" si="28"/>
        <v>31276864684516.992</v>
      </c>
      <c r="M31" s="50">
        <f t="shared" si="28"/>
        <v>42223767324097.938</v>
      </c>
      <c r="N31" s="4"/>
    </row>
    <row r="32" spans="1:14" ht="15" customHeight="1" x14ac:dyDescent="0.45">
      <c r="A32" s="4"/>
      <c r="B32" s="194"/>
      <c r="C32" s="58" t="s">
        <v>14</v>
      </c>
      <c r="D32" s="51">
        <f>( ( D30 - $D$4 ) ) / D30</f>
        <v>0.25925925925925924</v>
      </c>
      <c r="E32" s="51">
        <f t="shared" ref="E32:M32" si="29">( ( E30 - $D$4 ) ) / E30</f>
        <v>0.45130315500685869</v>
      </c>
      <c r="F32" s="51">
        <f t="shared" si="29"/>
        <v>0.59355789259767311</v>
      </c>
      <c r="G32" s="51">
        <f t="shared" ref="G32" si="30">( ( G30 - $D$4 ) ) / G30</f>
        <v>0.69893177229457271</v>
      </c>
      <c r="H32" s="52">
        <f t="shared" si="29"/>
        <v>0.77698649799597974</v>
      </c>
      <c r="I32" s="51">
        <f t="shared" si="29"/>
        <v>0.83480481333035539</v>
      </c>
      <c r="J32" s="51">
        <f t="shared" si="29"/>
        <v>0.87763319505952253</v>
      </c>
      <c r="K32" s="51">
        <f t="shared" si="29"/>
        <v>0.90935792226631296</v>
      </c>
      <c r="L32" s="51">
        <f t="shared" si="29"/>
        <v>0.93285772019726887</v>
      </c>
      <c r="M32" s="51">
        <f t="shared" si="29"/>
        <v>0.95026497792390285</v>
      </c>
      <c r="N32" s="4"/>
    </row>
    <row r="33" spans="1:14" ht="15" customHeight="1" x14ac:dyDescent="0.45">
      <c r="A33" s="4"/>
      <c r="B33" s="194"/>
      <c r="C33" s="58" t="s">
        <v>13</v>
      </c>
      <c r="D33" s="51">
        <f>1-D32</f>
        <v>0.7407407407407407</v>
      </c>
      <c r="E33" s="51">
        <f t="shared" ref="E33:M33" si="31">1-E32</f>
        <v>0.54869684499314131</v>
      </c>
      <c r="F33" s="51">
        <f t="shared" si="31"/>
        <v>0.40644210740232689</v>
      </c>
      <c r="G33" s="51">
        <f t="shared" ref="G33" si="32">1-G32</f>
        <v>0.30106822770542729</v>
      </c>
      <c r="H33" s="52">
        <f t="shared" si="31"/>
        <v>0.22301350200402026</v>
      </c>
      <c r="I33" s="51">
        <f t="shared" si="31"/>
        <v>0.16519518666964461</v>
      </c>
      <c r="J33" s="51">
        <f t="shared" si="31"/>
        <v>0.12236680494047747</v>
      </c>
      <c r="K33" s="51">
        <f t="shared" si="31"/>
        <v>9.0642077733687043E-2</v>
      </c>
      <c r="L33" s="51">
        <f t="shared" si="31"/>
        <v>6.7142279802731131E-2</v>
      </c>
      <c r="M33" s="51">
        <f t="shared" si="31"/>
        <v>4.9735022076097146E-2</v>
      </c>
      <c r="N33" s="4"/>
    </row>
    <row r="34" spans="1:14" ht="15" customHeight="1" x14ac:dyDescent="0.45">
      <c r="A34" s="4"/>
      <c r="B34" s="194"/>
      <c r="C34" s="56" t="s">
        <v>15</v>
      </c>
      <c r="D34" s="53">
        <f>D32</f>
        <v>0.25925925925925924</v>
      </c>
      <c r="E34" s="54">
        <f>E32-D32</f>
        <v>0.19204389574759945</v>
      </c>
      <c r="F34" s="54">
        <f>F32-E32</f>
        <v>0.14225473759081442</v>
      </c>
      <c r="G34" s="54">
        <f t="shared" ref="G34" si="33">G32-F32</f>
        <v>0.1053738796968996</v>
      </c>
      <c r="H34" s="54">
        <f t="shared" ref="H34" si="34">H32-G32</f>
        <v>7.8054725701407035E-2</v>
      </c>
      <c r="I34" s="54">
        <f t="shared" ref="I34" si="35">I32-H32</f>
        <v>5.7818315334375647E-2</v>
      </c>
      <c r="J34" s="54">
        <f t="shared" ref="J34" si="36">J32-I32</f>
        <v>4.2828381729167142E-2</v>
      </c>
      <c r="K34" s="54">
        <f t="shared" ref="K34" si="37">K32-J32</f>
        <v>3.1724727206790426E-2</v>
      </c>
      <c r="L34" s="54">
        <f t="shared" ref="L34" si="38">L32-K32</f>
        <v>2.3499797930955912E-2</v>
      </c>
      <c r="M34" s="54">
        <f t="shared" ref="M34" si="39">M32-L32</f>
        <v>1.7407257726633985E-2</v>
      </c>
      <c r="N34" s="4"/>
    </row>
    <row r="35" spans="1:14" ht="15" customHeight="1" x14ac:dyDescent="0.45">
      <c r="A35" s="4"/>
      <c r="B35" s="197"/>
      <c r="C35" s="56" t="s">
        <v>31</v>
      </c>
      <c r="D35" s="53"/>
      <c r="E35" s="54"/>
      <c r="F35" s="54"/>
      <c r="G35" s="54"/>
      <c r="H35" s="54">
        <f>SUM(D34:H34)/5</f>
        <v>0.15539729959919596</v>
      </c>
      <c r="I35" s="55"/>
      <c r="J35" s="55"/>
      <c r="K35" s="55"/>
      <c r="L35" s="55"/>
      <c r="M35" s="54">
        <f>SUM(D34:M34)/10</f>
        <v>9.502649779239028E-2</v>
      </c>
      <c r="N35" s="4"/>
    </row>
    <row r="36" spans="1:14" ht="15" customHeight="1" x14ac:dyDescent="0.45">
      <c r="A36" s="4"/>
      <c r="B36" s="194">
        <v>0.4</v>
      </c>
      <c r="C36" s="56" t="s">
        <v>0</v>
      </c>
      <c r="D36" s="47">
        <f>($D$4 * $B36) + $D$4</f>
        <v>140000</v>
      </c>
      <c r="E36" s="48">
        <f>(D36 * $B36) + D36</f>
        <v>196000</v>
      </c>
      <c r="F36" s="48">
        <f t="shared" ref="F36:M36" si="40">(E36 * $B36) + E36</f>
        <v>274400</v>
      </c>
      <c r="G36" s="48">
        <f t="shared" si="40"/>
        <v>384160</v>
      </c>
      <c r="H36" s="48">
        <f t="shared" si="40"/>
        <v>537824</v>
      </c>
      <c r="I36" s="48">
        <f t="shared" si="40"/>
        <v>752953.6</v>
      </c>
      <c r="J36" s="48">
        <f t="shared" si="40"/>
        <v>1054135.04</v>
      </c>
      <c r="K36" s="48">
        <f t="shared" si="40"/>
        <v>1475789.0560000001</v>
      </c>
      <c r="L36" s="48">
        <f t="shared" si="40"/>
        <v>2066104.6784000001</v>
      </c>
      <c r="M36" s="48">
        <f t="shared" si="40"/>
        <v>2892546.5497600003</v>
      </c>
      <c r="N36" s="4"/>
    </row>
    <row r="37" spans="1:14" ht="15" customHeight="1" x14ac:dyDescent="0.45">
      <c r="A37" s="4"/>
      <c r="B37" s="194"/>
      <c r="C37" s="56" t="s">
        <v>1</v>
      </c>
      <c r="D37" s="49">
        <f>D36*21000000</f>
        <v>2940000000000</v>
      </c>
      <c r="E37" s="50">
        <f t="shared" ref="E37:M37" si="41">E36*21000000</f>
        <v>4116000000000</v>
      </c>
      <c r="F37" s="50">
        <f t="shared" si="41"/>
        <v>5762400000000</v>
      </c>
      <c r="G37" s="50">
        <f t="shared" si="41"/>
        <v>8067360000000</v>
      </c>
      <c r="H37" s="50">
        <f t="shared" si="41"/>
        <v>11294304000000</v>
      </c>
      <c r="I37" s="50">
        <f t="shared" si="41"/>
        <v>15812025600000</v>
      </c>
      <c r="J37" s="50">
        <f t="shared" si="41"/>
        <v>22136835840000</v>
      </c>
      <c r="K37" s="50">
        <f t="shared" si="41"/>
        <v>30991570176000.004</v>
      </c>
      <c r="L37" s="50">
        <f t="shared" si="41"/>
        <v>43388198246400</v>
      </c>
      <c r="M37" s="50">
        <f t="shared" si="41"/>
        <v>60743477544960.008</v>
      </c>
      <c r="N37" s="4"/>
    </row>
    <row r="38" spans="1:14" ht="15" customHeight="1" x14ac:dyDescent="0.45">
      <c r="A38" s="4"/>
      <c r="B38" s="194"/>
      <c r="C38" s="58" t="s">
        <v>14</v>
      </c>
      <c r="D38" s="51">
        <f>( ( D36 - $D$4 ) ) / D36</f>
        <v>0.2857142857142857</v>
      </c>
      <c r="E38" s="51">
        <f t="shared" ref="E38:M38" si="42">( ( E36 - $D$4 ) ) / E36</f>
        <v>0.48979591836734693</v>
      </c>
      <c r="F38" s="51">
        <f t="shared" ref="F38" si="43">( ( F36 - $D$4 ) ) / F36</f>
        <v>0.63556851311953355</v>
      </c>
      <c r="G38" s="51">
        <f t="shared" si="42"/>
        <v>0.73969179508538108</v>
      </c>
      <c r="H38" s="52">
        <f t="shared" si="42"/>
        <v>0.81406556791812934</v>
      </c>
      <c r="I38" s="51">
        <f t="shared" si="42"/>
        <v>0.86718969137009239</v>
      </c>
      <c r="J38" s="51">
        <f t="shared" si="42"/>
        <v>0.90513549383578029</v>
      </c>
      <c r="K38" s="51">
        <f t="shared" si="42"/>
        <v>0.93223963845412883</v>
      </c>
      <c r="L38" s="51">
        <f t="shared" si="42"/>
        <v>0.95159974175294915</v>
      </c>
      <c r="M38" s="51">
        <f t="shared" si="42"/>
        <v>0.96542838696639222</v>
      </c>
      <c r="N38" s="4"/>
    </row>
    <row r="39" spans="1:14" ht="15" customHeight="1" x14ac:dyDescent="0.45">
      <c r="A39" s="4"/>
      <c r="B39" s="194"/>
      <c r="C39" s="58" t="s">
        <v>13</v>
      </c>
      <c r="D39" s="51">
        <f>1-D38</f>
        <v>0.7142857142857143</v>
      </c>
      <c r="E39" s="51">
        <f t="shared" ref="E39:M39" si="44">1-E38</f>
        <v>0.51020408163265307</v>
      </c>
      <c r="F39" s="51">
        <f t="shared" ref="F39" si="45">1-F38</f>
        <v>0.36443148688046645</v>
      </c>
      <c r="G39" s="51">
        <f t="shared" si="44"/>
        <v>0.26030820491461892</v>
      </c>
      <c r="H39" s="52">
        <f t="shared" si="44"/>
        <v>0.18593443208187066</v>
      </c>
      <c r="I39" s="51">
        <f t="shared" si="44"/>
        <v>0.13281030862990761</v>
      </c>
      <c r="J39" s="51">
        <f t="shared" si="44"/>
        <v>9.4864506164219708E-2</v>
      </c>
      <c r="K39" s="51">
        <f t="shared" si="44"/>
        <v>6.7760361545871173E-2</v>
      </c>
      <c r="L39" s="51">
        <f t="shared" si="44"/>
        <v>4.8400258247050854E-2</v>
      </c>
      <c r="M39" s="51">
        <f t="shared" si="44"/>
        <v>3.4571613033607784E-2</v>
      </c>
      <c r="N39" s="4"/>
    </row>
    <row r="40" spans="1:14" ht="15" customHeight="1" x14ac:dyDescent="0.45">
      <c r="A40" s="4"/>
      <c r="B40" s="194"/>
      <c r="C40" s="56" t="s">
        <v>15</v>
      </c>
      <c r="D40" s="53">
        <f>D38</f>
        <v>0.2857142857142857</v>
      </c>
      <c r="E40" s="54">
        <f>E38-D38</f>
        <v>0.20408163265306123</v>
      </c>
      <c r="F40" s="54">
        <f>F38-E38</f>
        <v>0.14577259475218662</v>
      </c>
      <c r="G40" s="54">
        <f t="shared" ref="G40" si="46">G38-F38</f>
        <v>0.10412328196584753</v>
      </c>
      <c r="H40" s="54">
        <f t="shared" ref="H40" si="47">H38-G38</f>
        <v>7.4373772832748264E-2</v>
      </c>
      <c r="I40" s="54">
        <f t="shared" ref="I40" si="48">I38-H38</f>
        <v>5.3124123451963046E-2</v>
      </c>
      <c r="J40" s="54">
        <f t="shared" ref="J40" si="49">J38-I38</f>
        <v>3.7945802465687906E-2</v>
      </c>
      <c r="K40" s="54">
        <f t="shared" ref="K40" si="50">K38-J38</f>
        <v>2.7104144618348536E-2</v>
      </c>
      <c r="L40" s="54">
        <f t="shared" ref="L40" si="51">L38-K38</f>
        <v>1.9360103298820319E-2</v>
      </c>
      <c r="M40" s="54">
        <f t="shared" ref="M40" si="52">M38-L38</f>
        <v>1.3828645213443069E-2</v>
      </c>
      <c r="N40" s="4"/>
    </row>
    <row r="41" spans="1:14" ht="15" customHeight="1" x14ac:dyDescent="0.45">
      <c r="A41" s="4"/>
      <c r="B41" s="195"/>
      <c r="C41" s="56" t="s">
        <v>31</v>
      </c>
      <c r="D41" s="53"/>
      <c r="E41" s="54"/>
      <c r="F41" s="54"/>
      <c r="G41" s="54"/>
      <c r="H41" s="54">
        <f>SUM(D40:H40)/5</f>
        <v>0.16281311358362588</v>
      </c>
      <c r="I41" s="55"/>
      <c r="J41" s="55"/>
      <c r="K41" s="55"/>
      <c r="L41" s="55"/>
      <c r="M41" s="54">
        <f>SUM(D40:M40)/10</f>
        <v>9.6542838696639224E-2</v>
      </c>
      <c r="N41" s="4"/>
    </row>
    <row r="42" spans="1:14" ht="15" customHeight="1" x14ac:dyDescent="0.45">
      <c r="A42" s="8"/>
      <c r="B42" s="1"/>
      <c r="C42" s="1"/>
      <c r="D42" s="1"/>
      <c r="E42" s="1"/>
      <c r="F42" s="1"/>
      <c r="G42" s="1"/>
      <c r="H42" s="1"/>
      <c r="I42" s="1"/>
      <c r="J42" s="1"/>
      <c r="K42" s="1"/>
      <c r="L42" s="1"/>
      <c r="M42" s="1"/>
      <c r="N42" s="8"/>
    </row>
  </sheetData>
  <mergeCells count="18">
    <mergeCell ref="B2:B8"/>
    <mergeCell ref="B36:B41"/>
    <mergeCell ref="B18:B23"/>
    <mergeCell ref="B24:B29"/>
    <mergeCell ref="B30:B35"/>
    <mergeCell ref="B12:B17"/>
    <mergeCell ref="J10:J11"/>
    <mergeCell ref="K10:K11"/>
    <mergeCell ref="L10:L11"/>
    <mergeCell ref="M10:M11"/>
    <mergeCell ref="C2:D3"/>
    <mergeCell ref="F2:I3"/>
    <mergeCell ref="H10:H11"/>
    <mergeCell ref="I10:I11"/>
    <mergeCell ref="D10:D11"/>
    <mergeCell ref="E10:E11"/>
    <mergeCell ref="F10:F11"/>
    <mergeCell ref="G10:G11"/>
  </mergeCells>
  <pageMargins left="0.7" right="0.7" top="0.75" bottom="0.75" header="0.3" footer="0.3"/>
  <pageSetup orientation="portrait" r:id="rId1"/>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9699-E675-4CCE-90DB-2112E8B3FDA9}">
  <dimension ref="A1:N44"/>
  <sheetViews>
    <sheetView zoomScaleNormal="100" workbookViewId="0">
      <selection activeCell="F31" sqref="F31"/>
    </sheetView>
  </sheetViews>
  <sheetFormatPr defaultColWidth="9" defaultRowHeight="14.25" x14ac:dyDescent="0.45"/>
  <cols>
    <col min="1" max="1" width="1.73046875" style="2" customWidth="1"/>
    <col min="2" max="2" width="23.86328125" style="2" bestFit="1" customWidth="1"/>
    <col min="3" max="3" width="21" style="2" bestFit="1" customWidth="1"/>
    <col min="4" max="5" width="15.265625" style="2" customWidth="1"/>
    <col min="6" max="8" width="16.73046875" style="2" customWidth="1"/>
    <col min="9" max="13" width="20.265625" style="2" customWidth="1"/>
    <col min="14" max="14" width="1.73046875" style="2" customWidth="1"/>
    <col min="15" max="16384" width="9" style="2"/>
  </cols>
  <sheetData>
    <row r="1" spans="1:14" x14ac:dyDescent="0.45">
      <c r="B1" s="8"/>
      <c r="C1" s="8"/>
      <c r="D1" s="8"/>
      <c r="E1" s="8"/>
      <c r="F1" s="8"/>
      <c r="G1" s="8"/>
      <c r="H1" s="8"/>
      <c r="I1" s="8"/>
      <c r="J1" s="8"/>
      <c r="K1" s="8"/>
      <c r="L1" s="8"/>
      <c r="M1" s="8"/>
      <c r="N1" s="8"/>
    </row>
    <row r="2" spans="1:14" ht="35.85" customHeight="1" x14ac:dyDescent="0.45">
      <c r="B2" s="200" t="s">
        <v>81</v>
      </c>
      <c r="C2" s="201"/>
      <c r="D2" s="201"/>
      <c r="E2" s="198" t="s">
        <v>21</v>
      </c>
      <c r="F2" s="93" t="s">
        <v>60</v>
      </c>
      <c r="G2" s="94" t="s">
        <v>61</v>
      </c>
      <c r="H2" s="94" t="s">
        <v>62</v>
      </c>
      <c r="I2" s="93" t="s">
        <v>60</v>
      </c>
      <c r="J2" s="93"/>
      <c r="K2" s="93"/>
      <c r="L2" s="93"/>
      <c r="M2" s="95"/>
      <c r="N2" s="8"/>
    </row>
    <row r="3" spans="1:14" ht="35.85" customHeight="1" x14ac:dyDescent="0.45">
      <c r="A3" s="8"/>
      <c r="B3" s="202"/>
      <c r="C3" s="203"/>
      <c r="D3" s="203"/>
      <c r="E3" s="199"/>
      <c r="F3" s="96" t="s">
        <v>65</v>
      </c>
      <c r="G3" s="97" t="s">
        <v>66</v>
      </c>
      <c r="H3" s="97" t="s">
        <v>66</v>
      </c>
      <c r="I3" s="96" t="s">
        <v>72</v>
      </c>
      <c r="J3" s="96" t="s">
        <v>73</v>
      </c>
      <c r="K3" s="96" t="s">
        <v>67</v>
      </c>
      <c r="L3" s="96" t="s">
        <v>68</v>
      </c>
      <c r="M3" s="98" t="s">
        <v>80</v>
      </c>
      <c r="N3" s="8"/>
    </row>
    <row r="4" spans="1:14" ht="18.399999999999999" customHeight="1" x14ac:dyDescent="0.45">
      <c r="A4" s="8"/>
      <c r="B4" s="89" t="s">
        <v>69</v>
      </c>
      <c r="C4" s="90" t="s">
        <v>115</v>
      </c>
      <c r="D4" s="90" t="s">
        <v>116</v>
      </c>
      <c r="E4" s="90" t="s">
        <v>74</v>
      </c>
      <c r="F4" s="90" t="s">
        <v>75</v>
      </c>
      <c r="G4" s="90" t="s">
        <v>76</v>
      </c>
      <c r="H4" s="90" t="s">
        <v>77</v>
      </c>
      <c r="I4" s="90" t="s">
        <v>70</v>
      </c>
      <c r="J4" s="90" t="s">
        <v>71</v>
      </c>
      <c r="K4" s="90" t="s">
        <v>63</v>
      </c>
      <c r="L4" s="90" t="s">
        <v>64</v>
      </c>
      <c r="M4" s="91" t="s">
        <v>78</v>
      </c>
      <c r="N4" s="8"/>
    </row>
    <row r="5" spans="1:14" x14ac:dyDescent="0.45">
      <c r="A5" s="8"/>
      <c r="B5" s="83" t="str">
        <f>"Bitcoin Long " &amp; E5 &amp; "X"</f>
        <v>Bitcoin Long 2X</v>
      </c>
      <c r="C5" s="85">
        <v>2.5000000000000001E-2</v>
      </c>
      <c r="D5" s="85" t="s">
        <v>79</v>
      </c>
      <c r="E5" s="84">
        <v>2</v>
      </c>
      <c r="F5" s="84">
        <v>1</v>
      </c>
      <c r="G5" s="84">
        <f t="shared" ref="G5:G9" si="0">F5</f>
        <v>1</v>
      </c>
      <c r="H5" s="84">
        <f>E5-F5-G5</f>
        <v>0</v>
      </c>
      <c r="I5" s="85">
        <f>F5/E5</f>
        <v>0.5</v>
      </c>
      <c r="J5" s="85">
        <f t="shared" ref="J5:J7" si="1">1-I5</f>
        <v>0.5</v>
      </c>
      <c r="K5" s="85">
        <f t="shared" ref="K5" si="2">G5/F5</f>
        <v>1</v>
      </c>
      <c r="L5" s="85">
        <f t="shared" ref="L5:L7" si="3">H5/F5</f>
        <v>0</v>
      </c>
      <c r="M5" s="86">
        <f t="shared" ref="M5:M7" si="4">K5+L5</f>
        <v>1</v>
      </c>
      <c r="N5" s="8"/>
    </row>
    <row r="6" spans="1:14" x14ac:dyDescent="0.45">
      <c r="A6" s="8"/>
      <c r="B6" s="83" t="str">
        <f t="shared" ref="B6:B41" si="5">"Bitcoin Long " &amp; E6 &amp; "X"</f>
        <v>Bitcoin Long 2.5X</v>
      </c>
      <c r="C6" s="85">
        <v>2.5000000000000001E-2</v>
      </c>
      <c r="D6" s="85">
        <v>7.4999999999999997E-2</v>
      </c>
      <c r="E6" s="84">
        <v>2.5</v>
      </c>
      <c r="F6" s="84">
        <v>1</v>
      </c>
      <c r="G6" s="84">
        <f t="shared" si="0"/>
        <v>1</v>
      </c>
      <c r="H6" s="84">
        <f t="shared" ref="H6:H9" si="6">E6-F6-G6</f>
        <v>0.5</v>
      </c>
      <c r="I6" s="85">
        <f t="shared" ref="I6:I9" si="7">F6/E6</f>
        <v>0.4</v>
      </c>
      <c r="J6" s="85">
        <f t="shared" si="1"/>
        <v>0.6</v>
      </c>
      <c r="K6" s="85">
        <f t="shared" ref="K6:K41" si="8">G6/F6</f>
        <v>1</v>
      </c>
      <c r="L6" s="85">
        <f t="shared" si="3"/>
        <v>0.5</v>
      </c>
      <c r="M6" s="86">
        <f t="shared" si="4"/>
        <v>1.5</v>
      </c>
      <c r="N6" s="8"/>
    </row>
    <row r="7" spans="1:14" x14ac:dyDescent="0.45">
      <c r="A7" s="8"/>
      <c r="B7" s="83" t="str">
        <f t="shared" si="5"/>
        <v>Bitcoin Long 3X</v>
      </c>
      <c r="C7" s="85">
        <v>2.5000000000000001E-2</v>
      </c>
      <c r="D7" s="85">
        <v>7.4999999999999997E-2</v>
      </c>
      <c r="E7" s="84">
        <v>3</v>
      </c>
      <c r="F7" s="84">
        <v>1</v>
      </c>
      <c r="G7" s="84">
        <f t="shared" si="0"/>
        <v>1</v>
      </c>
      <c r="H7" s="84">
        <f t="shared" si="6"/>
        <v>1</v>
      </c>
      <c r="I7" s="85">
        <f t="shared" si="7"/>
        <v>0.33333333333333331</v>
      </c>
      <c r="J7" s="85">
        <f t="shared" si="1"/>
        <v>0.66666666666666674</v>
      </c>
      <c r="K7" s="85">
        <f t="shared" si="8"/>
        <v>1</v>
      </c>
      <c r="L7" s="85">
        <f t="shared" si="3"/>
        <v>1</v>
      </c>
      <c r="M7" s="86">
        <f t="shared" si="4"/>
        <v>2</v>
      </c>
      <c r="N7" s="8"/>
    </row>
    <row r="8" spans="1:14" x14ac:dyDescent="0.45">
      <c r="A8" s="8"/>
      <c r="B8" s="83" t="str">
        <f t="shared" si="5"/>
        <v>Bitcoin Long 3.5X</v>
      </c>
      <c r="C8" s="85">
        <v>2.5000000000000001E-2</v>
      </c>
      <c r="D8" s="99">
        <v>7.4999999999999997E-2</v>
      </c>
      <c r="E8" s="83">
        <v>3.5</v>
      </c>
      <c r="F8" s="84">
        <v>1</v>
      </c>
      <c r="G8" s="84">
        <f t="shared" si="0"/>
        <v>1</v>
      </c>
      <c r="H8" s="84">
        <f t="shared" si="6"/>
        <v>1.5</v>
      </c>
      <c r="I8" s="85">
        <f t="shared" si="7"/>
        <v>0.2857142857142857</v>
      </c>
      <c r="J8" s="85">
        <f>1-I8</f>
        <v>0.7142857142857143</v>
      </c>
      <c r="K8" s="85">
        <f t="shared" si="8"/>
        <v>1</v>
      </c>
      <c r="L8" s="86">
        <f>H8/F8</f>
        <v>1.5</v>
      </c>
      <c r="M8" s="86">
        <f>K8+L8</f>
        <v>2.5</v>
      </c>
      <c r="N8" s="8"/>
    </row>
    <row r="9" spans="1:14" x14ac:dyDescent="0.45">
      <c r="A9" s="8"/>
      <c r="B9" s="83" t="str">
        <f t="shared" si="5"/>
        <v>Bitcoin Long 4X</v>
      </c>
      <c r="C9" s="85">
        <v>2.5000000000000001E-2</v>
      </c>
      <c r="D9" s="99">
        <v>7.4999999999999997E-2</v>
      </c>
      <c r="E9" s="83">
        <v>4</v>
      </c>
      <c r="F9" s="84">
        <v>1</v>
      </c>
      <c r="G9" s="84">
        <f t="shared" si="0"/>
        <v>1</v>
      </c>
      <c r="H9" s="84">
        <f t="shared" si="6"/>
        <v>2</v>
      </c>
      <c r="I9" s="85">
        <f t="shared" si="7"/>
        <v>0.25</v>
      </c>
      <c r="J9" s="85">
        <f t="shared" ref="J9:J41" si="9">1-I9</f>
        <v>0.75</v>
      </c>
      <c r="K9" s="85">
        <f t="shared" si="8"/>
        <v>1</v>
      </c>
      <c r="L9" s="86">
        <f t="shared" ref="L9:L41" si="10">H9/F9</f>
        <v>2</v>
      </c>
      <c r="M9" s="86">
        <f t="shared" ref="M9:M41" si="11">K9+L9</f>
        <v>3</v>
      </c>
      <c r="N9" s="8"/>
    </row>
    <row r="10" spans="1:14" x14ac:dyDescent="0.45">
      <c r="A10" s="8"/>
      <c r="B10" s="83" t="str">
        <f t="shared" si="5"/>
        <v>Bitcoin Long 4.5X</v>
      </c>
      <c r="C10" s="85">
        <v>2.5000000000000001E-2</v>
      </c>
      <c r="D10" s="99">
        <v>7.4999999999999997E-2</v>
      </c>
      <c r="E10" s="100">
        <v>4.5</v>
      </c>
      <c r="F10" s="100">
        <v>1</v>
      </c>
      <c r="G10" s="100">
        <f>F10</f>
        <v>1</v>
      </c>
      <c r="H10" s="100">
        <f>E10-F10-G10</f>
        <v>2.5</v>
      </c>
      <c r="I10" s="99">
        <f>F10/E10</f>
        <v>0.22222222222222221</v>
      </c>
      <c r="J10" s="85">
        <f t="shared" si="9"/>
        <v>0.77777777777777779</v>
      </c>
      <c r="K10" s="99">
        <f t="shared" si="8"/>
        <v>1</v>
      </c>
      <c r="L10" s="86">
        <f t="shared" si="10"/>
        <v>2.5</v>
      </c>
      <c r="M10" s="86">
        <f t="shared" si="11"/>
        <v>3.5</v>
      </c>
      <c r="N10" s="8"/>
    </row>
    <row r="11" spans="1:14" x14ac:dyDescent="0.45">
      <c r="A11" s="8"/>
      <c r="B11" s="83" t="str">
        <f t="shared" si="5"/>
        <v>Bitcoin Long 5X</v>
      </c>
      <c r="C11" s="85">
        <v>2.5000000000000001E-2</v>
      </c>
      <c r="D11" s="99">
        <v>7.4999999999999997E-2</v>
      </c>
      <c r="E11" s="100">
        <v>5</v>
      </c>
      <c r="F11" s="100">
        <v>1</v>
      </c>
      <c r="G11" s="100">
        <f t="shared" ref="G11:G41" si="12">F11</f>
        <v>1</v>
      </c>
      <c r="H11" s="100">
        <f t="shared" ref="H11:H41" si="13">E11-F11-G11</f>
        <v>3</v>
      </c>
      <c r="I11" s="99">
        <f t="shared" ref="I11:I41" si="14">F11/E11</f>
        <v>0.2</v>
      </c>
      <c r="J11" s="85">
        <f t="shared" si="9"/>
        <v>0.8</v>
      </c>
      <c r="K11" s="99">
        <f t="shared" si="8"/>
        <v>1</v>
      </c>
      <c r="L11" s="86">
        <f t="shared" si="10"/>
        <v>3</v>
      </c>
      <c r="M11" s="86">
        <f t="shared" si="11"/>
        <v>4</v>
      </c>
      <c r="N11" s="8"/>
    </row>
    <row r="12" spans="1:14" x14ac:dyDescent="0.45">
      <c r="A12" s="8"/>
      <c r="B12" s="111" t="str">
        <f t="shared" si="5"/>
        <v>Bitcoin Long 5.5X</v>
      </c>
      <c r="C12" s="54">
        <v>2.5000000000000001E-2</v>
      </c>
      <c r="D12" s="54">
        <v>7.4999999999999997E-2</v>
      </c>
      <c r="E12" s="87">
        <v>5.5</v>
      </c>
      <c r="F12" s="87">
        <v>1</v>
      </c>
      <c r="G12" s="87">
        <f t="shared" si="12"/>
        <v>1</v>
      </c>
      <c r="H12" s="87">
        <f t="shared" si="13"/>
        <v>3.5</v>
      </c>
      <c r="I12" s="54">
        <f t="shared" si="14"/>
        <v>0.18181818181818182</v>
      </c>
      <c r="J12" s="92">
        <f t="shared" si="9"/>
        <v>0.81818181818181812</v>
      </c>
      <c r="K12" s="54">
        <f t="shared" si="8"/>
        <v>1</v>
      </c>
      <c r="L12" s="53">
        <f t="shared" si="10"/>
        <v>3.5</v>
      </c>
      <c r="M12" s="53">
        <f t="shared" si="11"/>
        <v>4.5</v>
      </c>
      <c r="N12" s="8"/>
    </row>
    <row r="13" spans="1:14" x14ac:dyDescent="0.45">
      <c r="A13" s="8"/>
      <c r="B13" s="111" t="str">
        <f t="shared" si="5"/>
        <v>Bitcoin Long 6X</v>
      </c>
      <c r="C13" s="54">
        <v>2.5000000000000001E-2</v>
      </c>
      <c r="D13" s="54">
        <v>7.4999999999999997E-2</v>
      </c>
      <c r="E13" s="87">
        <v>6</v>
      </c>
      <c r="F13" s="87">
        <v>1</v>
      </c>
      <c r="G13" s="87">
        <f t="shared" si="12"/>
        <v>1</v>
      </c>
      <c r="H13" s="87">
        <f t="shared" si="13"/>
        <v>4</v>
      </c>
      <c r="I13" s="54">
        <f t="shared" si="14"/>
        <v>0.16666666666666666</v>
      </c>
      <c r="J13" s="92">
        <f t="shared" si="9"/>
        <v>0.83333333333333337</v>
      </c>
      <c r="K13" s="54">
        <f t="shared" si="8"/>
        <v>1</v>
      </c>
      <c r="L13" s="53">
        <f t="shared" si="10"/>
        <v>4</v>
      </c>
      <c r="M13" s="53">
        <f t="shared" si="11"/>
        <v>5</v>
      </c>
      <c r="N13" s="8"/>
    </row>
    <row r="14" spans="1:14" x14ac:dyDescent="0.45">
      <c r="A14" s="8"/>
      <c r="B14" s="111" t="str">
        <f t="shared" si="5"/>
        <v>Bitcoin Long 6.5X</v>
      </c>
      <c r="C14" s="54">
        <v>2.5000000000000001E-2</v>
      </c>
      <c r="D14" s="54">
        <v>7.4999999999999997E-2</v>
      </c>
      <c r="E14" s="87">
        <v>6.5</v>
      </c>
      <c r="F14" s="87">
        <v>1</v>
      </c>
      <c r="G14" s="87">
        <f t="shared" si="12"/>
        <v>1</v>
      </c>
      <c r="H14" s="87">
        <f t="shared" si="13"/>
        <v>4.5</v>
      </c>
      <c r="I14" s="54">
        <f t="shared" si="14"/>
        <v>0.15384615384615385</v>
      </c>
      <c r="J14" s="92">
        <f t="shared" si="9"/>
        <v>0.84615384615384615</v>
      </c>
      <c r="K14" s="54">
        <f t="shared" si="8"/>
        <v>1</v>
      </c>
      <c r="L14" s="53">
        <f t="shared" si="10"/>
        <v>4.5</v>
      </c>
      <c r="M14" s="53">
        <f t="shared" si="11"/>
        <v>5.5</v>
      </c>
      <c r="N14" s="8"/>
    </row>
    <row r="15" spans="1:14" x14ac:dyDescent="0.45">
      <c r="A15" s="8"/>
      <c r="B15" s="111" t="str">
        <f t="shared" si="5"/>
        <v>Bitcoin Long 7X</v>
      </c>
      <c r="C15" s="54">
        <v>2.5000000000000001E-2</v>
      </c>
      <c r="D15" s="54">
        <v>7.4999999999999997E-2</v>
      </c>
      <c r="E15" s="87">
        <v>7</v>
      </c>
      <c r="F15" s="87">
        <v>1</v>
      </c>
      <c r="G15" s="87">
        <f t="shared" si="12"/>
        <v>1</v>
      </c>
      <c r="H15" s="87">
        <f t="shared" si="13"/>
        <v>5</v>
      </c>
      <c r="I15" s="54">
        <f t="shared" si="14"/>
        <v>0.14285714285714285</v>
      </c>
      <c r="J15" s="92">
        <f t="shared" si="9"/>
        <v>0.85714285714285721</v>
      </c>
      <c r="K15" s="54">
        <f t="shared" si="8"/>
        <v>1</v>
      </c>
      <c r="L15" s="53">
        <f t="shared" si="10"/>
        <v>5</v>
      </c>
      <c r="M15" s="53">
        <f t="shared" si="11"/>
        <v>6</v>
      </c>
      <c r="N15" s="8"/>
    </row>
    <row r="16" spans="1:14" x14ac:dyDescent="0.45">
      <c r="A16" s="8"/>
      <c r="B16" s="111" t="str">
        <f t="shared" si="5"/>
        <v>Bitcoin Long 7.5X</v>
      </c>
      <c r="C16" s="54">
        <v>2.5000000000000001E-2</v>
      </c>
      <c r="D16" s="54">
        <v>7.4999999999999997E-2</v>
      </c>
      <c r="E16" s="87">
        <v>7.5</v>
      </c>
      <c r="F16" s="87">
        <v>1</v>
      </c>
      <c r="G16" s="87">
        <f t="shared" si="12"/>
        <v>1</v>
      </c>
      <c r="H16" s="87">
        <f t="shared" si="13"/>
        <v>5.5</v>
      </c>
      <c r="I16" s="54">
        <f t="shared" si="14"/>
        <v>0.13333333333333333</v>
      </c>
      <c r="J16" s="92">
        <f t="shared" si="9"/>
        <v>0.8666666666666667</v>
      </c>
      <c r="K16" s="54">
        <f t="shared" si="8"/>
        <v>1</v>
      </c>
      <c r="L16" s="53">
        <f t="shared" si="10"/>
        <v>5.5</v>
      </c>
      <c r="M16" s="53">
        <f t="shared" si="11"/>
        <v>6.5</v>
      </c>
      <c r="N16" s="8"/>
    </row>
    <row r="17" spans="1:14" x14ac:dyDescent="0.45">
      <c r="A17" s="8"/>
      <c r="B17" s="111" t="str">
        <f t="shared" si="5"/>
        <v>Bitcoin Long 8X</v>
      </c>
      <c r="C17" s="54">
        <v>2.5000000000000001E-2</v>
      </c>
      <c r="D17" s="54">
        <v>7.4999999999999997E-2</v>
      </c>
      <c r="E17" s="87">
        <v>8</v>
      </c>
      <c r="F17" s="87">
        <v>1</v>
      </c>
      <c r="G17" s="87">
        <f t="shared" si="12"/>
        <v>1</v>
      </c>
      <c r="H17" s="87">
        <f t="shared" si="13"/>
        <v>6</v>
      </c>
      <c r="I17" s="54">
        <f t="shared" si="14"/>
        <v>0.125</v>
      </c>
      <c r="J17" s="92">
        <f t="shared" si="9"/>
        <v>0.875</v>
      </c>
      <c r="K17" s="54">
        <f t="shared" si="8"/>
        <v>1</v>
      </c>
      <c r="L17" s="53">
        <f t="shared" si="10"/>
        <v>6</v>
      </c>
      <c r="M17" s="53">
        <f t="shared" si="11"/>
        <v>7</v>
      </c>
      <c r="N17" s="8"/>
    </row>
    <row r="18" spans="1:14" x14ac:dyDescent="0.45">
      <c r="A18" s="8"/>
      <c r="B18" s="111" t="str">
        <f t="shared" si="5"/>
        <v>Bitcoin Long 8.5X</v>
      </c>
      <c r="C18" s="54">
        <v>2.5000000000000001E-2</v>
      </c>
      <c r="D18" s="54">
        <v>7.4999999999999997E-2</v>
      </c>
      <c r="E18" s="87">
        <v>8.5</v>
      </c>
      <c r="F18" s="87">
        <v>1</v>
      </c>
      <c r="G18" s="87">
        <f t="shared" si="12"/>
        <v>1</v>
      </c>
      <c r="H18" s="87">
        <f t="shared" si="13"/>
        <v>6.5</v>
      </c>
      <c r="I18" s="54">
        <f t="shared" si="14"/>
        <v>0.11764705882352941</v>
      </c>
      <c r="J18" s="92">
        <f t="shared" si="9"/>
        <v>0.88235294117647056</v>
      </c>
      <c r="K18" s="54">
        <f t="shared" si="8"/>
        <v>1</v>
      </c>
      <c r="L18" s="53">
        <f t="shared" si="10"/>
        <v>6.5</v>
      </c>
      <c r="M18" s="53">
        <f t="shared" si="11"/>
        <v>7.5</v>
      </c>
      <c r="N18" s="8"/>
    </row>
    <row r="19" spans="1:14" x14ac:dyDescent="0.45">
      <c r="A19" s="8"/>
      <c r="B19" s="111" t="str">
        <f t="shared" si="5"/>
        <v>Bitcoin Long 9X</v>
      </c>
      <c r="C19" s="54">
        <v>2.5000000000000001E-2</v>
      </c>
      <c r="D19" s="54">
        <v>7.4999999999999997E-2</v>
      </c>
      <c r="E19" s="87">
        <v>9</v>
      </c>
      <c r="F19" s="87">
        <v>1</v>
      </c>
      <c r="G19" s="87">
        <f t="shared" si="12"/>
        <v>1</v>
      </c>
      <c r="H19" s="87">
        <f t="shared" si="13"/>
        <v>7</v>
      </c>
      <c r="I19" s="54">
        <f t="shared" si="14"/>
        <v>0.1111111111111111</v>
      </c>
      <c r="J19" s="92">
        <f t="shared" si="9"/>
        <v>0.88888888888888884</v>
      </c>
      <c r="K19" s="54">
        <f t="shared" si="8"/>
        <v>1</v>
      </c>
      <c r="L19" s="53">
        <f t="shared" si="10"/>
        <v>7</v>
      </c>
      <c r="M19" s="53">
        <f t="shared" si="11"/>
        <v>8</v>
      </c>
      <c r="N19" s="8"/>
    </row>
    <row r="20" spans="1:14" x14ac:dyDescent="0.45">
      <c r="A20" s="8"/>
      <c r="B20" s="111" t="str">
        <f t="shared" si="5"/>
        <v>Bitcoin Long 9.5X</v>
      </c>
      <c r="C20" s="54">
        <v>2.5000000000000001E-2</v>
      </c>
      <c r="D20" s="54">
        <v>7.4999999999999997E-2</v>
      </c>
      <c r="E20" s="87">
        <v>9.5</v>
      </c>
      <c r="F20" s="87">
        <v>1</v>
      </c>
      <c r="G20" s="87">
        <f t="shared" si="12"/>
        <v>1</v>
      </c>
      <c r="H20" s="87">
        <f t="shared" si="13"/>
        <v>7.5</v>
      </c>
      <c r="I20" s="54">
        <f t="shared" si="14"/>
        <v>0.10526315789473684</v>
      </c>
      <c r="J20" s="92">
        <f t="shared" si="9"/>
        <v>0.89473684210526316</v>
      </c>
      <c r="K20" s="54">
        <f t="shared" si="8"/>
        <v>1</v>
      </c>
      <c r="L20" s="53">
        <f t="shared" si="10"/>
        <v>7.5</v>
      </c>
      <c r="M20" s="53">
        <f t="shared" si="11"/>
        <v>8.5</v>
      </c>
      <c r="N20" s="8"/>
    </row>
    <row r="21" spans="1:14" x14ac:dyDescent="0.45">
      <c r="A21" s="8"/>
      <c r="B21" s="111" t="str">
        <f t="shared" si="5"/>
        <v>Bitcoin Long 10X</v>
      </c>
      <c r="C21" s="54">
        <v>2.5000000000000001E-2</v>
      </c>
      <c r="D21" s="54">
        <v>7.4999999999999997E-2</v>
      </c>
      <c r="E21" s="87">
        <v>10</v>
      </c>
      <c r="F21" s="87">
        <v>1</v>
      </c>
      <c r="G21" s="87">
        <f t="shared" si="12"/>
        <v>1</v>
      </c>
      <c r="H21" s="87">
        <f t="shared" si="13"/>
        <v>8</v>
      </c>
      <c r="I21" s="54">
        <f t="shared" si="14"/>
        <v>0.1</v>
      </c>
      <c r="J21" s="92">
        <f t="shared" si="9"/>
        <v>0.9</v>
      </c>
      <c r="K21" s="54">
        <f t="shared" si="8"/>
        <v>1</v>
      </c>
      <c r="L21" s="53">
        <f t="shared" si="10"/>
        <v>8</v>
      </c>
      <c r="M21" s="53">
        <f t="shared" si="11"/>
        <v>9</v>
      </c>
      <c r="N21" s="8"/>
    </row>
    <row r="22" spans="1:14" x14ac:dyDescent="0.45">
      <c r="A22" s="8"/>
      <c r="B22" s="111" t="str">
        <f t="shared" si="5"/>
        <v>Bitcoin Long 10.5X</v>
      </c>
      <c r="C22" s="54">
        <v>2.5000000000000001E-2</v>
      </c>
      <c r="D22" s="54">
        <v>7.4999999999999997E-2</v>
      </c>
      <c r="E22" s="87">
        <v>10.5</v>
      </c>
      <c r="F22" s="87">
        <v>1</v>
      </c>
      <c r="G22" s="87">
        <f t="shared" si="12"/>
        <v>1</v>
      </c>
      <c r="H22" s="87">
        <f t="shared" si="13"/>
        <v>8.5</v>
      </c>
      <c r="I22" s="54">
        <f t="shared" si="14"/>
        <v>9.5238095238095233E-2</v>
      </c>
      <c r="J22" s="92">
        <f t="shared" si="9"/>
        <v>0.90476190476190477</v>
      </c>
      <c r="K22" s="54">
        <f t="shared" si="8"/>
        <v>1</v>
      </c>
      <c r="L22" s="53">
        <f t="shared" si="10"/>
        <v>8.5</v>
      </c>
      <c r="M22" s="53">
        <f t="shared" si="11"/>
        <v>9.5</v>
      </c>
      <c r="N22" s="8"/>
    </row>
    <row r="23" spans="1:14" x14ac:dyDescent="0.45">
      <c r="A23" s="8"/>
      <c r="B23" s="111" t="str">
        <f t="shared" si="5"/>
        <v>Bitcoin Long 11X</v>
      </c>
      <c r="C23" s="54">
        <v>2.5000000000000001E-2</v>
      </c>
      <c r="D23" s="54">
        <v>7.4999999999999997E-2</v>
      </c>
      <c r="E23" s="87">
        <v>11</v>
      </c>
      <c r="F23" s="87">
        <v>1</v>
      </c>
      <c r="G23" s="87">
        <f t="shared" si="12"/>
        <v>1</v>
      </c>
      <c r="H23" s="87">
        <f t="shared" si="13"/>
        <v>9</v>
      </c>
      <c r="I23" s="54">
        <f t="shared" si="14"/>
        <v>9.0909090909090912E-2</v>
      </c>
      <c r="J23" s="92">
        <f t="shared" si="9"/>
        <v>0.90909090909090906</v>
      </c>
      <c r="K23" s="54">
        <f t="shared" si="8"/>
        <v>1</v>
      </c>
      <c r="L23" s="53">
        <f t="shared" si="10"/>
        <v>9</v>
      </c>
      <c r="M23" s="53">
        <f t="shared" si="11"/>
        <v>10</v>
      </c>
      <c r="N23" s="8"/>
    </row>
    <row r="24" spans="1:14" x14ac:dyDescent="0.45">
      <c r="A24" s="8"/>
      <c r="B24" s="111" t="str">
        <f t="shared" si="5"/>
        <v>Bitcoin Long 11.5X</v>
      </c>
      <c r="C24" s="54">
        <v>2.5000000000000001E-2</v>
      </c>
      <c r="D24" s="54">
        <v>7.4999999999999997E-2</v>
      </c>
      <c r="E24" s="87">
        <v>11.5</v>
      </c>
      <c r="F24" s="87">
        <v>1</v>
      </c>
      <c r="G24" s="87">
        <f t="shared" si="12"/>
        <v>1</v>
      </c>
      <c r="H24" s="87">
        <f t="shared" si="13"/>
        <v>9.5</v>
      </c>
      <c r="I24" s="54">
        <f t="shared" si="14"/>
        <v>8.6956521739130432E-2</v>
      </c>
      <c r="J24" s="92">
        <f t="shared" si="9"/>
        <v>0.91304347826086962</v>
      </c>
      <c r="K24" s="54">
        <f t="shared" si="8"/>
        <v>1</v>
      </c>
      <c r="L24" s="53">
        <f t="shared" si="10"/>
        <v>9.5</v>
      </c>
      <c r="M24" s="53">
        <f t="shared" si="11"/>
        <v>10.5</v>
      </c>
      <c r="N24" s="8"/>
    </row>
    <row r="25" spans="1:14" x14ac:dyDescent="0.45">
      <c r="A25" s="8"/>
      <c r="B25" s="111" t="str">
        <f t="shared" si="5"/>
        <v>Bitcoin Long 12X</v>
      </c>
      <c r="C25" s="54">
        <v>2.5000000000000001E-2</v>
      </c>
      <c r="D25" s="54">
        <v>7.4999999999999997E-2</v>
      </c>
      <c r="E25" s="87">
        <v>12</v>
      </c>
      <c r="F25" s="87">
        <v>1</v>
      </c>
      <c r="G25" s="87">
        <f t="shared" si="12"/>
        <v>1</v>
      </c>
      <c r="H25" s="87">
        <f t="shared" si="13"/>
        <v>10</v>
      </c>
      <c r="I25" s="54">
        <f t="shared" si="14"/>
        <v>8.3333333333333329E-2</v>
      </c>
      <c r="J25" s="92">
        <f t="shared" si="9"/>
        <v>0.91666666666666663</v>
      </c>
      <c r="K25" s="54">
        <f t="shared" si="8"/>
        <v>1</v>
      </c>
      <c r="L25" s="53">
        <f t="shared" si="10"/>
        <v>10</v>
      </c>
      <c r="M25" s="53">
        <f t="shared" si="11"/>
        <v>11</v>
      </c>
      <c r="N25" s="8"/>
    </row>
    <row r="26" spans="1:14" x14ac:dyDescent="0.45">
      <c r="A26" s="8"/>
      <c r="B26" s="111" t="str">
        <f t="shared" si="5"/>
        <v>Bitcoin Long 12.5X</v>
      </c>
      <c r="C26" s="54">
        <v>2.5000000000000001E-2</v>
      </c>
      <c r="D26" s="54">
        <v>7.4999999999999997E-2</v>
      </c>
      <c r="E26" s="87">
        <v>12.5</v>
      </c>
      <c r="F26" s="87">
        <v>1</v>
      </c>
      <c r="G26" s="87">
        <f t="shared" si="12"/>
        <v>1</v>
      </c>
      <c r="H26" s="87">
        <f t="shared" si="13"/>
        <v>10.5</v>
      </c>
      <c r="I26" s="54">
        <f t="shared" si="14"/>
        <v>0.08</v>
      </c>
      <c r="J26" s="92">
        <f t="shared" si="9"/>
        <v>0.92</v>
      </c>
      <c r="K26" s="54">
        <f t="shared" si="8"/>
        <v>1</v>
      </c>
      <c r="L26" s="53">
        <f t="shared" si="10"/>
        <v>10.5</v>
      </c>
      <c r="M26" s="53">
        <f t="shared" si="11"/>
        <v>11.5</v>
      </c>
      <c r="N26" s="8"/>
    </row>
    <row r="27" spans="1:14" x14ac:dyDescent="0.45">
      <c r="A27" s="8"/>
      <c r="B27" s="111" t="str">
        <f t="shared" si="5"/>
        <v>Bitcoin Long 13X</v>
      </c>
      <c r="C27" s="54">
        <v>2.5000000000000001E-2</v>
      </c>
      <c r="D27" s="54">
        <v>7.4999999999999997E-2</v>
      </c>
      <c r="E27" s="87">
        <v>13</v>
      </c>
      <c r="F27" s="87">
        <v>1</v>
      </c>
      <c r="G27" s="87">
        <f t="shared" si="12"/>
        <v>1</v>
      </c>
      <c r="H27" s="87">
        <f t="shared" si="13"/>
        <v>11</v>
      </c>
      <c r="I27" s="54">
        <f t="shared" si="14"/>
        <v>7.6923076923076927E-2</v>
      </c>
      <c r="J27" s="92">
        <f t="shared" si="9"/>
        <v>0.92307692307692313</v>
      </c>
      <c r="K27" s="54">
        <f t="shared" si="8"/>
        <v>1</v>
      </c>
      <c r="L27" s="53">
        <f t="shared" si="10"/>
        <v>11</v>
      </c>
      <c r="M27" s="53">
        <f t="shared" si="11"/>
        <v>12</v>
      </c>
      <c r="N27" s="8"/>
    </row>
    <row r="28" spans="1:14" x14ac:dyDescent="0.45">
      <c r="A28" s="8"/>
      <c r="B28" s="111" t="str">
        <f t="shared" si="5"/>
        <v>Bitcoin Long 13.5X</v>
      </c>
      <c r="C28" s="54">
        <v>2.5000000000000001E-2</v>
      </c>
      <c r="D28" s="54">
        <v>7.4999999999999997E-2</v>
      </c>
      <c r="E28" s="87">
        <v>13.5</v>
      </c>
      <c r="F28" s="87">
        <v>1</v>
      </c>
      <c r="G28" s="87">
        <f t="shared" si="12"/>
        <v>1</v>
      </c>
      <c r="H28" s="87">
        <f t="shared" si="13"/>
        <v>11.5</v>
      </c>
      <c r="I28" s="54">
        <f t="shared" si="14"/>
        <v>7.407407407407407E-2</v>
      </c>
      <c r="J28" s="92">
        <f t="shared" si="9"/>
        <v>0.92592592592592593</v>
      </c>
      <c r="K28" s="54">
        <f t="shared" si="8"/>
        <v>1</v>
      </c>
      <c r="L28" s="53">
        <f t="shared" si="10"/>
        <v>11.5</v>
      </c>
      <c r="M28" s="53">
        <f t="shared" si="11"/>
        <v>12.5</v>
      </c>
      <c r="N28" s="8"/>
    </row>
    <row r="29" spans="1:14" x14ac:dyDescent="0.45">
      <c r="A29" s="8"/>
      <c r="B29" s="111" t="str">
        <f t="shared" si="5"/>
        <v>Bitcoin Long 14X</v>
      </c>
      <c r="C29" s="54">
        <v>2.5000000000000001E-2</v>
      </c>
      <c r="D29" s="54">
        <v>7.4999999999999997E-2</v>
      </c>
      <c r="E29" s="87">
        <v>14</v>
      </c>
      <c r="F29" s="87">
        <v>1</v>
      </c>
      <c r="G29" s="87">
        <f t="shared" si="12"/>
        <v>1</v>
      </c>
      <c r="H29" s="87">
        <f t="shared" si="13"/>
        <v>12</v>
      </c>
      <c r="I29" s="54">
        <f t="shared" si="14"/>
        <v>7.1428571428571425E-2</v>
      </c>
      <c r="J29" s="92">
        <f t="shared" si="9"/>
        <v>0.9285714285714286</v>
      </c>
      <c r="K29" s="54">
        <f t="shared" si="8"/>
        <v>1</v>
      </c>
      <c r="L29" s="53">
        <f t="shared" si="10"/>
        <v>12</v>
      </c>
      <c r="M29" s="53">
        <f t="shared" si="11"/>
        <v>13</v>
      </c>
      <c r="N29" s="8"/>
    </row>
    <row r="30" spans="1:14" x14ac:dyDescent="0.45">
      <c r="A30" s="8"/>
      <c r="B30" s="111" t="str">
        <f t="shared" si="5"/>
        <v>Bitcoin Long 14.5X</v>
      </c>
      <c r="C30" s="54">
        <v>2.5000000000000001E-2</v>
      </c>
      <c r="D30" s="54">
        <v>7.4999999999999997E-2</v>
      </c>
      <c r="E30" s="87">
        <v>14.5</v>
      </c>
      <c r="F30" s="87">
        <v>1</v>
      </c>
      <c r="G30" s="87">
        <f t="shared" si="12"/>
        <v>1</v>
      </c>
      <c r="H30" s="87">
        <f t="shared" si="13"/>
        <v>12.5</v>
      </c>
      <c r="I30" s="54">
        <f t="shared" si="14"/>
        <v>6.8965517241379309E-2</v>
      </c>
      <c r="J30" s="92">
        <f t="shared" si="9"/>
        <v>0.93103448275862066</v>
      </c>
      <c r="K30" s="54">
        <f t="shared" si="8"/>
        <v>1</v>
      </c>
      <c r="L30" s="53">
        <f t="shared" si="10"/>
        <v>12.5</v>
      </c>
      <c r="M30" s="53">
        <f t="shared" si="11"/>
        <v>13.5</v>
      </c>
      <c r="N30" s="8"/>
    </row>
    <row r="31" spans="1:14" x14ac:dyDescent="0.45">
      <c r="A31" s="8"/>
      <c r="B31" s="111" t="str">
        <f t="shared" si="5"/>
        <v>Bitcoin Long 15X</v>
      </c>
      <c r="C31" s="54">
        <v>2.5000000000000001E-2</v>
      </c>
      <c r="D31" s="54">
        <v>7.4999999999999997E-2</v>
      </c>
      <c r="E31" s="87">
        <v>15</v>
      </c>
      <c r="F31" s="87">
        <v>1</v>
      </c>
      <c r="G31" s="87">
        <f t="shared" si="12"/>
        <v>1</v>
      </c>
      <c r="H31" s="87">
        <f t="shared" si="13"/>
        <v>13</v>
      </c>
      <c r="I31" s="54">
        <f t="shared" si="14"/>
        <v>6.6666666666666666E-2</v>
      </c>
      <c r="J31" s="92">
        <f t="shared" si="9"/>
        <v>0.93333333333333335</v>
      </c>
      <c r="K31" s="54">
        <f t="shared" si="8"/>
        <v>1</v>
      </c>
      <c r="L31" s="53">
        <f t="shared" si="10"/>
        <v>13</v>
      </c>
      <c r="M31" s="53">
        <f t="shared" si="11"/>
        <v>14</v>
      </c>
      <c r="N31" s="8"/>
    </row>
    <row r="32" spans="1:14" x14ac:dyDescent="0.45">
      <c r="A32" s="8"/>
      <c r="B32" s="111" t="str">
        <f t="shared" si="5"/>
        <v>Bitcoin Long 15.5X</v>
      </c>
      <c r="C32" s="54">
        <v>2.5000000000000001E-2</v>
      </c>
      <c r="D32" s="54">
        <v>7.4999999999999997E-2</v>
      </c>
      <c r="E32" s="87">
        <v>15.5</v>
      </c>
      <c r="F32" s="87">
        <v>1</v>
      </c>
      <c r="G32" s="87">
        <f t="shared" si="12"/>
        <v>1</v>
      </c>
      <c r="H32" s="87">
        <f t="shared" si="13"/>
        <v>13.5</v>
      </c>
      <c r="I32" s="54">
        <f t="shared" si="14"/>
        <v>6.4516129032258063E-2</v>
      </c>
      <c r="J32" s="92">
        <f t="shared" si="9"/>
        <v>0.93548387096774199</v>
      </c>
      <c r="K32" s="54">
        <f t="shared" si="8"/>
        <v>1</v>
      </c>
      <c r="L32" s="53">
        <f t="shared" si="10"/>
        <v>13.5</v>
      </c>
      <c r="M32" s="53">
        <f t="shared" si="11"/>
        <v>14.5</v>
      </c>
      <c r="N32" s="8"/>
    </row>
    <row r="33" spans="1:14" x14ac:dyDescent="0.45">
      <c r="A33" s="8"/>
      <c r="B33" s="111" t="str">
        <f t="shared" si="5"/>
        <v>Bitcoin Long 16X</v>
      </c>
      <c r="C33" s="54">
        <v>2.5000000000000001E-2</v>
      </c>
      <c r="D33" s="54">
        <v>7.4999999999999997E-2</v>
      </c>
      <c r="E33" s="87">
        <v>16</v>
      </c>
      <c r="F33" s="87">
        <v>1</v>
      </c>
      <c r="G33" s="87">
        <f t="shared" si="12"/>
        <v>1</v>
      </c>
      <c r="H33" s="87">
        <f t="shared" si="13"/>
        <v>14</v>
      </c>
      <c r="I33" s="54">
        <f t="shared" si="14"/>
        <v>6.25E-2</v>
      </c>
      <c r="J33" s="92">
        <f t="shared" si="9"/>
        <v>0.9375</v>
      </c>
      <c r="K33" s="54">
        <f t="shared" si="8"/>
        <v>1</v>
      </c>
      <c r="L33" s="53">
        <f t="shared" si="10"/>
        <v>14</v>
      </c>
      <c r="M33" s="53">
        <f t="shared" si="11"/>
        <v>15</v>
      </c>
      <c r="N33" s="8"/>
    </row>
    <row r="34" spans="1:14" x14ac:dyDescent="0.45">
      <c r="A34" s="8"/>
      <c r="B34" s="111" t="str">
        <f t="shared" si="5"/>
        <v>Bitcoin Long 16.5X</v>
      </c>
      <c r="C34" s="54">
        <v>2.5000000000000001E-2</v>
      </c>
      <c r="D34" s="54">
        <v>7.4999999999999997E-2</v>
      </c>
      <c r="E34" s="87">
        <v>16.5</v>
      </c>
      <c r="F34" s="87">
        <v>1</v>
      </c>
      <c r="G34" s="87">
        <f t="shared" si="12"/>
        <v>1</v>
      </c>
      <c r="H34" s="87">
        <f t="shared" si="13"/>
        <v>14.5</v>
      </c>
      <c r="I34" s="54">
        <f t="shared" si="14"/>
        <v>6.0606060606060608E-2</v>
      </c>
      <c r="J34" s="92">
        <f t="shared" si="9"/>
        <v>0.93939393939393945</v>
      </c>
      <c r="K34" s="54">
        <f t="shared" si="8"/>
        <v>1</v>
      </c>
      <c r="L34" s="53">
        <f t="shared" si="10"/>
        <v>14.5</v>
      </c>
      <c r="M34" s="53">
        <f t="shared" si="11"/>
        <v>15.5</v>
      </c>
      <c r="N34" s="8"/>
    </row>
    <row r="35" spans="1:14" x14ac:dyDescent="0.45">
      <c r="A35" s="8"/>
      <c r="B35" s="111" t="str">
        <f t="shared" si="5"/>
        <v>Bitcoin Long 17X</v>
      </c>
      <c r="C35" s="54">
        <v>2.5000000000000001E-2</v>
      </c>
      <c r="D35" s="54">
        <v>7.4999999999999997E-2</v>
      </c>
      <c r="E35" s="87">
        <v>17</v>
      </c>
      <c r="F35" s="87">
        <v>1</v>
      </c>
      <c r="G35" s="87">
        <f t="shared" si="12"/>
        <v>1</v>
      </c>
      <c r="H35" s="87">
        <f t="shared" si="13"/>
        <v>15</v>
      </c>
      <c r="I35" s="54">
        <f t="shared" si="14"/>
        <v>5.8823529411764705E-2</v>
      </c>
      <c r="J35" s="92">
        <f t="shared" si="9"/>
        <v>0.94117647058823528</v>
      </c>
      <c r="K35" s="54">
        <f t="shared" si="8"/>
        <v>1</v>
      </c>
      <c r="L35" s="53">
        <f t="shared" si="10"/>
        <v>15</v>
      </c>
      <c r="M35" s="53">
        <f t="shared" si="11"/>
        <v>16</v>
      </c>
      <c r="N35" s="8"/>
    </row>
    <row r="36" spans="1:14" x14ac:dyDescent="0.45">
      <c r="A36" s="8"/>
      <c r="B36" s="111" t="str">
        <f t="shared" si="5"/>
        <v>Bitcoin Long 17.5X</v>
      </c>
      <c r="C36" s="54">
        <v>2.5000000000000001E-2</v>
      </c>
      <c r="D36" s="54">
        <v>7.4999999999999997E-2</v>
      </c>
      <c r="E36" s="87">
        <v>17.5</v>
      </c>
      <c r="F36" s="87">
        <v>1</v>
      </c>
      <c r="G36" s="87">
        <f t="shared" si="12"/>
        <v>1</v>
      </c>
      <c r="H36" s="87">
        <f t="shared" si="13"/>
        <v>15.5</v>
      </c>
      <c r="I36" s="54">
        <f t="shared" si="14"/>
        <v>5.7142857142857141E-2</v>
      </c>
      <c r="J36" s="92">
        <f t="shared" si="9"/>
        <v>0.94285714285714284</v>
      </c>
      <c r="K36" s="54">
        <f t="shared" si="8"/>
        <v>1</v>
      </c>
      <c r="L36" s="53">
        <f t="shared" si="10"/>
        <v>15.5</v>
      </c>
      <c r="M36" s="53">
        <f t="shared" si="11"/>
        <v>16.5</v>
      </c>
      <c r="N36" s="8"/>
    </row>
    <row r="37" spans="1:14" x14ac:dyDescent="0.45">
      <c r="A37" s="8"/>
      <c r="B37" s="111" t="str">
        <f t="shared" si="5"/>
        <v>Bitcoin Long 18X</v>
      </c>
      <c r="C37" s="54">
        <v>2.5000000000000001E-2</v>
      </c>
      <c r="D37" s="54">
        <v>7.4999999999999997E-2</v>
      </c>
      <c r="E37" s="87">
        <v>18</v>
      </c>
      <c r="F37" s="87">
        <v>1</v>
      </c>
      <c r="G37" s="87">
        <f t="shared" si="12"/>
        <v>1</v>
      </c>
      <c r="H37" s="87">
        <f t="shared" si="13"/>
        <v>16</v>
      </c>
      <c r="I37" s="54">
        <f t="shared" si="14"/>
        <v>5.5555555555555552E-2</v>
      </c>
      <c r="J37" s="92">
        <f t="shared" si="9"/>
        <v>0.94444444444444442</v>
      </c>
      <c r="K37" s="54">
        <f t="shared" si="8"/>
        <v>1</v>
      </c>
      <c r="L37" s="53">
        <f t="shared" si="10"/>
        <v>16</v>
      </c>
      <c r="M37" s="53">
        <f t="shared" si="11"/>
        <v>17</v>
      </c>
      <c r="N37" s="8"/>
    </row>
    <row r="38" spans="1:14" x14ac:dyDescent="0.45">
      <c r="A38" s="8"/>
      <c r="B38" s="111" t="str">
        <f t="shared" si="5"/>
        <v>Bitcoin Long 18.5X</v>
      </c>
      <c r="C38" s="54">
        <v>2.5000000000000001E-2</v>
      </c>
      <c r="D38" s="54">
        <v>7.4999999999999997E-2</v>
      </c>
      <c r="E38" s="87">
        <v>18.5</v>
      </c>
      <c r="F38" s="87">
        <v>1</v>
      </c>
      <c r="G38" s="87">
        <f t="shared" si="12"/>
        <v>1</v>
      </c>
      <c r="H38" s="87">
        <f t="shared" si="13"/>
        <v>16.5</v>
      </c>
      <c r="I38" s="54">
        <f t="shared" si="14"/>
        <v>5.4054054054054057E-2</v>
      </c>
      <c r="J38" s="92">
        <f t="shared" si="9"/>
        <v>0.94594594594594594</v>
      </c>
      <c r="K38" s="54">
        <f t="shared" si="8"/>
        <v>1</v>
      </c>
      <c r="L38" s="53">
        <f t="shared" si="10"/>
        <v>16.5</v>
      </c>
      <c r="M38" s="53">
        <f t="shared" si="11"/>
        <v>17.5</v>
      </c>
      <c r="N38" s="8"/>
    </row>
    <row r="39" spans="1:14" x14ac:dyDescent="0.45">
      <c r="A39" s="8"/>
      <c r="B39" s="111" t="str">
        <f t="shared" si="5"/>
        <v>Bitcoin Long 19X</v>
      </c>
      <c r="C39" s="54">
        <v>2.5000000000000001E-2</v>
      </c>
      <c r="D39" s="54">
        <v>7.4999999999999997E-2</v>
      </c>
      <c r="E39" s="87">
        <v>19</v>
      </c>
      <c r="F39" s="87">
        <v>1</v>
      </c>
      <c r="G39" s="87">
        <f t="shared" si="12"/>
        <v>1</v>
      </c>
      <c r="H39" s="87">
        <f t="shared" si="13"/>
        <v>17</v>
      </c>
      <c r="I39" s="54">
        <f t="shared" si="14"/>
        <v>5.2631578947368418E-2</v>
      </c>
      <c r="J39" s="92">
        <f t="shared" si="9"/>
        <v>0.94736842105263164</v>
      </c>
      <c r="K39" s="54">
        <f t="shared" si="8"/>
        <v>1</v>
      </c>
      <c r="L39" s="53">
        <f t="shared" si="10"/>
        <v>17</v>
      </c>
      <c r="M39" s="53">
        <f t="shared" si="11"/>
        <v>18</v>
      </c>
      <c r="N39" s="8"/>
    </row>
    <row r="40" spans="1:14" x14ac:dyDescent="0.45">
      <c r="A40" s="8"/>
      <c r="B40" s="111" t="str">
        <f t="shared" si="5"/>
        <v>Bitcoin Long 19.5X</v>
      </c>
      <c r="C40" s="54">
        <v>2.5000000000000001E-2</v>
      </c>
      <c r="D40" s="54">
        <v>7.4999999999999997E-2</v>
      </c>
      <c r="E40" s="87">
        <v>19.5</v>
      </c>
      <c r="F40" s="87">
        <v>1</v>
      </c>
      <c r="G40" s="87">
        <f t="shared" si="12"/>
        <v>1</v>
      </c>
      <c r="H40" s="87">
        <f t="shared" si="13"/>
        <v>17.5</v>
      </c>
      <c r="I40" s="54">
        <f t="shared" si="14"/>
        <v>5.128205128205128E-2</v>
      </c>
      <c r="J40" s="92">
        <f t="shared" si="9"/>
        <v>0.94871794871794868</v>
      </c>
      <c r="K40" s="54">
        <f t="shared" si="8"/>
        <v>1</v>
      </c>
      <c r="L40" s="53">
        <f t="shared" si="10"/>
        <v>17.5</v>
      </c>
      <c r="M40" s="53">
        <f t="shared" si="11"/>
        <v>18.5</v>
      </c>
      <c r="N40" s="8"/>
    </row>
    <row r="41" spans="1:14" x14ac:dyDescent="0.45">
      <c r="A41" s="8"/>
      <c r="B41" s="111" t="str">
        <f t="shared" si="5"/>
        <v>Bitcoin Long 20X</v>
      </c>
      <c r="C41" s="54">
        <v>2.5000000000000001E-2</v>
      </c>
      <c r="D41" s="54">
        <v>7.4999999999999997E-2</v>
      </c>
      <c r="E41" s="87">
        <v>20</v>
      </c>
      <c r="F41" s="87">
        <v>1</v>
      </c>
      <c r="G41" s="87">
        <f t="shared" si="12"/>
        <v>1</v>
      </c>
      <c r="H41" s="87">
        <f t="shared" si="13"/>
        <v>18</v>
      </c>
      <c r="I41" s="54">
        <f t="shared" si="14"/>
        <v>0.05</v>
      </c>
      <c r="J41" s="92">
        <f t="shared" si="9"/>
        <v>0.95</v>
      </c>
      <c r="K41" s="54">
        <f t="shared" si="8"/>
        <v>1</v>
      </c>
      <c r="L41" s="53">
        <f t="shared" si="10"/>
        <v>18</v>
      </c>
      <c r="M41" s="53">
        <f t="shared" si="11"/>
        <v>19</v>
      </c>
      <c r="N41" s="8"/>
    </row>
    <row r="42" spans="1:14" x14ac:dyDescent="0.45">
      <c r="A42" s="8"/>
      <c r="B42" s="3"/>
      <c r="C42" s="3"/>
      <c r="D42" s="3"/>
      <c r="E42" s="3"/>
      <c r="F42" s="3"/>
      <c r="G42" s="3"/>
      <c r="H42" s="3"/>
      <c r="I42" s="88"/>
      <c r="J42" s="88"/>
      <c r="K42" s="88"/>
      <c r="L42" s="88"/>
      <c r="M42" s="88"/>
      <c r="N42" s="8"/>
    </row>
    <row r="43" spans="1:14" x14ac:dyDescent="0.45">
      <c r="I43" s="12"/>
      <c r="J43" s="12"/>
      <c r="K43" s="12"/>
      <c r="L43" s="12"/>
      <c r="M43" s="12"/>
    </row>
    <row r="44" spans="1:14" x14ac:dyDescent="0.45">
      <c r="I44" s="12"/>
      <c r="J44" s="12"/>
      <c r="K44" s="12"/>
      <c r="L44" s="12"/>
      <c r="M44" s="12"/>
    </row>
  </sheetData>
  <mergeCells count="2">
    <mergeCell ref="E2:E3"/>
    <mergeCell ref="B2:D3"/>
  </mergeCells>
  <pageMargins left="0.7" right="0.7" top="0.75" bottom="0.75" header="0.3" footer="0.3"/>
  <pageSetup orientation="portrait" r:id="rId1"/>
  <headerFooter>
    <oddHeader>&amp;R&amp;"Aptos"&amp;12&amp;K000000 Unclassified / Non 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1D391-1D31-44B7-B5DC-9ADCDD76FB9E}">
  <dimension ref="B1:F11"/>
  <sheetViews>
    <sheetView zoomScaleNormal="100" workbookViewId="0">
      <selection activeCell="D10" sqref="D10"/>
    </sheetView>
  </sheetViews>
  <sheetFormatPr defaultColWidth="9" defaultRowHeight="33.950000000000003" customHeight="1" x14ac:dyDescent="0.45"/>
  <cols>
    <col min="1" max="1" width="1.86328125" style="106" customWidth="1"/>
    <col min="2" max="2" width="16.73046875" style="105" customWidth="1"/>
    <col min="3" max="3" width="20.265625" style="106" customWidth="1"/>
    <col min="4" max="4" width="40.1328125" style="106" bestFit="1" customWidth="1"/>
    <col min="5" max="5" width="42.1328125" style="106" bestFit="1" customWidth="1"/>
    <col min="6" max="6" width="127.1328125" style="106" customWidth="1"/>
    <col min="7" max="8" width="24.86328125" style="106" customWidth="1"/>
    <col min="9" max="16384" width="9" style="106"/>
  </cols>
  <sheetData>
    <row r="1" spans="2:6" s="102" customFormat="1" ht="33.950000000000003" customHeight="1" x14ac:dyDescent="0.9">
      <c r="B1" s="101"/>
      <c r="C1" s="243" t="s">
        <v>123</v>
      </c>
      <c r="D1" s="108"/>
      <c r="F1" s="110"/>
    </row>
    <row r="2" spans="2:6" s="104" customFormat="1" ht="33.950000000000003" customHeight="1" x14ac:dyDescent="0.45">
      <c r="B2" s="103"/>
      <c r="C2" s="244" t="s">
        <v>163</v>
      </c>
      <c r="F2" s="109"/>
    </row>
    <row r="3" spans="2:6" ht="56.25" customHeight="1" thickBot="1" x14ac:dyDescent="0.5">
      <c r="B3" s="112"/>
      <c r="C3" s="122" t="s">
        <v>83</v>
      </c>
      <c r="D3" s="123" t="s">
        <v>105</v>
      </c>
      <c r="E3" s="123" t="s">
        <v>104</v>
      </c>
      <c r="F3" s="123" t="s">
        <v>111</v>
      </c>
    </row>
    <row r="4" spans="2:6" ht="55.5" customHeight="1" thickTop="1" thickBot="1" x14ac:dyDescent="0.5">
      <c r="B4" s="116"/>
      <c r="C4" s="124" t="s">
        <v>100</v>
      </c>
      <c r="D4" s="117" t="s">
        <v>103</v>
      </c>
      <c r="E4" s="117" t="s">
        <v>99</v>
      </c>
      <c r="F4" s="113" t="s">
        <v>113</v>
      </c>
    </row>
    <row r="5" spans="2:6" ht="89.45" customHeight="1" thickBot="1" x14ac:dyDescent="0.5">
      <c r="B5" s="118"/>
      <c r="C5" s="125" t="s">
        <v>86</v>
      </c>
      <c r="D5" s="119" t="s">
        <v>93</v>
      </c>
      <c r="E5" s="119" t="s">
        <v>94</v>
      </c>
      <c r="F5" s="114" t="s">
        <v>109</v>
      </c>
    </row>
    <row r="6" spans="2:6" ht="89.45" customHeight="1" thickBot="1" x14ac:dyDescent="0.5">
      <c r="B6" s="118"/>
      <c r="C6" s="125" t="s">
        <v>87</v>
      </c>
      <c r="D6" s="119" t="s">
        <v>84</v>
      </c>
      <c r="E6" s="119" t="s">
        <v>85</v>
      </c>
      <c r="F6" s="114" t="s">
        <v>106</v>
      </c>
    </row>
    <row r="7" spans="2:6" ht="55.5" customHeight="1" thickBot="1" x14ac:dyDescent="0.5">
      <c r="B7" s="118"/>
      <c r="C7" s="125" t="s">
        <v>90</v>
      </c>
      <c r="D7" s="119" t="s">
        <v>84</v>
      </c>
      <c r="E7" s="119" t="s">
        <v>85</v>
      </c>
      <c r="F7" s="204" t="s">
        <v>169</v>
      </c>
    </row>
    <row r="8" spans="2:6" ht="55.5" customHeight="1" thickBot="1" x14ac:dyDescent="0.5">
      <c r="B8" s="207" t="s">
        <v>102</v>
      </c>
      <c r="C8" s="207"/>
      <c r="D8" s="119" t="s">
        <v>88</v>
      </c>
      <c r="E8" s="119" t="s">
        <v>89</v>
      </c>
      <c r="F8" s="205"/>
    </row>
    <row r="9" spans="2:6" ht="55.5" customHeight="1" thickBot="1" x14ac:dyDescent="0.5">
      <c r="B9" s="118"/>
      <c r="C9" s="125" t="s">
        <v>96</v>
      </c>
      <c r="D9" s="119" t="s">
        <v>91</v>
      </c>
      <c r="E9" s="119" t="s">
        <v>92</v>
      </c>
      <c r="F9" s="206"/>
    </row>
    <row r="10" spans="2:6" ht="89.25" customHeight="1" thickBot="1" x14ac:dyDescent="0.5">
      <c r="B10" s="120"/>
      <c r="C10" s="126" t="s">
        <v>97</v>
      </c>
      <c r="D10" s="121" t="s">
        <v>95</v>
      </c>
      <c r="E10" s="115" t="s">
        <v>110</v>
      </c>
      <c r="F10" s="114" t="s">
        <v>108</v>
      </c>
    </row>
    <row r="11" spans="2:6" ht="67.5" customHeight="1" x14ac:dyDescent="0.45">
      <c r="B11" s="208" t="s">
        <v>101</v>
      </c>
      <c r="C11" s="208"/>
      <c r="D11" s="121" t="s">
        <v>98</v>
      </c>
      <c r="E11" s="115" t="s">
        <v>112</v>
      </c>
      <c r="F11" s="115" t="s">
        <v>107</v>
      </c>
    </row>
  </sheetData>
  <mergeCells count="3">
    <mergeCell ref="F7:F9"/>
    <mergeCell ref="B8:C8"/>
    <mergeCell ref="B11:C11"/>
  </mergeCells>
  <phoneticPr fontId="19" type="noConversion"/>
  <pageMargins left="0.7" right="0.7" top="0.75" bottom="0.75" header="0.3" footer="0.3"/>
  <pageSetup orientation="portrait" r:id="rId1"/>
  <headerFooter>
    <oddHeader>&amp;R&amp;"Aptos"&amp;12&amp;K000000 Unclassified / Non classifié&amp;1#_x000D_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A39B-3356-48FD-B060-591F10C2E8BF}">
  <dimension ref="B1:S23"/>
  <sheetViews>
    <sheetView tabSelected="1" zoomScaleNormal="100" workbookViewId="0"/>
  </sheetViews>
  <sheetFormatPr defaultColWidth="9" defaultRowHeight="33.950000000000003" customHeight="1" x14ac:dyDescent="0.45"/>
  <cols>
    <col min="1" max="1" width="4.3984375" style="106" customWidth="1"/>
    <col min="2" max="2" width="31.6640625" style="105" customWidth="1"/>
    <col min="3" max="3" width="24" style="105" customWidth="1"/>
    <col min="4" max="4" width="25.86328125" style="106" customWidth="1"/>
    <col min="5" max="5" width="2.33203125" style="106" customWidth="1"/>
    <col min="6" max="6" width="21" style="106" customWidth="1"/>
    <col min="7" max="7" width="2.33203125" style="106" customWidth="1"/>
    <col min="8" max="8" width="21" style="106" customWidth="1"/>
    <col min="9" max="9" width="2.33203125" style="106" customWidth="1"/>
    <col min="10" max="10" width="21" style="106" customWidth="1"/>
    <col min="11" max="11" width="2.33203125" style="106" customWidth="1"/>
    <col min="12" max="12" width="21" style="106" customWidth="1"/>
    <col min="13" max="13" width="2.33203125" style="106" customWidth="1"/>
    <col min="14" max="14" width="21" style="106" customWidth="1"/>
    <col min="15" max="15" width="2.33203125" style="106" customWidth="1"/>
    <col min="16" max="16" width="21" style="106" customWidth="1"/>
    <col min="17" max="17" width="2.33203125" style="106" customWidth="1"/>
    <col min="18" max="18" width="21" style="106" customWidth="1"/>
    <col min="19" max="23" width="21.06640625" style="106" customWidth="1"/>
    <col min="24" max="16384" width="9" style="106"/>
  </cols>
  <sheetData>
    <row r="1" spans="2:19" ht="9.75" customHeight="1" x14ac:dyDescent="0.45"/>
    <row r="2" spans="2:19" s="102" customFormat="1" ht="29.25" x14ac:dyDescent="0.45">
      <c r="B2" s="229" t="s">
        <v>123</v>
      </c>
      <c r="C2" s="229"/>
      <c r="E2" s="137"/>
      <c r="R2" s="135" t="s">
        <v>82</v>
      </c>
    </row>
    <row r="3" spans="2:19" s="104" customFormat="1" ht="22.5" customHeight="1" x14ac:dyDescent="0.65">
      <c r="B3" s="230" t="s">
        <v>163</v>
      </c>
      <c r="C3" s="230"/>
      <c r="E3" s="136"/>
      <c r="R3" s="145">
        <v>46071</v>
      </c>
    </row>
    <row r="4" spans="2:19" s="104" customFormat="1" ht="10.5" customHeight="1" x14ac:dyDescent="0.65">
      <c r="B4" s="138"/>
      <c r="C4" s="138"/>
      <c r="D4" s="110"/>
      <c r="E4" s="110"/>
      <c r="R4" s="128"/>
      <c r="S4" s="135"/>
    </row>
    <row r="5" spans="2:19" s="107" customFormat="1" ht="31.15" customHeight="1" x14ac:dyDescent="0.65">
      <c r="B5" s="231" t="s">
        <v>167</v>
      </c>
      <c r="C5" s="231" t="s">
        <v>168</v>
      </c>
      <c r="D5" s="224"/>
      <c r="F5" s="222" t="s">
        <v>162</v>
      </c>
      <c r="H5" s="214" t="s">
        <v>159</v>
      </c>
      <c r="I5" s="215"/>
      <c r="J5" s="216"/>
      <c r="K5" s="213"/>
      <c r="L5" s="214" t="s">
        <v>160</v>
      </c>
      <c r="M5" s="215"/>
      <c r="N5" s="216"/>
      <c r="O5" s="213"/>
      <c r="P5" s="214" t="s">
        <v>161</v>
      </c>
      <c r="Q5" s="215"/>
      <c r="R5" s="216"/>
      <c r="S5" s="135"/>
    </row>
    <row r="6" spans="2:19" s="107" customFormat="1" ht="50.25" customHeight="1" thickBot="1" x14ac:dyDescent="0.5">
      <c r="B6" s="231"/>
      <c r="C6" s="231"/>
      <c r="D6" s="224"/>
      <c r="F6" s="223"/>
      <c r="G6" s="212"/>
      <c r="H6" s="232">
        <v>0.28999999999999998</v>
      </c>
      <c r="I6" s="233"/>
      <c r="J6" s="234"/>
      <c r="K6" s="235"/>
      <c r="L6" s="236">
        <v>0.02</v>
      </c>
      <c r="M6" s="237"/>
      <c r="N6" s="238"/>
      <c r="O6" s="239"/>
      <c r="P6" s="236">
        <v>0.01</v>
      </c>
      <c r="Q6" s="237"/>
      <c r="R6" s="238"/>
      <c r="S6" s="135"/>
    </row>
    <row r="7" spans="2:19" s="104" customFormat="1" ht="17.649999999999999" customHeight="1" x14ac:dyDescent="0.65">
      <c r="B7" s="138"/>
      <c r="C7" s="138"/>
      <c r="D7" s="110"/>
      <c r="E7" s="110"/>
      <c r="R7" s="128"/>
      <c r="S7" s="135"/>
    </row>
    <row r="8" spans="2:19" ht="30" customHeight="1" thickBot="1" x14ac:dyDescent="0.5">
      <c r="B8" s="240" t="s">
        <v>152</v>
      </c>
      <c r="C8" s="240"/>
      <c r="D8" s="218"/>
      <c r="E8" s="140"/>
      <c r="F8" s="241" t="s">
        <v>151</v>
      </c>
      <c r="G8" s="241"/>
      <c r="H8" s="241" t="s">
        <v>153</v>
      </c>
      <c r="I8" s="241"/>
      <c r="J8" s="241" t="s">
        <v>154</v>
      </c>
      <c r="K8" s="241"/>
      <c r="L8" s="241" t="s">
        <v>155</v>
      </c>
      <c r="M8" s="241"/>
      <c r="N8" s="241" t="s">
        <v>156</v>
      </c>
      <c r="O8" s="241"/>
      <c r="P8" s="241" t="s">
        <v>157</v>
      </c>
      <c r="Q8" s="241"/>
      <c r="R8" s="241" t="s">
        <v>158</v>
      </c>
      <c r="S8" s="129"/>
    </row>
    <row r="9" spans="2:19" ht="30" customHeight="1" x14ac:dyDescent="0.45">
      <c r="B9" s="209" t="s">
        <v>150</v>
      </c>
      <c r="C9" s="209"/>
      <c r="D9" s="217" t="s">
        <v>147</v>
      </c>
      <c r="E9" s="210"/>
      <c r="F9" s="211">
        <v>1</v>
      </c>
      <c r="G9" s="211"/>
      <c r="H9" s="211">
        <v>1</v>
      </c>
      <c r="I9" s="211"/>
      <c r="J9" s="211">
        <v>1</v>
      </c>
      <c r="K9" s="211"/>
      <c r="L9" s="211">
        <v>1</v>
      </c>
      <c r="M9" s="211"/>
      <c r="N9" s="211">
        <v>1</v>
      </c>
      <c r="O9" s="211"/>
      <c r="P9" s="211">
        <v>1</v>
      </c>
      <c r="Q9" s="211"/>
      <c r="R9" s="211">
        <v>1</v>
      </c>
      <c r="S9" s="129"/>
    </row>
    <row r="10" spans="2:19" ht="30" customHeight="1" thickBot="1" x14ac:dyDescent="0.5">
      <c r="B10" s="209"/>
      <c r="C10" s="209"/>
      <c r="D10" s="217" t="s">
        <v>148</v>
      </c>
      <c r="E10" s="210"/>
      <c r="F10" s="131">
        <v>0</v>
      </c>
      <c r="G10" s="131"/>
      <c r="H10" s="131">
        <v>0.5</v>
      </c>
      <c r="I10" s="131"/>
      <c r="J10" s="131">
        <v>1</v>
      </c>
      <c r="K10" s="131"/>
      <c r="L10" s="131">
        <v>1.5</v>
      </c>
      <c r="M10" s="131"/>
      <c r="N10" s="131">
        <v>2</v>
      </c>
      <c r="O10" s="131"/>
      <c r="P10" s="131">
        <v>2.5</v>
      </c>
      <c r="Q10" s="131"/>
      <c r="R10" s="131">
        <v>3</v>
      </c>
      <c r="S10" s="129"/>
    </row>
    <row r="11" spans="2:19" ht="30" customHeight="1" x14ac:dyDescent="0.45">
      <c r="B11" s="146" t="s">
        <v>164</v>
      </c>
      <c r="C11" s="146"/>
      <c r="D11" s="219" t="s">
        <v>145</v>
      </c>
      <c r="E11" s="141"/>
      <c r="F11" s="130">
        <f>'2X'!I24</f>
        <v>0.14401374161280572</v>
      </c>
      <c r="G11" s="130"/>
      <c r="H11" s="130">
        <f>'2.5X'!I24</f>
        <v>0.21602061241920864</v>
      </c>
      <c r="I11" s="130"/>
      <c r="J11" s="130">
        <f>'3X'!I24</f>
        <v>0.28802748322561145</v>
      </c>
      <c r="K11" s="130"/>
      <c r="L11" s="130">
        <f>'3.5X'!I24</f>
        <v>0.36003435403201434</v>
      </c>
      <c r="M11" s="130"/>
      <c r="N11" s="130">
        <f>'4X'!I24</f>
        <v>0.43204122483841728</v>
      </c>
      <c r="O11" s="130"/>
      <c r="P11" s="130">
        <f>'4.5X'!I24</f>
        <v>0.50404809564482012</v>
      </c>
      <c r="Q11" s="130"/>
      <c r="R11" s="130">
        <f>'5X'!I24</f>
        <v>0.57605496645122289</v>
      </c>
    </row>
    <row r="12" spans="2:19" ht="30" customHeight="1" x14ac:dyDescent="0.45">
      <c r="B12" s="209"/>
      <c r="C12" s="209"/>
      <c r="D12" s="220" t="s">
        <v>144</v>
      </c>
      <c r="E12" s="142"/>
      <c r="F12" s="132">
        <f>'2X'!I26</f>
        <v>2.9931982180193495E-2</v>
      </c>
      <c r="G12" s="132"/>
      <c r="H12" s="132">
        <f>'2.5X'!I26</f>
        <v>3.9931982180193497E-2</v>
      </c>
      <c r="I12" s="132"/>
      <c r="J12" s="132">
        <f>'3X'!I26</f>
        <v>4.9931982180193499E-2</v>
      </c>
      <c r="K12" s="132"/>
      <c r="L12" s="132">
        <f>'3.5X'!I26</f>
        <v>5.9931982180193501E-2</v>
      </c>
      <c r="M12" s="132"/>
      <c r="N12" s="132">
        <f>'4X'!I26</f>
        <v>6.9931982180193503E-2</v>
      </c>
      <c r="O12" s="132"/>
      <c r="P12" s="132">
        <f>'4.5X'!I26</f>
        <v>7.9931982180193512E-2</v>
      </c>
      <c r="Q12" s="132"/>
      <c r="R12" s="132">
        <f>'5X'!I26</f>
        <v>8.9931982180193507E-2</v>
      </c>
    </row>
    <row r="13" spans="2:19" ht="30" customHeight="1" x14ac:dyDescent="0.45">
      <c r="B13" s="209"/>
      <c r="C13" s="209"/>
      <c r="D13" s="220" t="s">
        <v>143</v>
      </c>
      <c r="E13" s="142"/>
      <c r="F13" s="132">
        <f>'2X'!I29</f>
        <v>1.4965991090096747E-2</v>
      </c>
      <c r="G13" s="132"/>
      <c r="H13" s="132">
        <f>'2.5X'!I29</f>
        <v>1.9965991090096748E-2</v>
      </c>
      <c r="I13" s="132"/>
      <c r="J13" s="132">
        <f>'3X'!I29</f>
        <v>2.4965991090096749E-2</v>
      </c>
      <c r="K13" s="132"/>
      <c r="L13" s="132">
        <f>'3.5X'!I29</f>
        <v>2.996599109009675E-2</v>
      </c>
      <c r="M13" s="132"/>
      <c r="N13" s="132">
        <f>'4X'!I29</f>
        <v>3.4965991090096751E-2</v>
      </c>
      <c r="O13" s="132"/>
      <c r="P13" s="132">
        <f>'4.5X'!I29</f>
        <v>3.9965991090096756E-2</v>
      </c>
      <c r="Q13" s="132"/>
      <c r="R13" s="132">
        <f>'5X'!I29</f>
        <v>4.4965991090096753E-2</v>
      </c>
    </row>
    <row r="14" spans="2:19" ht="30" customHeight="1" x14ac:dyDescent="0.45">
      <c r="B14" s="209"/>
      <c r="C14" s="209"/>
      <c r="D14" s="225" t="s">
        <v>146</v>
      </c>
      <c r="E14" s="226"/>
      <c r="F14" s="133">
        <f>SUM(F11:F13)</f>
        <v>0.18891171488309597</v>
      </c>
      <c r="G14" s="133"/>
      <c r="H14" s="133">
        <f t="shared" ref="H14" si="0">SUM(H11:H13)</f>
        <v>0.27591858568949884</v>
      </c>
      <c r="I14" s="133"/>
      <c r="J14" s="133">
        <f t="shared" ref="J14:R14" si="1">SUM(J11:J13)</f>
        <v>0.36292545649590169</v>
      </c>
      <c r="K14" s="133"/>
      <c r="L14" s="133">
        <f t="shared" ref="L14" si="2">SUM(L11:L13)</f>
        <v>0.44993232730230459</v>
      </c>
      <c r="M14" s="133"/>
      <c r="N14" s="133">
        <f t="shared" si="1"/>
        <v>0.5369391981087076</v>
      </c>
      <c r="O14" s="133"/>
      <c r="P14" s="133">
        <f t="shared" ref="P14" si="3">SUM(P11:P13)</f>
        <v>0.6239460689151104</v>
      </c>
      <c r="Q14" s="133"/>
      <c r="R14" s="133">
        <f t="shared" si="1"/>
        <v>0.71095293972151319</v>
      </c>
    </row>
    <row r="15" spans="2:19" ht="30" customHeight="1" thickBot="1" x14ac:dyDescent="0.5">
      <c r="B15" s="147"/>
      <c r="C15" s="147"/>
      <c r="D15" s="227" t="s">
        <v>149</v>
      </c>
      <c r="E15" s="228"/>
      <c r="F15" s="134">
        <f>'2X'!I110</f>
        <v>0.11442184853164475</v>
      </c>
      <c r="G15" s="134"/>
      <c r="H15" s="134">
        <f>'2.5X'!I110</f>
        <v>0.18280625275018478</v>
      </c>
      <c r="I15" s="134"/>
      <c r="J15" s="134">
        <f>'3X'!I110</f>
        <v>0.25119065696872478</v>
      </c>
      <c r="K15" s="134"/>
      <c r="L15" s="134">
        <f>'3.5X'!I110</f>
        <v>0.31957506118726486</v>
      </c>
      <c r="M15" s="134"/>
      <c r="N15" s="134">
        <f>'4X'!I110</f>
        <v>0.38795946540580495</v>
      </c>
      <c r="O15" s="134"/>
      <c r="P15" s="134">
        <f>'4.5X'!I110</f>
        <v>0.45634386962434503</v>
      </c>
      <c r="Q15" s="134"/>
      <c r="R15" s="134">
        <f>'5X'!I110</f>
        <v>0.52472827384288501</v>
      </c>
    </row>
    <row r="16" spans="2:19" ht="30" customHeight="1" x14ac:dyDescent="0.45">
      <c r="B16" s="146" t="s">
        <v>165</v>
      </c>
      <c r="C16" s="146"/>
      <c r="D16" s="219" t="s">
        <v>145</v>
      </c>
      <c r="E16" s="141"/>
      <c r="F16" s="130">
        <f>'2X'!N24</f>
        <v>9.2163847179505792E-2</v>
      </c>
      <c r="G16" s="130"/>
      <c r="H16" s="130">
        <f>'2.5X'!N24</f>
        <v>0.1382457707692587</v>
      </c>
      <c r="I16" s="130"/>
      <c r="J16" s="130">
        <f>'3X'!N24</f>
        <v>0.18432769435901158</v>
      </c>
      <c r="K16" s="130"/>
      <c r="L16" s="130">
        <f>'3.5X'!N24</f>
        <v>0.23040961794876447</v>
      </c>
      <c r="M16" s="130"/>
      <c r="N16" s="130">
        <f>'4X'!N24</f>
        <v>0.2764915415385174</v>
      </c>
      <c r="O16" s="130"/>
      <c r="P16" s="130">
        <f>'4.5X'!N24</f>
        <v>0.32257346512827029</v>
      </c>
      <c r="Q16" s="130"/>
      <c r="R16" s="130">
        <f>'5X'!N24</f>
        <v>0.36865538871802317</v>
      </c>
    </row>
    <row r="17" spans="2:19" ht="30" customHeight="1" x14ac:dyDescent="0.45">
      <c r="B17" s="209"/>
      <c r="C17" s="209"/>
      <c r="D17" s="220" t="s">
        <v>144</v>
      </c>
      <c r="E17" s="142"/>
      <c r="F17" s="132">
        <f>'2X'!N26</f>
        <v>2.6356127391690055E-2</v>
      </c>
      <c r="G17" s="132"/>
      <c r="H17" s="132">
        <f>'2.5X'!N26</f>
        <v>3.635612739169005E-2</v>
      </c>
      <c r="I17" s="132"/>
      <c r="J17" s="132">
        <f>'3X'!N26</f>
        <v>4.6356127391690052E-2</v>
      </c>
      <c r="K17" s="132"/>
      <c r="L17" s="132">
        <f>'3.5X'!N26</f>
        <v>5.6356127391690061E-2</v>
      </c>
      <c r="M17" s="132"/>
      <c r="N17" s="132">
        <f>'4X'!N26</f>
        <v>6.6356127391690056E-2</v>
      </c>
      <c r="O17" s="132"/>
      <c r="P17" s="132">
        <f>'4.5X'!N26</f>
        <v>7.6356127391690065E-2</v>
      </c>
      <c r="Q17" s="132"/>
      <c r="R17" s="132">
        <f>'5X'!N26</f>
        <v>8.6356127391690074E-2</v>
      </c>
    </row>
    <row r="18" spans="2:19" ht="30" customHeight="1" x14ac:dyDescent="0.45">
      <c r="B18" s="209"/>
      <c r="C18" s="209"/>
      <c r="D18" s="220" t="s">
        <v>143</v>
      </c>
      <c r="E18" s="142"/>
      <c r="F18" s="132">
        <f>'2X'!N29</f>
        <v>1.3178063695845028E-2</v>
      </c>
      <c r="G18" s="132"/>
      <c r="H18" s="132">
        <f>'2.5X'!N29</f>
        <v>1.8178063695845025E-2</v>
      </c>
      <c r="I18" s="132"/>
      <c r="J18" s="132">
        <f>'3X'!N29</f>
        <v>2.3178063695845026E-2</v>
      </c>
      <c r="K18" s="132"/>
      <c r="L18" s="132">
        <f>'3.5X'!N29</f>
        <v>2.8178063695845031E-2</v>
      </c>
      <c r="M18" s="132"/>
      <c r="N18" s="132">
        <f>'4X'!N29</f>
        <v>3.3178063695845028E-2</v>
      </c>
      <c r="O18" s="132"/>
      <c r="P18" s="132">
        <f>'4.5X'!N29</f>
        <v>3.8178063695845033E-2</v>
      </c>
      <c r="Q18" s="132"/>
      <c r="R18" s="132">
        <f>'5X'!N29</f>
        <v>4.3178063695845037E-2</v>
      </c>
    </row>
    <row r="19" spans="2:19" ht="30" customHeight="1" x14ac:dyDescent="0.45">
      <c r="B19" s="209"/>
      <c r="C19" s="209"/>
      <c r="D19" s="225" t="s">
        <v>146</v>
      </c>
      <c r="E19" s="226"/>
      <c r="F19" s="133">
        <f>SUM(F16:F18)</f>
        <v>0.13169803826704088</v>
      </c>
      <c r="G19" s="133"/>
      <c r="H19" s="133">
        <f t="shared" ref="H19" si="4">SUM(H16:H18)</f>
        <v>0.19277996185679377</v>
      </c>
      <c r="I19" s="133"/>
      <c r="J19" s="133">
        <f t="shared" ref="J19:R19" si="5">SUM(J16:J18)</f>
        <v>0.25386188544654664</v>
      </c>
      <c r="K19" s="133"/>
      <c r="L19" s="133">
        <f t="shared" ref="L19" si="6">SUM(L16:L18)</f>
        <v>0.31494380903629954</v>
      </c>
      <c r="M19" s="133"/>
      <c r="N19" s="133">
        <f t="shared" si="5"/>
        <v>0.37602573262605249</v>
      </c>
      <c r="O19" s="133"/>
      <c r="P19" s="133">
        <f t="shared" ref="P19" si="7">SUM(P16:P18)</f>
        <v>0.43710765621580538</v>
      </c>
      <c r="Q19" s="133"/>
      <c r="R19" s="133">
        <f t="shared" si="5"/>
        <v>0.49818957980555828</v>
      </c>
    </row>
    <row r="20" spans="2:19" ht="30" customHeight="1" thickBot="1" x14ac:dyDescent="0.5">
      <c r="B20" s="147"/>
      <c r="C20" s="147"/>
      <c r="D20" s="227" t="s">
        <v>149</v>
      </c>
      <c r="E20" s="228"/>
      <c r="F20" s="134">
        <f>'2X'!N110</f>
        <v>8.4027082829365468E-2</v>
      </c>
      <c r="G20" s="134"/>
      <c r="H20" s="134">
        <f>'2.5X'!N110</f>
        <v>0.13319126755969951</v>
      </c>
      <c r="I20" s="134"/>
      <c r="J20" s="134">
        <f>'3X'!N110</f>
        <v>0.18235545229003355</v>
      </c>
      <c r="K20" s="134"/>
      <c r="L20" s="134">
        <f>'3.5X'!N110</f>
        <v>0.2315196370203676</v>
      </c>
      <c r="M20" s="134"/>
      <c r="N20" s="134">
        <f>'4X'!N110</f>
        <v>0.28068382175070161</v>
      </c>
      <c r="O20" s="134"/>
      <c r="P20" s="134">
        <f>'4.5X'!N110</f>
        <v>0.32984800648103568</v>
      </c>
      <c r="Q20" s="134"/>
      <c r="R20" s="134">
        <f>'5X'!N110</f>
        <v>0.3790121912113697</v>
      </c>
    </row>
    <row r="21" spans="2:19" ht="30" customHeight="1" x14ac:dyDescent="0.45">
      <c r="B21" s="146" t="s">
        <v>166</v>
      </c>
      <c r="C21" s="146"/>
      <c r="D21" s="221" t="s">
        <v>147</v>
      </c>
      <c r="E21" s="139"/>
      <c r="F21" s="143">
        <v>0.1</v>
      </c>
      <c r="G21" s="143"/>
      <c r="H21" s="143">
        <v>0.1</v>
      </c>
      <c r="I21" s="143"/>
      <c r="J21" s="143">
        <v>0.1</v>
      </c>
      <c r="K21" s="143"/>
      <c r="L21" s="143">
        <v>0.1</v>
      </c>
      <c r="M21" s="143"/>
      <c r="N21" s="143">
        <v>0.1</v>
      </c>
      <c r="O21" s="143"/>
      <c r="P21" s="143">
        <v>0.1</v>
      </c>
      <c r="Q21" s="143"/>
      <c r="R21" s="143">
        <v>0.1</v>
      </c>
      <c r="S21" s="129"/>
    </row>
    <row r="22" spans="2:19" ht="30" customHeight="1" x14ac:dyDescent="0.45">
      <c r="B22" s="209"/>
      <c r="C22" s="209"/>
      <c r="D22" s="217" t="s">
        <v>138</v>
      </c>
      <c r="E22" s="210"/>
      <c r="F22" s="242">
        <v>0.05</v>
      </c>
      <c r="G22" s="242"/>
      <c r="H22" s="242">
        <v>0.05</v>
      </c>
      <c r="I22" s="242"/>
      <c r="J22" s="242">
        <v>0.05</v>
      </c>
      <c r="K22" s="242"/>
      <c r="L22" s="242">
        <v>0.05</v>
      </c>
      <c r="M22" s="242"/>
      <c r="N22" s="242">
        <v>0.05</v>
      </c>
      <c r="O22" s="242"/>
      <c r="P22" s="242">
        <v>0.05</v>
      </c>
      <c r="Q22" s="242"/>
      <c r="R22" s="242">
        <v>0.05</v>
      </c>
      <c r="S22" s="129"/>
    </row>
    <row r="23" spans="2:19" ht="30" customHeight="1" thickBot="1" x14ac:dyDescent="0.5">
      <c r="B23" s="147"/>
      <c r="C23" s="147"/>
      <c r="D23" s="218" t="s">
        <v>148</v>
      </c>
      <c r="E23" s="140"/>
      <c r="F23" s="144">
        <v>0</v>
      </c>
      <c r="G23" s="144"/>
      <c r="H23" s="144">
        <v>7.4999999999999997E-2</v>
      </c>
      <c r="I23" s="144"/>
      <c r="J23" s="144">
        <v>7.4999999999999997E-2</v>
      </c>
      <c r="K23" s="144"/>
      <c r="L23" s="144">
        <v>7.4999999999999997E-2</v>
      </c>
      <c r="M23" s="144"/>
      <c r="N23" s="144">
        <v>7.4999999999999997E-2</v>
      </c>
      <c r="O23" s="144"/>
      <c r="P23" s="144">
        <v>7.4999999999999997E-2</v>
      </c>
      <c r="Q23" s="144"/>
      <c r="R23" s="144">
        <v>7.4999999999999997E-2</v>
      </c>
      <c r="S23" s="129"/>
    </row>
  </sheetData>
  <mergeCells count="14">
    <mergeCell ref="L5:N5"/>
    <mergeCell ref="P5:R5"/>
    <mergeCell ref="P6:R6"/>
    <mergeCell ref="L6:N6"/>
    <mergeCell ref="H6:J6"/>
    <mergeCell ref="H5:J5"/>
    <mergeCell ref="F5:F6"/>
    <mergeCell ref="B5:B6"/>
    <mergeCell ref="D5:D6"/>
    <mergeCell ref="C5:C6"/>
    <mergeCell ref="B9:C10"/>
    <mergeCell ref="B11:C15"/>
    <mergeCell ref="B16:C20"/>
    <mergeCell ref="B21:C23"/>
  </mergeCells>
  <pageMargins left="0.7" right="0.7" top="0.75" bottom="0.75" header="0.3" footer="0.3"/>
  <pageSetup orientation="portrait" r:id="rId1"/>
  <headerFooter>
    <oddHeader>&amp;R&amp;"Aptos"&amp;12&amp;K000000 Unclassified / Non classifié&amp;1#_x000D_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2518-B1E3-498F-8277-B5D0DA9C220D}">
  <dimension ref="A1:O136"/>
  <sheetViews>
    <sheetView zoomScaleNormal="100" workbookViewId="0">
      <selection activeCell="B2" sqref="B2:C11"/>
    </sheetView>
  </sheetViews>
  <sheetFormatPr defaultColWidth="9" defaultRowHeight="15" customHeight="1" x14ac:dyDescent="0.45"/>
  <cols>
    <col min="1" max="1" width="1.73046875" style="4" customWidth="1"/>
    <col min="2" max="2" width="43.73046875" style="2" bestFit="1" customWidth="1"/>
    <col min="3" max="3" width="16.73046875" style="2" bestFit="1" customWidth="1"/>
    <col min="4" max="4" width="33.3984375" style="2" bestFit="1" customWidth="1"/>
    <col min="5" max="5" width="9.59765625" style="2" bestFit="1" customWidth="1"/>
    <col min="6" max="6" width="9.3984375" style="2" bestFit="1" customWidth="1"/>
    <col min="7" max="7" width="16.1328125" style="2" bestFit="1" customWidth="1"/>
    <col min="8" max="8" width="15.3984375" style="2" bestFit="1" customWidth="1"/>
    <col min="9" max="9" width="9.3984375" style="2" bestFit="1" customWidth="1"/>
    <col min="10" max="10" width="10.3984375" style="2" bestFit="1" customWidth="1"/>
    <col min="11" max="11" width="12.59765625" style="2" bestFit="1" customWidth="1"/>
    <col min="12" max="12" width="13.1328125" style="2" bestFit="1" customWidth="1"/>
    <col min="13" max="13" width="10.3984375" style="2" bestFit="1" customWidth="1"/>
    <col min="14" max="14" width="10.59765625" style="2" bestFit="1" customWidth="1"/>
    <col min="15" max="15" width="1.73046875" style="4" customWidth="1"/>
    <col min="16" max="16384" width="9" style="2"/>
  </cols>
  <sheetData>
    <row r="1" spans="1:15" ht="15" customHeight="1" x14ac:dyDescent="0.45">
      <c r="A1" s="8"/>
      <c r="B1" s="8"/>
      <c r="C1" s="8"/>
      <c r="D1" s="8"/>
      <c r="E1" s="8"/>
      <c r="F1" s="8"/>
      <c r="G1" s="8"/>
      <c r="H1" s="8"/>
      <c r="I1" s="8"/>
      <c r="J1" s="8"/>
      <c r="K1" s="63"/>
      <c r="L1" s="63"/>
      <c r="M1" s="63"/>
      <c r="N1" s="63"/>
      <c r="O1" s="8"/>
    </row>
    <row r="2" spans="1:15" ht="58.5" customHeight="1" x14ac:dyDescent="0.45">
      <c r="A2" s="8"/>
      <c r="B2" s="179" t="s">
        <v>114</v>
      </c>
      <c r="C2" s="180"/>
      <c r="D2" s="185" t="s">
        <v>139</v>
      </c>
      <c r="E2" s="186"/>
      <c r="F2" s="8"/>
      <c r="G2" s="188" t="s">
        <v>125</v>
      </c>
      <c r="H2" s="185"/>
      <c r="I2" s="185"/>
      <c r="J2" s="4"/>
      <c r="K2" s="191" t="s">
        <v>117</v>
      </c>
      <c r="L2" s="191"/>
      <c r="M2" s="191"/>
      <c r="N2" s="191"/>
      <c r="O2" s="8"/>
    </row>
    <row r="3" spans="1:15" ht="14.25" x14ac:dyDescent="0.45">
      <c r="A3" s="8"/>
      <c r="B3" s="181"/>
      <c r="C3" s="182"/>
      <c r="D3" s="184"/>
      <c r="E3" s="187"/>
      <c r="F3" s="8"/>
      <c r="G3" s="189"/>
      <c r="H3" s="190"/>
      <c r="I3" s="190"/>
      <c r="J3" s="4"/>
      <c r="K3" s="64" t="s">
        <v>53</v>
      </c>
      <c r="L3" s="64" t="s">
        <v>51</v>
      </c>
      <c r="M3" s="64" t="s">
        <v>32</v>
      </c>
      <c r="N3" s="64" t="s">
        <v>33</v>
      </c>
      <c r="O3" s="8"/>
    </row>
    <row r="4" spans="1:15" ht="14.25" customHeight="1" x14ac:dyDescent="0.45">
      <c r="A4" s="9"/>
      <c r="B4" s="181"/>
      <c r="C4" s="182"/>
      <c r="D4" s="32" t="s">
        <v>2</v>
      </c>
      <c r="E4" s="33">
        <v>100000</v>
      </c>
      <c r="F4" s="9"/>
      <c r="G4" s="76" t="s">
        <v>34</v>
      </c>
      <c r="H4" s="75" t="s">
        <v>39</v>
      </c>
      <c r="I4" s="41">
        <f>I43</f>
        <v>0.17740035620000011</v>
      </c>
      <c r="J4" s="9"/>
      <c r="K4" s="68">
        <f>C127</f>
        <v>20000</v>
      </c>
      <c r="L4" s="69" t="s">
        <v>40</v>
      </c>
      <c r="M4" s="42">
        <f>I128</f>
        <v>248.29955450483749</v>
      </c>
      <c r="N4" s="65">
        <f t="shared" ref="N4:N9" si="0">M4*$I$15</f>
        <v>88700178.099999994</v>
      </c>
      <c r="O4" s="9"/>
    </row>
    <row r="5" spans="1:15" ht="14.25" customHeight="1" x14ac:dyDescent="0.45">
      <c r="A5" s="37"/>
      <c r="B5" s="181"/>
      <c r="C5" s="182"/>
      <c r="D5" s="18" t="s">
        <v>127</v>
      </c>
      <c r="E5" s="35">
        <f>SUMMARY!H6</f>
        <v>0.28999999999999998</v>
      </c>
      <c r="F5" s="37"/>
      <c r="G5" s="45" t="s">
        <v>37</v>
      </c>
      <c r="H5" s="66" t="s">
        <v>39</v>
      </c>
      <c r="I5" s="81">
        <f>I67</f>
        <v>0.14401374161280572</v>
      </c>
      <c r="J5" s="37"/>
      <c r="K5" s="68">
        <f>C127</f>
        <v>20000</v>
      </c>
      <c r="L5" s="67" t="s">
        <v>41</v>
      </c>
      <c r="M5" s="42">
        <f>I129</f>
        <v>1241.4977725241883</v>
      </c>
      <c r="N5" s="65">
        <f t="shared" si="0"/>
        <v>443500890.5000003</v>
      </c>
      <c r="O5" s="37"/>
    </row>
    <row r="6" spans="1:15" ht="14.25" customHeight="1" x14ac:dyDescent="0.45">
      <c r="A6" s="37"/>
      <c r="B6" s="181"/>
      <c r="C6" s="182"/>
      <c r="D6" s="18" t="s">
        <v>140</v>
      </c>
      <c r="E6" s="34">
        <f>SUMMARY!L6</f>
        <v>0.02</v>
      </c>
      <c r="F6" s="37"/>
      <c r="G6" s="45" t="s">
        <v>124</v>
      </c>
      <c r="H6" s="66" t="s">
        <v>39</v>
      </c>
      <c r="I6" s="81">
        <f>I80</f>
        <v>2.9931982180193495E-2</v>
      </c>
      <c r="J6" s="37"/>
      <c r="K6" s="68">
        <f>C130</f>
        <v>400000</v>
      </c>
      <c r="L6" s="69" t="s">
        <v>40</v>
      </c>
      <c r="M6" s="42">
        <f>I131</f>
        <v>4965.9910900967498</v>
      </c>
      <c r="N6" s="65">
        <f t="shared" si="0"/>
        <v>1774003561.9999998</v>
      </c>
      <c r="O6" s="37"/>
    </row>
    <row r="7" spans="1:15" ht="14.25" customHeight="1" x14ac:dyDescent="0.45">
      <c r="A7" s="37"/>
      <c r="B7" s="181"/>
      <c r="C7" s="182"/>
      <c r="D7" s="18" t="s">
        <v>126</v>
      </c>
      <c r="E7" s="34">
        <f>SUMMARY!P6</f>
        <v>0.01</v>
      </c>
      <c r="F7" s="37"/>
      <c r="G7" s="45" t="s">
        <v>57</v>
      </c>
      <c r="H7" s="66" t="s">
        <v>39</v>
      </c>
      <c r="I7" s="81">
        <f>I95</f>
        <v>1.4965991090096747E-2</v>
      </c>
      <c r="J7" s="37"/>
      <c r="K7" s="68">
        <f>C130</f>
        <v>400000</v>
      </c>
      <c r="L7" s="67" t="s">
        <v>41</v>
      </c>
      <c r="M7" s="42">
        <f>I132</f>
        <v>24829.955450483765</v>
      </c>
      <c r="N7" s="65">
        <f t="shared" si="0"/>
        <v>8870017810.0000057</v>
      </c>
      <c r="O7" s="37"/>
    </row>
    <row r="8" spans="1:15" ht="14.25" customHeight="1" x14ac:dyDescent="0.45">
      <c r="A8" s="9"/>
      <c r="B8" s="181"/>
      <c r="C8" s="182"/>
      <c r="D8" s="32" t="s">
        <v>134</v>
      </c>
      <c r="E8" s="36">
        <f>SUMMARY!F21</f>
        <v>0.1</v>
      </c>
      <c r="F8" s="9"/>
      <c r="G8" s="45" t="s">
        <v>122</v>
      </c>
      <c r="H8" s="66" t="s">
        <v>39</v>
      </c>
      <c r="I8" s="81">
        <f>-I35</f>
        <v>-4.9659910900967504E-2</v>
      </c>
      <c r="J8" s="9"/>
      <c r="K8" s="77">
        <f>C133</f>
        <v>1000000</v>
      </c>
      <c r="L8" s="78" t="s">
        <v>40</v>
      </c>
      <c r="M8" s="42">
        <f>I134</f>
        <v>12414.977725241875</v>
      </c>
      <c r="N8" s="65">
        <f t="shared" si="0"/>
        <v>4435008905</v>
      </c>
      <c r="O8" s="9"/>
    </row>
    <row r="9" spans="1:15" ht="14.25" customHeight="1" x14ac:dyDescent="0.45">
      <c r="A9" s="9"/>
      <c r="B9" s="181"/>
      <c r="C9" s="182"/>
      <c r="D9" s="32" t="s">
        <v>135</v>
      </c>
      <c r="E9" s="36">
        <f>SUMMARY!F22</f>
        <v>0.05</v>
      </c>
      <c r="F9" s="9"/>
      <c r="G9" s="45" t="s">
        <v>121</v>
      </c>
      <c r="H9" s="66" t="s">
        <v>39</v>
      </c>
      <c r="I9" s="81">
        <f>-I51</f>
        <v>-2.4829955450483752E-2</v>
      </c>
      <c r="J9" s="9"/>
      <c r="K9" s="77">
        <f>C133</f>
        <v>1000000</v>
      </c>
      <c r="L9" s="79" t="s">
        <v>41</v>
      </c>
      <c r="M9" s="42">
        <f>I135</f>
        <v>62074.888626209409</v>
      </c>
      <c r="N9" s="65">
        <f t="shared" si="0"/>
        <v>22175044525.000011</v>
      </c>
      <c r="O9" s="9"/>
    </row>
    <row r="10" spans="1:15" ht="14.25" customHeight="1" x14ac:dyDescent="0.45">
      <c r="A10" s="9"/>
      <c r="B10" s="181"/>
      <c r="C10" s="182"/>
      <c r="D10" s="32" t="s">
        <v>136</v>
      </c>
      <c r="E10" s="36">
        <f>SUMMARY!F23</f>
        <v>0</v>
      </c>
      <c r="F10" s="9"/>
      <c r="G10" s="74" t="s">
        <v>38</v>
      </c>
      <c r="H10" s="75" t="s">
        <v>39</v>
      </c>
      <c r="I10" s="41">
        <f>I110</f>
        <v>0.11442184853164475</v>
      </c>
      <c r="J10" s="8"/>
      <c r="K10" s="10"/>
      <c r="L10" s="10"/>
      <c r="M10" s="3"/>
      <c r="N10" s="8"/>
      <c r="O10" s="9"/>
    </row>
    <row r="11" spans="1:15" ht="15" customHeight="1" x14ac:dyDescent="0.45">
      <c r="A11" s="9"/>
      <c r="B11" s="181"/>
      <c r="C11" s="182"/>
      <c r="D11" s="32" t="s">
        <v>137</v>
      </c>
      <c r="E11" s="36">
        <f>SUMMARY!F10</f>
        <v>0</v>
      </c>
      <c r="F11" s="3"/>
      <c r="G11" s="10"/>
      <c r="H11" s="10"/>
      <c r="I11" s="3"/>
      <c r="J11" s="8"/>
      <c r="K11" s="8"/>
      <c r="L11" s="8"/>
      <c r="M11" s="8"/>
      <c r="N11" s="8"/>
      <c r="O11" s="9"/>
    </row>
    <row r="12" spans="1:15" ht="14.25" x14ac:dyDescent="0.45">
      <c r="A12" s="8"/>
      <c r="B12" s="10"/>
      <c r="C12" s="8"/>
      <c r="D12" s="10"/>
      <c r="E12" s="3"/>
      <c r="F12" s="3"/>
      <c r="G12" s="10"/>
      <c r="H12" s="10"/>
      <c r="I12" s="3"/>
      <c r="J12" s="8"/>
      <c r="K12" s="8"/>
      <c r="L12" s="8"/>
      <c r="M12" s="8"/>
      <c r="N12" s="8"/>
      <c r="O12" s="8"/>
    </row>
    <row r="13" spans="1:15" ht="14.25"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5" ht="14.25" x14ac:dyDescent="0.45">
      <c r="B14" s="184"/>
      <c r="C14" s="184"/>
      <c r="D14" s="184"/>
      <c r="E14" s="149"/>
      <c r="F14" s="149"/>
      <c r="G14" s="149"/>
      <c r="H14" s="149"/>
      <c r="I14" s="149"/>
      <c r="J14" s="149"/>
      <c r="K14" s="149"/>
      <c r="L14" s="149"/>
      <c r="M14" s="149"/>
      <c r="N14" s="149"/>
    </row>
    <row r="15" spans="1:15" ht="14.25" x14ac:dyDescent="0.45">
      <c r="B15" s="158" t="s">
        <v>20</v>
      </c>
      <c r="C15" s="158" t="s">
        <v>33</v>
      </c>
      <c r="D15" s="19" t="s">
        <v>48</v>
      </c>
      <c r="E15" s="21">
        <f>($E$4 * $E$5) + $E$4</f>
        <v>129000</v>
      </c>
      <c r="F15" s="21">
        <f t="shared" ref="F15:N15" si="1">(E15 * $E$5) + E15</f>
        <v>166410</v>
      </c>
      <c r="G15" s="21">
        <f t="shared" si="1"/>
        <v>214668.9</v>
      </c>
      <c r="H15" s="21">
        <f t="shared" si="1"/>
        <v>276922.88099999999</v>
      </c>
      <c r="I15" s="21">
        <f t="shared" si="1"/>
        <v>357230.51648999995</v>
      </c>
      <c r="J15" s="21">
        <f t="shared" si="1"/>
        <v>460827.3662720999</v>
      </c>
      <c r="K15" s="21">
        <f t="shared" si="1"/>
        <v>594467.30249100889</v>
      </c>
      <c r="L15" s="21">
        <f t="shared" si="1"/>
        <v>766862.82021340146</v>
      </c>
      <c r="M15" s="21">
        <f t="shared" si="1"/>
        <v>989253.03807528783</v>
      </c>
      <c r="N15" s="21">
        <f t="shared" si="1"/>
        <v>1276136.4191171213</v>
      </c>
    </row>
    <row r="16" spans="1:15" ht="14.25" x14ac:dyDescent="0.45">
      <c r="B16" s="160"/>
      <c r="C16" s="160"/>
      <c r="D16" s="19" t="s">
        <v>49</v>
      </c>
      <c r="E16" s="25">
        <f>E15*21000000</f>
        <v>2709000000000</v>
      </c>
      <c r="F16" s="25">
        <f t="shared" ref="F16:N16" si="2">F15*21000000</f>
        <v>3494610000000</v>
      </c>
      <c r="G16" s="25">
        <f t="shared" si="2"/>
        <v>4508046900000</v>
      </c>
      <c r="H16" s="25">
        <f t="shared" si="2"/>
        <v>5815380501000</v>
      </c>
      <c r="I16" s="25">
        <f t="shared" si="2"/>
        <v>7501840846289.999</v>
      </c>
      <c r="J16" s="25">
        <f t="shared" si="2"/>
        <v>9677374691714.0977</v>
      </c>
      <c r="K16" s="25">
        <f t="shared" si="2"/>
        <v>12483813352311.188</v>
      </c>
      <c r="L16" s="25">
        <f t="shared" si="2"/>
        <v>16104119224481.43</v>
      </c>
      <c r="M16" s="25">
        <f t="shared" si="2"/>
        <v>20774313799581.043</v>
      </c>
      <c r="N16" s="25">
        <f t="shared" si="2"/>
        <v>26798864801459.547</v>
      </c>
    </row>
    <row r="17" spans="1:15" ht="14.25" x14ac:dyDescent="0.45">
      <c r="B17" s="158" t="s">
        <v>16</v>
      </c>
      <c r="C17" s="176" t="s">
        <v>32</v>
      </c>
      <c r="D17" s="19" t="s">
        <v>128</v>
      </c>
      <c r="E17" s="26">
        <f>(E15-$E4)/E15</f>
        <v>0.22480620155038761</v>
      </c>
      <c r="F17" s="26">
        <f t="shared" ref="F17:N17" si="3">(F15-$E4)/F15</f>
        <v>0.39907457484526171</v>
      </c>
      <c r="G17" s="26">
        <f t="shared" si="3"/>
        <v>0.53416633708935013</v>
      </c>
      <c r="H17" s="26">
        <f t="shared" si="3"/>
        <v>0.63888863340259705</v>
      </c>
      <c r="I17" s="26">
        <f t="shared" si="3"/>
        <v>0.72006870806402867</v>
      </c>
      <c r="J17" s="26">
        <f t="shared" si="3"/>
        <v>0.78299899849924703</v>
      </c>
      <c r="K17" s="26">
        <f t="shared" si="3"/>
        <v>0.8317821693792613</v>
      </c>
      <c r="L17" s="26">
        <f t="shared" si="3"/>
        <v>0.86959858091415598</v>
      </c>
      <c r="M17" s="26">
        <f t="shared" si="3"/>
        <v>0.89891362861562485</v>
      </c>
      <c r="N17" s="26">
        <f t="shared" si="3"/>
        <v>0.92163847179505798</v>
      </c>
    </row>
    <row r="18" spans="1:15" ht="14.25" x14ac:dyDescent="0.45">
      <c r="B18" s="159"/>
      <c r="C18" s="177"/>
      <c r="D18" s="19" t="s">
        <v>129</v>
      </c>
      <c r="E18" s="26">
        <f>1-E17</f>
        <v>0.77519379844961245</v>
      </c>
      <c r="F18" s="26">
        <f t="shared" ref="F18:N18" si="4">1-F17</f>
        <v>0.60092542515473824</v>
      </c>
      <c r="G18" s="26">
        <f t="shared" si="4"/>
        <v>0.46583366291064987</v>
      </c>
      <c r="H18" s="26">
        <f t="shared" si="4"/>
        <v>0.36111136659740295</v>
      </c>
      <c r="I18" s="26">
        <f t="shared" si="4"/>
        <v>0.27993129193597133</v>
      </c>
      <c r="J18" s="26">
        <f t="shared" si="4"/>
        <v>0.21700100150075297</v>
      </c>
      <c r="K18" s="26">
        <f t="shared" si="4"/>
        <v>0.1682178306207387</v>
      </c>
      <c r="L18" s="26">
        <f t="shared" si="4"/>
        <v>0.13040141908584402</v>
      </c>
      <c r="M18" s="26">
        <f t="shared" si="4"/>
        <v>0.10108637138437515</v>
      </c>
      <c r="N18" s="26">
        <f t="shared" si="4"/>
        <v>7.8361528204942021E-2</v>
      </c>
    </row>
    <row r="19" spans="1:15" ht="14.25" x14ac:dyDescent="0.45">
      <c r="B19" s="159"/>
      <c r="C19" s="177"/>
      <c r="D19" s="19" t="s">
        <v>130</v>
      </c>
      <c r="E19" s="80">
        <f>E17</f>
        <v>0.22480620155038761</v>
      </c>
      <c r="F19" s="80">
        <f t="shared" ref="F19:N19" si="5">F17-E17</f>
        <v>0.1742683732948741</v>
      </c>
      <c r="G19" s="80">
        <f>G17-F17</f>
        <v>0.13509176224408842</v>
      </c>
      <c r="H19" s="80">
        <f t="shared" si="5"/>
        <v>0.10472229631324692</v>
      </c>
      <c r="I19" s="80">
        <f t="shared" si="5"/>
        <v>8.1180074661431623E-2</v>
      </c>
      <c r="J19" s="80">
        <f>J17-I17</f>
        <v>6.2930290435218361E-2</v>
      </c>
      <c r="K19" s="80">
        <f t="shared" si="5"/>
        <v>4.878317088001427E-2</v>
      </c>
      <c r="L19" s="80">
        <f t="shared" si="5"/>
        <v>3.7816411534894678E-2</v>
      </c>
      <c r="M19" s="80">
        <f t="shared" si="5"/>
        <v>2.9315047701468866E-2</v>
      </c>
      <c r="N19" s="80">
        <f t="shared" si="5"/>
        <v>2.272484317943313E-2</v>
      </c>
    </row>
    <row r="20" spans="1:15" ht="14.25" x14ac:dyDescent="0.45">
      <c r="B20" s="159"/>
      <c r="C20" s="177"/>
      <c r="D20" s="19" t="s">
        <v>131</v>
      </c>
      <c r="E20" s="80"/>
      <c r="F20" s="80"/>
      <c r="G20" s="80"/>
      <c r="H20" s="80"/>
      <c r="I20" s="80">
        <f>AVERAGE(E19:I19)</f>
        <v>0.14401374161280572</v>
      </c>
      <c r="J20" s="26"/>
      <c r="K20" s="26"/>
      <c r="L20" s="26"/>
      <c r="M20" s="26"/>
      <c r="N20" s="80">
        <f>AVERAGE(E19:N19)</f>
        <v>9.2163847179505792E-2</v>
      </c>
    </row>
    <row r="21" spans="1:15" ht="14.25" x14ac:dyDescent="0.45">
      <c r="B21" s="159"/>
      <c r="C21" s="177"/>
      <c r="D21" s="19" t="s">
        <v>132</v>
      </c>
      <c r="E21" s="80">
        <f>$E$11*E19</f>
        <v>0</v>
      </c>
      <c r="F21" s="80">
        <f t="shared" ref="F21:N21" si="6">$E$11*F19</f>
        <v>0</v>
      </c>
      <c r="G21" s="80">
        <f t="shared" si="6"/>
        <v>0</v>
      </c>
      <c r="H21" s="80">
        <f t="shared" si="6"/>
        <v>0</v>
      </c>
      <c r="I21" s="80">
        <f t="shared" si="6"/>
        <v>0</v>
      </c>
      <c r="J21" s="80">
        <f t="shared" si="6"/>
        <v>0</v>
      </c>
      <c r="K21" s="80">
        <f t="shared" si="6"/>
        <v>0</v>
      </c>
      <c r="L21" s="80">
        <f t="shared" si="6"/>
        <v>0</v>
      </c>
      <c r="M21" s="80">
        <f t="shared" si="6"/>
        <v>0</v>
      </c>
      <c r="N21" s="80">
        <f t="shared" si="6"/>
        <v>0</v>
      </c>
    </row>
    <row r="22" spans="1:15" ht="14.25" x14ac:dyDescent="0.45">
      <c r="B22" s="159"/>
      <c r="C22" s="177"/>
      <c r="D22" s="19" t="s">
        <v>133</v>
      </c>
      <c r="E22" s="80"/>
      <c r="F22" s="80"/>
      <c r="G22" s="80"/>
      <c r="H22" s="80"/>
      <c r="I22" s="80">
        <f>AVERAGE(E21:I21)</f>
        <v>0</v>
      </c>
      <c r="J22" s="26"/>
      <c r="K22" s="26"/>
      <c r="L22" s="26"/>
      <c r="M22" s="26"/>
      <c r="N22" s="80">
        <f>AVERAGE(E21:N21)</f>
        <v>0</v>
      </c>
    </row>
    <row r="23" spans="1:15" ht="14.25" x14ac:dyDescent="0.45">
      <c r="B23" s="159"/>
      <c r="C23" s="177"/>
      <c r="D23" s="15" t="s">
        <v>58</v>
      </c>
      <c r="E23" s="17">
        <f>E19+E21</f>
        <v>0.22480620155038761</v>
      </c>
      <c r="F23" s="17">
        <f t="shared" ref="F23:N23" si="7">F19+F21</f>
        <v>0.1742683732948741</v>
      </c>
      <c r="G23" s="17">
        <f t="shared" si="7"/>
        <v>0.13509176224408842</v>
      </c>
      <c r="H23" s="17">
        <f t="shared" si="7"/>
        <v>0.10472229631324692</v>
      </c>
      <c r="I23" s="17">
        <f t="shared" si="7"/>
        <v>8.1180074661431623E-2</v>
      </c>
      <c r="J23" s="17">
        <f t="shared" si="7"/>
        <v>6.2930290435218361E-2</v>
      </c>
      <c r="K23" s="17">
        <f t="shared" si="7"/>
        <v>4.878317088001427E-2</v>
      </c>
      <c r="L23" s="17">
        <f t="shared" si="7"/>
        <v>3.7816411534894678E-2</v>
      </c>
      <c r="M23" s="17">
        <f t="shared" si="7"/>
        <v>2.9315047701468866E-2</v>
      </c>
      <c r="N23" s="17">
        <f t="shared" si="7"/>
        <v>2.272484317943313E-2</v>
      </c>
    </row>
    <row r="24" spans="1:15" ht="14.25" x14ac:dyDescent="0.45">
      <c r="B24" s="160"/>
      <c r="C24" s="178"/>
      <c r="D24" s="15" t="s">
        <v>59</v>
      </c>
      <c r="E24" s="17"/>
      <c r="F24" s="17"/>
      <c r="G24" s="17"/>
      <c r="H24" s="17"/>
      <c r="I24" s="17">
        <f>AVERAGE(E23:I23)</f>
        <v>0.14401374161280572</v>
      </c>
      <c r="J24" s="16"/>
      <c r="K24" s="16"/>
      <c r="L24" s="16"/>
      <c r="M24" s="16"/>
      <c r="N24" s="17">
        <f>AVERAGE(E23:N23)</f>
        <v>9.2163847179505792E-2</v>
      </c>
    </row>
    <row r="25" spans="1:15" ht="14.25" x14ac:dyDescent="0.45">
      <c r="B25" s="158" t="s">
        <v>141</v>
      </c>
      <c r="C25" s="176" t="s">
        <v>32</v>
      </c>
      <c r="D25" s="15" t="s">
        <v>43</v>
      </c>
      <c r="E25" s="17">
        <f>((1+$E$11)*$E$6)+($E$6*E18)</f>
        <v>3.5503875968992252E-2</v>
      </c>
      <c r="F25" s="17">
        <f t="shared" ref="F25:N25" si="8">((1+$E$11)*$E$6)+($E$6*F18)</f>
        <v>3.2018508503094761E-2</v>
      </c>
      <c r="G25" s="17">
        <f t="shared" si="8"/>
        <v>2.9316673258212998E-2</v>
      </c>
      <c r="H25" s="17">
        <f t="shared" si="8"/>
        <v>2.7222227331948061E-2</v>
      </c>
      <c r="I25" s="17">
        <f>((1+$E$11)*$E$6)+($E$6*I18)</f>
        <v>2.5598625838719427E-2</v>
      </c>
      <c r="J25" s="17">
        <f t="shared" si="8"/>
        <v>2.434002003001506E-2</v>
      </c>
      <c r="K25" s="17">
        <f t="shared" si="8"/>
        <v>2.3364356612414774E-2</v>
      </c>
      <c r="L25" s="17">
        <f t="shared" si="8"/>
        <v>2.2608028381716883E-2</v>
      </c>
      <c r="M25" s="17">
        <f t="shared" si="8"/>
        <v>2.2021727427687505E-2</v>
      </c>
      <c r="N25" s="17">
        <f t="shared" si="8"/>
        <v>2.156723056409884E-2</v>
      </c>
    </row>
    <row r="26" spans="1:15" ht="14.25" x14ac:dyDescent="0.45">
      <c r="B26" s="159"/>
      <c r="C26" s="177"/>
      <c r="D26" s="15" t="s">
        <v>44</v>
      </c>
      <c r="E26" s="17"/>
      <c r="F26" s="17"/>
      <c r="G26" s="17"/>
      <c r="H26" s="17"/>
      <c r="I26" s="17">
        <f>AVERAGE(E25:I25)</f>
        <v>2.9931982180193495E-2</v>
      </c>
      <c r="J26" s="16"/>
      <c r="K26" s="16"/>
      <c r="L26" s="16"/>
      <c r="M26" s="16"/>
      <c r="N26" s="17">
        <f>AVERAGE(E25:N25)</f>
        <v>2.6356127391690055E-2</v>
      </c>
    </row>
    <row r="27" spans="1:15" ht="14.25" x14ac:dyDescent="0.45">
      <c r="B27" s="159"/>
      <c r="C27" s="177"/>
      <c r="D27" s="19" t="s">
        <v>42</v>
      </c>
      <c r="E27" s="80">
        <f>E25</f>
        <v>3.5503875968992252E-2</v>
      </c>
      <c r="F27" s="80">
        <f>E27+F25</f>
        <v>6.7522384472087013E-2</v>
      </c>
      <c r="G27" s="80">
        <f>F27+G25</f>
        <v>9.6839057730300007E-2</v>
      </c>
      <c r="H27" s="80">
        <f t="shared" ref="H27:I27" si="9">G27+H25</f>
        <v>0.12406128506224806</v>
      </c>
      <c r="I27" s="80">
        <f t="shared" si="9"/>
        <v>0.14965991090096747</v>
      </c>
      <c r="J27" s="80">
        <f>I27+J25</f>
        <v>0.17399993093098254</v>
      </c>
      <c r="K27" s="80">
        <f t="shared" ref="K27:N27" si="10">J27+K25</f>
        <v>0.1973642875433973</v>
      </c>
      <c r="L27" s="80">
        <f t="shared" si="10"/>
        <v>0.21997231592511418</v>
      </c>
      <c r="M27" s="80">
        <f t="shared" si="10"/>
        <v>0.2419940433528017</v>
      </c>
      <c r="N27" s="80">
        <f t="shared" si="10"/>
        <v>0.26356127391690054</v>
      </c>
    </row>
    <row r="28" spans="1:15" ht="14.25" x14ac:dyDescent="0.45">
      <c r="B28" s="158" t="s">
        <v>17</v>
      </c>
      <c r="C28" s="176" t="s">
        <v>32</v>
      </c>
      <c r="D28" s="15" t="s">
        <v>43</v>
      </c>
      <c r="E28" s="17">
        <f t="shared" ref="E28:N28" si="11">((1+$E$11)*$E$7)+($E$7*E18)</f>
        <v>1.7751937984496126E-2</v>
      </c>
      <c r="F28" s="17">
        <f t="shared" si="11"/>
        <v>1.6009254251547381E-2</v>
      </c>
      <c r="G28" s="17">
        <f t="shared" si="11"/>
        <v>1.4658336629106499E-2</v>
      </c>
      <c r="H28" s="17">
        <f t="shared" si="11"/>
        <v>1.361111366597403E-2</v>
      </c>
      <c r="I28" s="17">
        <f t="shared" si="11"/>
        <v>1.2799312919359714E-2</v>
      </c>
      <c r="J28" s="17">
        <f t="shared" si="11"/>
        <v>1.217001001500753E-2</v>
      </c>
      <c r="K28" s="17">
        <f t="shared" si="11"/>
        <v>1.1682178306207387E-2</v>
      </c>
      <c r="L28" s="17">
        <f t="shared" si="11"/>
        <v>1.1304014190858441E-2</v>
      </c>
      <c r="M28" s="17">
        <f t="shared" si="11"/>
        <v>1.1010863713843752E-2</v>
      </c>
      <c r="N28" s="17">
        <f t="shared" si="11"/>
        <v>1.078361528204942E-2</v>
      </c>
    </row>
    <row r="29" spans="1:15" ht="15" customHeight="1" x14ac:dyDescent="0.45">
      <c r="B29" s="159"/>
      <c r="C29" s="177"/>
      <c r="D29" s="15" t="s">
        <v>44</v>
      </c>
      <c r="E29" s="17"/>
      <c r="F29" s="17"/>
      <c r="G29" s="17"/>
      <c r="H29" s="17"/>
      <c r="I29" s="17">
        <f>AVERAGE(E28:I28)</f>
        <v>1.4965991090096747E-2</v>
      </c>
      <c r="J29" s="16"/>
      <c r="K29" s="16"/>
      <c r="L29" s="16"/>
      <c r="M29" s="16"/>
      <c r="N29" s="17">
        <f>AVERAGE(E28:N28)</f>
        <v>1.3178063695845028E-2</v>
      </c>
    </row>
    <row r="30" spans="1:15" ht="14.25" x14ac:dyDescent="0.45">
      <c r="B30" s="159"/>
      <c r="C30" s="177"/>
      <c r="D30" s="19" t="s">
        <v>42</v>
      </c>
      <c r="E30" s="80">
        <f>E28</f>
        <v>1.7751937984496126E-2</v>
      </c>
      <c r="F30" s="80">
        <f t="shared" ref="F30:N30" si="12">E30+F28</f>
        <v>3.3761192236043507E-2</v>
      </c>
      <c r="G30" s="80">
        <f>F30+G28</f>
        <v>4.8419528865150004E-2</v>
      </c>
      <c r="H30" s="80">
        <f t="shared" si="12"/>
        <v>6.2030642531124031E-2</v>
      </c>
      <c r="I30" s="80">
        <f t="shared" si="12"/>
        <v>7.4829955450483737E-2</v>
      </c>
      <c r="J30" s="80">
        <f>I30+J28</f>
        <v>8.6999965465491269E-2</v>
      </c>
      <c r="K30" s="80">
        <f t="shared" si="12"/>
        <v>9.8682143771698649E-2</v>
      </c>
      <c r="L30" s="80">
        <f t="shared" si="12"/>
        <v>0.10998615796255709</v>
      </c>
      <c r="M30" s="80">
        <f t="shared" si="12"/>
        <v>0.12099702167640085</v>
      </c>
      <c r="N30" s="80">
        <f t="shared" si="12"/>
        <v>0.13178063695845027</v>
      </c>
    </row>
    <row r="31" spans="1:15" ht="14.25" x14ac:dyDescent="0.45">
      <c r="B31" s="3"/>
      <c r="C31" s="1"/>
      <c r="D31" s="43"/>
      <c r="E31" s="31"/>
      <c r="F31" s="31"/>
      <c r="G31" s="31"/>
      <c r="H31" s="31"/>
      <c r="I31" s="31"/>
      <c r="J31" s="31"/>
      <c r="K31" s="31"/>
      <c r="L31" s="31"/>
      <c r="M31" s="31"/>
      <c r="N31" s="31"/>
    </row>
    <row r="32" spans="1:15" ht="14.25"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row>
    <row r="33" spans="2:14" ht="14.25" x14ac:dyDescent="0.45">
      <c r="B33" s="169"/>
      <c r="C33" s="171"/>
      <c r="D33" s="173"/>
      <c r="E33" s="149"/>
      <c r="F33" s="149"/>
      <c r="G33" s="149"/>
      <c r="H33" s="149"/>
      <c r="I33" s="149"/>
      <c r="J33" s="149"/>
      <c r="K33" s="149"/>
      <c r="L33" s="149"/>
      <c r="M33" s="149"/>
      <c r="N33" s="149"/>
    </row>
    <row r="34" spans="2:14" ht="14.25" x14ac:dyDescent="0.45">
      <c r="B34" s="158" t="s">
        <v>141</v>
      </c>
      <c r="C34" s="166" t="s">
        <v>32</v>
      </c>
      <c r="D34" s="15" t="s">
        <v>58</v>
      </c>
      <c r="E34" s="16">
        <f>E39*$E$4/E$15</f>
        <v>7.7519379844961239E-2</v>
      </c>
      <c r="F34" s="16">
        <f t="shared" ref="F34:N34" si="13">F39*$E$4/F$15</f>
        <v>6.0092542515473829E-2</v>
      </c>
      <c r="G34" s="16">
        <f t="shared" si="13"/>
        <v>4.6583366291064986E-2</v>
      </c>
      <c r="H34" s="16">
        <f t="shared" si="13"/>
        <v>3.6111136659740299E-2</v>
      </c>
      <c r="I34" s="16">
        <f t="shared" si="13"/>
        <v>2.7993129193597133E-2</v>
      </c>
      <c r="J34" s="16">
        <f t="shared" si="13"/>
        <v>2.1700100150075299E-2</v>
      </c>
      <c r="K34" s="16">
        <f t="shared" si="13"/>
        <v>1.6821783062073874E-2</v>
      </c>
      <c r="L34" s="16">
        <f t="shared" si="13"/>
        <v>1.3040141908584399E-2</v>
      </c>
      <c r="M34" s="16">
        <f t="shared" si="13"/>
        <v>1.010863713843752E-2</v>
      </c>
      <c r="N34" s="16">
        <f t="shared" si="13"/>
        <v>7.8361528204942011E-3</v>
      </c>
    </row>
    <row r="35" spans="2:14" ht="14.25" x14ac:dyDescent="0.45">
      <c r="B35" s="159"/>
      <c r="C35" s="166"/>
      <c r="D35" s="15" t="s">
        <v>59</v>
      </c>
      <c r="E35" s="16"/>
      <c r="F35" s="16"/>
      <c r="G35" s="16"/>
      <c r="H35" s="16"/>
      <c r="I35" s="82">
        <f>AVERAGE(E34:I34)</f>
        <v>4.9659910900967504E-2</v>
      </c>
      <c r="J35" s="16"/>
      <c r="K35" s="16"/>
      <c r="L35" s="16"/>
      <c r="M35" s="16"/>
      <c r="N35" s="17">
        <f>AVERAGE(E34:N34)</f>
        <v>3.1780636958450278E-2</v>
      </c>
    </row>
    <row r="36" spans="2:14" ht="14.25" x14ac:dyDescent="0.45">
      <c r="B36" s="159"/>
      <c r="C36" s="166"/>
      <c r="D36" s="15" t="s">
        <v>42</v>
      </c>
      <c r="E36" s="16">
        <f t="shared" ref="E36:N36" si="14">E$17*(E34/E$19)</f>
        <v>7.7519379844961239E-2</v>
      </c>
      <c r="F36" s="16">
        <f t="shared" si="14"/>
        <v>0.13761192236043507</v>
      </c>
      <c r="G36" s="16">
        <f>G$17*(G34/G$19)</f>
        <v>0.18419528865150009</v>
      </c>
      <c r="H36" s="16">
        <f>H$17*(H34/H$19)</f>
        <v>0.22030642531124023</v>
      </c>
      <c r="I36" s="16">
        <f>I$17*(I34/I$19)</f>
        <v>0.24829955450483765</v>
      </c>
      <c r="J36" s="16">
        <f t="shared" si="14"/>
        <v>0.26999965465491277</v>
      </c>
      <c r="K36" s="16">
        <f t="shared" si="14"/>
        <v>0.28682143771698643</v>
      </c>
      <c r="L36" s="16">
        <f t="shared" si="14"/>
        <v>0.29986157962557164</v>
      </c>
      <c r="M36" s="16">
        <f t="shared" si="14"/>
        <v>0.30997021676400793</v>
      </c>
      <c r="N36" s="16">
        <f t="shared" si="14"/>
        <v>0.31780636958450348</v>
      </c>
    </row>
    <row r="37" spans="2:14" ht="14.25" customHeight="1" x14ac:dyDescent="0.45">
      <c r="B37" s="159"/>
      <c r="C37" s="167"/>
      <c r="D37" s="19" t="s">
        <v>45</v>
      </c>
      <c r="E37" s="20">
        <f t="shared" ref="E37:N37" si="15">10*E34</f>
        <v>0.77519379844961245</v>
      </c>
      <c r="F37" s="20">
        <f t="shared" si="15"/>
        <v>0.60092542515473824</v>
      </c>
      <c r="G37" s="20">
        <f t="shared" si="15"/>
        <v>0.46583366291064987</v>
      </c>
      <c r="H37" s="20">
        <f t="shared" si="15"/>
        <v>0.36111136659740301</v>
      </c>
      <c r="I37" s="20">
        <f t="shared" si="15"/>
        <v>0.27993129193597133</v>
      </c>
      <c r="J37" s="20">
        <f t="shared" si="15"/>
        <v>0.21700100150075299</v>
      </c>
      <c r="K37" s="20">
        <f t="shared" si="15"/>
        <v>0.16821783062073875</v>
      </c>
      <c r="L37" s="20">
        <f t="shared" si="15"/>
        <v>0.13040141908584399</v>
      </c>
      <c r="M37" s="20">
        <f t="shared" si="15"/>
        <v>0.10108637138437521</v>
      </c>
      <c r="N37" s="20">
        <f t="shared" si="15"/>
        <v>7.8361528204942008E-2</v>
      </c>
    </row>
    <row r="38" spans="2:14" ht="14.25" x14ac:dyDescent="0.45">
      <c r="B38" s="159"/>
      <c r="C38" s="167"/>
      <c r="D38" s="19" t="s">
        <v>46</v>
      </c>
      <c r="E38" s="20">
        <f>10*E36</f>
        <v>0.77519379844961245</v>
      </c>
      <c r="F38" s="20">
        <f>10*F36</f>
        <v>1.3761192236043507</v>
      </c>
      <c r="G38" s="20">
        <f>10*G36</f>
        <v>1.841952886515001</v>
      </c>
      <c r="H38" s="20">
        <f t="shared" ref="H38:N38" si="16">10*H36</f>
        <v>2.2030642531124025</v>
      </c>
      <c r="I38" s="20">
        <f t="shared" si="16"/>
        <v>2.4829955450483765</v>
      </c>
      <c r="J38" s="20">
        <f t="shared" si="16"/>
        <v>2.6999965465491278</v>
      </c>
      <c r="K38" s="20">
        <f t="shared" si="16"/>
        <v>2.8682143771698643</v>
      </c>
      <c r="L38" s="20">
        <f t="shared" si="16"/>
        <v>2.9986157962557165</v>
      </c>
      <c r="M38" s="20">
        <f t="shared" si="16"/>
        <v>3.0997021676400793</v>
      </c>
      <c r="N38" s="20">
        <f t="shared" si="16"/>
        <v>3.1780636958450348</v>
      </c>
    </row>
    <row r="39" spans="2:14" ht="14.25" x14ac:dyDescent="0.45">
      <c r="B39" s="159"/>
      <c r="C39" s="165" t="s">
        <v>36</v>
      </c>
      <c r="D39" s="15" t="s">
        <v>43</v>
      </c>
      <c r="E39" s="16">
        <f>E8</f>
        <v>0.1</v>
      </c>
      <c r="F39" s="16">
        <f>E39</f>
        <v>0.1</v>
      </c>
      <c r="G39" s="16">
        <f t="shared" ref="G39:N39" si="17">F39</f>
        <v>0.1</v>
      </c>
      <c r="H39" s="16">
        <f t="shared" si="17"/>
        <v>0.1</v>
      </c>
      <c r="I39" s="16">
        <f t="shared" si="17"/>
        <v>0.1</v>
      </c>
      <c r="J39" s="16">
        <f t="shared" si="17"/>
        <v>0.1</v>
      </c>
      <c r="K39" s="16">
        <f t="shared" si="17"/>
        <v>0.1</v>
      </c>
      <c r="L39" s="16">
        <f t="shared" si="17"/>
        <v>0.1</v>
      </c>
      <c r="M39" s="16">
        <f t="shared" si="17"/>
        <v>0.1</v>
      </c>
      <c r="N39" s="16">
        <f t="shared" si="17"/>
        <v>0.1</v>
      </c>
    </row>
    <row r="40" spans="2:14" ht="14.25" customHeight="1" x14ac:dyDescent="0.45">
      <c r="B40" s="159"/>
      <c r="C40" s="167"/>
      <c r="D40" s="19" t="s">
        <v>45</v>
      </c>
      <c r="E40" s="21">
        <f>E37*E$15</f>
        <v>100000</v>
      </c>
      <c r="F40" s="21">
        <f t="shared" ref="F40:N40" si="18">F37*F$15</f>
        <v>99999.999999999985</v>
      </c>
      <c r="G40" s="21">
        <f>G37*G$15</f>
        <v>100000</v>
      </c>
      <c r="H40" s="21">
        <f>H37*H$15</f>
        <v>100000</v>
      </c>
      <c r="I40" s="21">
        <f>I37*I$15</f>
        <v>100000</v>
      </c>
      <c r="J40" s="21">
        <f t="shared" si="18"/>
        <v>100000</v>
      </c>
      <c r="K40" s="21">
        <f t="shared" si="18"/>
        <v>100000</v>
      </c>
      <c r="L40" s="21">
        <f t="shared" si="18"/>
        <v>100000</v>
      </c>
      <c r="M40" s="21">
        <f t="shared" si="18"/>
        <v>100000.00000000001</v>
      </c>
      <c r="N40" s="21">
        <f t="shared" si="18"/>
        <v>99999.999999999985</v>
      </c>
    </row>
    <row r="41" spans="2:14" ht="14.25" x14ac:dyDescent="0.45">
      <c r="B41" s="159"/>
      <c r="C41" s="167"/>
      <c r="D41" s="19" t="s">
        <v>46</v>
      </c>
      <c r="E41" s="21">
        <f>E40</f>
        <v>100000</v>
      </c>
      <c r="F41" s="21">
        <f>E41+F40</f>
        <v>200000</v>
      </c>
      <c r="G41" s="21">
        <f>F41+G40</f>
        <v>300000</v>
      </c>
      <c r="H41" s="21">
        <f t="shared" ref="H41:N41" si="19">G41+H40</f>
        <v>400000</v>
      </c>
      <c r="I41" s="21">
        <f t="shared" si="19"/>
        <v>500000</v>
      </c>
      <c r="J41" s="21">
        <f>I41+J40</f>
        <v>600000</v>
      </c>
      <c r="K41" s="21">
        <f t="shared" si="19"/>
        <v>700000</v>
      </c>
      <c r="L41" s="21">
        <f t="shared" si="19"/>
        <v>800000</v>
      </c>
      <c r="M41" s="21">
        <f t="shared" si="19"/>
        <v>900000</v>
      </c>
      <c r="N41" s="21">
        <f t="shared" si="19"/>
        <v>1000000</v>
      </c>
    </row>
    <row r="42" spans="2:14" ht="14.25" x14ac:dyDescent="0.45">
      <c r="B42" s="159"/>
      <c r="C42" s="165" t="s">
        <v>35</v>
      </c>
      <c r="D42" s="15" t="s">
        <v>43</v>
      </c>
      <c r="E42" s="16">
        <f>E36*E$15/$E$4</f>
        <v>0.1</v>
      </c>
      <c r="F42" s="16">
        <f>F36*F$15/$E$4-E42</f>
        <v>0.129</v>
      </c>
      <c r="G42" s="16">
        <f>G36*G$15/$E$4-F42-E42</f>
        <v>0.16641000000000009</v>
      </c>
      <c r="H42" s="16">
        <f>H36*H$15/$E$4-G42-F42-E42</f>
        <v>0.21466889999999958</v>
      </c>
      <c r="I42" s="16">
        <f>I36*I$15/$E$4-H42-G42-F42-E42</f>
        <v>0.27692288100000084</v>
      </c>
      <c r="J42" s="16">
        <f>J36*J$15/$E$4-I42-H42-G42-F42-E42</f>
        <v>0.35723051648999904</v>
      </c>
      <c r="K42" s="16">
        <f>K36*K$15/$E$4-J42-I42-H42-G42-F42-E42</f>
        <v>0.46082736627209886</v>
      </c>
      <c r="L42" s="16">
        <f>L36*L$15/$E$4-K42-J42-I42-H42-G42-F42-E42</f>
        <v>0.59446730249101465</v>
      </c>
      <c r="M42" s="16">
        <f>M36*M$15/$E$4-L42-K42-J42-I42-H42-G42-F42-E42</f>
        <v>0.76686282021339069</v>
      </c>
      <c r="N42" s="16">
        <f>N36*N$15/$E$4-M42-L42-K42-J42-I42-H42-G42-F42-E42</f>
        <v>0.98925303807530207</v>
      </c>
    </row>
    <row r="43" spans="2:14" ht="14.25" x14ac:dyDescent="0.45">
      <c r="B43" s="159"/>
      <c r="C43" s="166"/>
      <c r="D43" s="15" t="s">
        <v>44</v>
      </c>
      <c r="E43" s="17"/>
      <c r="F43" s="17"/>
      <c r="G43" s="17"/>
      <c r="H43" s="17"/>
      <c r="I43" s="38">
        <f>AVERAGE(E42:I42)</f>
        <v>0.17740035620000011</v>
      </c>
      <c r="J43" s="17"/>
      <c r="K43" s="17"/>
      <c r="L43" s="17"/>
      <c r="M43" s="17"/>
      <c r="N43" s="17">
        <f>AVERAGE(E42:N42)</f>
        <v>0.40556428245418064</v>
      </c>
    </row>
    <row r="44" spans="2:14" ht="14.25" x14ac:dyDescent="0.45">
      <c r="B44" s="159"/>
      <c r="C44" s="167"/>
      <c r="D44" s="19" t="s">
        <v>45</v>
      </c>
      <c r="E44" s="22">
        <f>E46</f>
        <v>100000</v>
      </c>
      <c r="F44" s="22">
        <f>F46-E46</f>
        <v>129000</v>
      </c>
      <c r="G44" s="22">
        <f>G46-F46</f>
        <v>166410.00000000006</v>
      </c>
      <c r="H44" s="22">
        <f t="shared" ref="H44:N44" si="20">H46-G46</f>
        <v>214668.89999999962</v>
      </c>
      <c r="I44" s="22">
        <f t="shared" si="20"/>
        <v>276922.88100000075</v>
      </c>
      <c r="J44" s="22">
        <f>J46-I46</f>
        <v>357230.51648999937</v>
      </c>
      <c r="K44" s="22">
        <f t="shared" si="20"/>
        <v>460827.36627209862</v>
      </c>
      <c r="L44" s="22">
        <f t="shared" si="20"/>
        <v>594467.30249101459</v>
      </c>
      <c r="M44" s="22">
        <f t="shared" si="20"/>
        <v>766862.82021339051</v>
      </c>
      <c r="N44" s="22">
        <f t="shared" si="20"/>
        <v>989253.03807530319</v>
      </c>
    </row>
    <row r="45" spans="2:14" ht="15" customHeight="1" x14ac:dyDescent="0.45">
      <c r="B45" s="159"/>
      <c r="C45" s="167"/>
      <c r="D45" s="19" t="s">
        <v>47</v>
      </c>
      <c r="E45" s="22"/>
      <c r="F45" s="22"/>
      <c r="G45" s="22"/>
      <c r="H45" s="22"/>
      <c r="I45" s="22">
        <f>AVERAGE(E44:I44)</f>
        <v>177400.3562000001</v>
      </c>
      <c r="J45" s="22"/>
      <c r="K45" s="22"/>
      <c r="L45" s="22"/>
      <c r="M45" s="22"/>
      <c r="N45" s="22">
        <f>AVERAGE(E44:N44)</f>
        <v>405564.28245418065</v>
      </c>
    </row>
    <row r="46" spans="2:14" ht="14.25" x14ac:dyDescent="0.45">
      <c r="B46" s="160"/>
      <c r="C46" s="167"/>
      <c r="D46" s="19" t="s">
        <v>46</v>
      </c>
      <c r="E46" s="21">
        <f t="shared" ref="E46:N46" si="21">E38*E$15</f>
        <v>100000</v>
      </c>
      <c r="F46" s="21">
        <f t="shared" si="21"/>
        <v>229000</v>
      </c>
      <c r="G46" s="21">
        <f>G38*G$15</f>
        <v>395410.00000000006</v>
      </c>
      <c r="H46" s="21">
        <f>H38*H$15</f>
        <v>610078.89999999967</v>
      </c>
      <c r="I46" s="21">
        <f>I38*I$15</f>
        <v>887001.78100000042</v>
      </c>
      <c r="J46" s="21">
        <f t="shared" si="21"/>
        <v>1244232.2974899998</v>
      </c>
      <c r="K46" s="21">
        <f t="shared" si="21"/>
        <v>1705059.6637620984</v>
      </c>
      <c r="L46" s="21">
        <f t="shared" si="21"/>
        <v>2299526.966253113</v>
      </c>
      <c r="M46" s="21">
        <f t="shared" si="21"/>
        <v>3066389.7864665035</v>
      </c>
      <c r="N46" s="21">
        <f t="shared" si="21"/>
        <v>4055642.8245418067</v>
      </c>
    </row>
    <row r="47" spans="2:14" ht="14.25" x14ac:dyDescent="0.45">
      <c r="B47" s="3"/>
      <c r="C47" s="1"/>
      <c r="D47" s="43"/>
      <c r="E47" s="31"/>
      <c r="F47" s="31"/>
      <c r="G47" s="31"/>
      <c r="H47" s="31"/>
      <c r="I47" s="31"/>
      <c r="J47" s="31"/>
      <c r="K47" s="31"/>
      <c r="L47" s="31"/>
      <c r="M47" s="31"/>
      <c r="N47" s="31"/>
    </row>
    <row r="48" spans="2:14" ht="14.25"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5" ht="14.25" x14ac:dyDescent="0.45">
      <c r="B49" s="151"/>
      <c r="C49" s="175"/>
      <c r="D49" s="153"/>
      <c r="E49" s="149"/>
      <c r="F49" s="149"/>
      <c r="G49" s="149"/>
      <c r="H49" s="149"/>
      <c r="I49" s="149"/>
      <c r="J49" s="149"/>
      <c r="K49" s="149"/>
      <c r="L49" s="149"/>
      <c r="M49" s="149"/>
      <c r="N49" s="149"/>
    </row>
    <row r="50" spans="1:15" ht="14.25" x14ac:dyDescent="0.45">
      <c r="B50" s="158" t="s">
        <v>141</v>
      </c>
      <c r="C50" s="166" t="s">
        <v>32</v>
      </c>
      <c r="D50" s="15" t="s">
        <v>43</v>
      </c>
      <c r="E50" s="16">
        <f>E55*$E$4/E$15</f>
        <v>3.875968992248062E-2</v>
      </c>
      <c r="F50" s="16">
        <f t="shared" ref="F50:N50" si="22">F55*$E$4/F$15</f>
        <v>3.0046271257736915E-2</v>
      </c>
      <c r="G50" s="16">
        <f t="shared" si="22"/>
        <v>2.3291683145532493E-2</v>
      </c>
      <c r="H50" s="16">
        <f t="shared" si="22"/>
        <v>1.805556832987015E-2</v>
      </c>
      <c r="I50" s="16">
        <f t="shared" si="22"/>
        <v>1.3996564596798567E-2</v>
      </c>
      <c r="J50" s="16">
        <f t="shared" si="22"/>
        <v>1.085005007503765E-2</v>
      </c>
      <c r="K50" s="16">
        <f t="shared" si="22"/>
        <v>8.4108915310369368E-3</v>
      </c>
      <c r="L50" s="16">
        <f t="shared" si="22"/>
        <v>6.5200709542921993E-3</v>
      </c>
      <c r="M50" s="16">
        <f t="shared" si="22"/>
        <v>5.0543185692187602E-3</v>
      </c>
      <c r="N50" s="16">
        <f t="shared" si="22"/>
        <v>3.9180764102471006E-3</v>
      </c>
    </row>
    <row r="51" spans="1:15" ht="14.25" x14ac:dyDescent="0.45">
      <c r="B51" s="159"/>
      <c r="C51" s="166"/>
      <c r="D51" s="15" t="s">
        <v>44</v>
      </c>
      <c r="E51" s="16"/>
      <c r="F51" s="16"/>
      <c r="G51" s="16"/>
      <c r="H51" s="16"/>
      <c r="I51" s="127">
        <f>AVERAGE(E50:I50)</f>
        <v>2.4829955450483752E-2</v>
      </c>
      <c r="J51" s="16"/>
      <c r="K51" s="16"/>
      <c r="L51" s="16"/>
      <c r="M51" s="16"/>
      <c r="N51" s="17">
        <f>AVERAGE(E50:N50)</f>
        <v>1.5890318479225139E-2</v>
      </c>
    </row>
    <row r="52" spans="1:15" ht="14.25" x14ac:dyDescent="0.45">
      <c r="B52" s="159"/>
      <c r="C52" s="166"/>
      <c r="D52" s="15" t="s">
        <v>42</v>
      </c>
      <c r="E52" s="16">
        <f t="shared" ref="E52:N52" si="23">E$17*(E50/E$19)</f>
        <v>3.875968992248062E-2</v>
      </c>
      <c r="F52" s="16">
        <f t="shared" si="23"/>
        <v>6.8805961180217534E-2</v>
      </c>
      <c r="G52" s="16">
        <f t="shared" si="23"/>
        <v>9.2097644325750044E-2</v>
      </c>
      <c r="H52" s="16">
        <f t="shared" si="23"/>
        <v>0.11015321265562011</v>
      </c>
      <c r="I52" s="16">
        <f t="shared" si="23"/>
        <v>0.12414977725241882</v>
      </c>
      <c r="J52" s="16">
        <f t="shared" si="23"/>
        <v>0.13499982732745638</v>
      </c>
      <c r="K52" s="16">
        <f t="shared" si="23"/>
        <v>0.14341071885849321</v>
      </c>
      <c r="L52" s="16">
        <f t="shared" si="23"/>
        <v>0.14993078981278582</v>
      </c>
      <c r="M52" s="16">
        <f t="shared" si="23"/>
        <v>0.15498510838200397</v>
      </c>
      <c r="N52" s="16">
        <f t="shared" si="23"/>
        <v>0.15890318479225174</v>
      </c>
    </row>
    <row r="53" spans="1:15" ht="14.25" customHeight="1" x14ac:dyDescent="0.45">
      <c r="B53" s="159"/>
      <c r="C53" s="167"/>
      <c r="D53" s="19" t="s">
        <v>45</v>
      </c>
      <c r="E53" s="20">
        <f>10*E50</f>
        <v>0.38759689922480622</v>
      </c>
      <c r="F53" s="20">
        <f t="shared" ref="F53:N53" si="24">10*F50</f>
        <v>0.30046271257736912</v>
      </c>
      <c r="G53" s="20">
        <f t="shared" si="24"/>
        <v>0.23291683145532494</v>
      </c>
      <c r="H53" s="20">
        <f t="shared" si="24"/>
        <v>0.1805556832987015</v>
      </c>
      <c r="I53" s="20">
        <f t="shared" si="24"/>
        <v>0.13996564596798566</v>
      </c>
      <c r="J53" s="20">
        <f t="shared" si="24"/>
        <v>0.1085005007503765</v>
      </c>
      <c r="K53" s="20">
        <f t="shared" si="24"/>
        <v>8.4108915310369375E-2</v>
      </c>
      <c r="L53" s="20">
        <f t="shared" si="24"/>
        <v>6.5200709542921995E-2</v>
      </c>
      <c r="M53" s="20">
        <f t="shared" si="24"/>
        <v>5.0543185692187603E-2</v>
      </c>
      <c r="N53" s="20">
        <f t="shared" si="24"/>
        <v>3.9180764102471004E-2</v>
      </c>
    </row>
    <row r="54" spans="1:15" ht="14.25" x14ac:dyDescent="0.45">
      <c r="B54" s="159"/>
      <c r="C54" s="167"/>
      <c r="D54" s="19" t="s">
        <v>46</v>
      </c>
      <c r="E54" s="20">
        <f>10*E52</f>
        <v>0.38759689922480622</v>
      </c>
      <c r="F54" s="20">
        <f>10*F52</f>
        <v>0.68805961180217534</v>
      </c>
      <c r="G54" s="20">
        <f>10*G52</f>
        <v>0.9209764432575005</v>
      </c>
      <c r="H54" s="20">
        <f t="shared" ref="H54:N54" si="25">10*H52</f>
        <v>1.1015321265562013</v>
      </c>
      <c r="I54" s="20">
        <f t="shared" si="25"/>
        <v>1.2414977725241882</v>
      </c>
      <c r="J54" s="20">
        <f t="shared" si="25"/>
        <v>1.3499982732745639</v>
      </c>
      <c r="K54" s="20">
        <f t="shared" si="25"/>
        <v>1.4341071885849321</v>
      </c>
      <c r="L54" s="20">
        <f t="shared" si="25"/>
        <v>1.4993078981278583</v>
      </c>
      <c r="M54" s="20">
        <f t="shared" si="25"/>
        <v>1.5498510838200397</v>
      </c>
      <c r="N54" s="20">
        <f t="shared" si="25"/>
        <v>1.5890318479225174</v>
      </c>
    </row>
    <row r="55" spans="1:15" ht="14.25" x14ac:dyDescent="0.45">
      <c r="B55" s="159"/>
      <c r="C55" s="165" t="s">
        <v>36</v>
      </c>
      <c r="D55" s="15" t="s">
        <v>43</v>
      </c>
      <c r="E55" s="16">
        <f t="shared" ref="E55:N55" si="26">$E9+($E$10*$E$11)</f>
        <v>0.05</v>
      </c>
      <c r="F55" s="16">
        <f t="shared" si="26"/>
        <v>0.05</v>
      </c>
      <c r="G55" s="16">
        <f t="shared" si="26"/>
        <v>0.05</v>
      </c>
      <c r="H55" s="16">
        <f t="shared" si="26"/>
        <v>0.05</v>
      </c>
      <c r="I55" s="16">
        <f t="shared" si="26"/>
        <v>0.05</v>
      </c>
      <c r="J55" s="16">
        <f t="shared" si="26"/>
        <v>0.05</v>
      </c>
      <c r="K55" s="16">
        <f t="shared" si="26"/>
        <v>0.05</v>
      </c>
      <c r="L55" s="16">
        <f t="shared" si="26"/>
        <v>0.05</v>
      </c>
      <c r="M55" s="16">
        <f t="shared" si="26"/>
        <v>0.05</v>
      </c>
      <c r="N55" s="16">
        <f t="shared" si="26"/>
        <v>0.05</v>
      </c>
    </row>
    <row r="56" spans="1:15" ht="14.25" customHeight="1" x14ac:dyDescent="0.45">
      <c r="B56" s="159"/>
      <c r="C56" s="167"/>
      <c r="D56" s="19" t="s">
        <v>45</v>
      </c>
      <c r="E56" s="21">
        <f t="shared" ref="E56:N56" si="27">E53*E$15</f>
        <v>50000</v>
      </c>
      <c r="F56" s="21">
        <f t="shared" si="27"/>
        <v>49999.999999999993</v>
      </c>
      <c r="G56" s="21">
        <f t="shared" si="27"/>
        <v>50000</v>
      </c>
      <c r="H56" s="21">
        <f t="shared" si="27"/>
        <v>50000</v>
      </c>
      <c r="I56" s="21">
        <f t="shared" si="27"/>
        <v>50000</v>
      </c>
      <c r="J56" s="21">
        <f t="shared" si="27"/>
        <v>50000</v>
      </c>
      <c r="K56" s="21">
        <f t="shared" si="27"/>
        <v>50000</v>
      </c>
      <c r="L56" s="21">
        <f t="shared" si="27"/>
        <v>50000</v>
      </c>
      <c r="M56" s="21">
        <f t="shared" si="27"/>
        <v>50000.000000000007</v>
      </c>
      <c r="N56" s="21">
        <f t="shared" si="27"/>
        <v>49999.999999999993</v>
      </c>
    </row>
    <row r="57" spans="1:15" ht="14.25" x14ac:dyDescent="0.45">
      <c r="B57" s="159"/>
      <c r="C57" s="167"/>
      <c r="D57" s="19" t="s">
        <v>46</v>
      </c>
      <c r="E57" s="21">
        <f>E56</f>
        <v>50000</v>
      </c>
      <c r="F57" s="21">
        <f>E57+F56</f>
        <v>100000</v>
      </c>
      <c r="G57" s="21">
        <f>F57+G56</f>
        <v>150000</v>
      </c>
      <c r="H57" s="21">
        <f t="shared" ref="H57:N57" si="28">G57+H56</f>
        <v>200000</v>
      </c>
      <c r="I57" s="21">
        <f t="shared" si="28"/>
        <v>250000</v>
      </c>
      <c r="J57" s="21">
        <f>I57+J56</f>
        <v>300000</v>
      </c>
      <c r="K57" s="21">
        <f t="shared" si="28"/>
        <v>350000</v>
      </c>
      <c r="L57" s="21">
        <f t="shared" si="28"/>
        <v>400000</v>
      </c>
      <c r="M57" s="21">
        <f t="shared" si="28"/>
        <v>450000</v>
      </c>
      <c r="N57" s="21">
        <f t="shared" si="28"/>
        <v>500000</v>
      </c>
    </row>
    <row r="58" spans="1:15" ht="14.25" x14ac:dyDescent="0.45">
      <c r="B58" s="159"/>
      <c r="C58" s="165" t="s">
        <v>35</v>
      </c>
      <c r="D58" s="15" t="s">
        <v>43</v>
      </c>
      <c r="E58" s="16">
        <f>E52*E$15/$E$4</f>
        <v>0.05</v>
      </c>
      <c r="F58" s="16">
        <f>F52*F$15/$E$4-E58</f>
        <v>6.4500000000000002E-2</v>
      </c>
      <c r="G58" s="16">
        <f>G52*G$15/$E$4-F58-E58</f>
        <v>8.3205000000000043E-2</v>
      </c>
      <c r="H58" s="16">
        <f>H52*H$15/$E$4-G58-F58-E58</f>
        <v>0.10733444999999979</v>
      </c>
      <c r="I58" s="16">
        <f>I52*I$15/$E$4-H58-G58-F58-E58</f>
        <v>0.13846144050000042</v>
      </c>
      <c r="J58" s="16">
        <f>J52*J$15/$E$4-I58-H58-G58-F58-E58</f>
        <v>0.17861525824499952</v>
      </c>
      <c r="K58" s="16">
        <f>K52*K$15/$E$4-J58-I58-H58-G58-F58-E58</f>
        <v>0.23041368313604943</v>
      </c>
      <c r="L58" s="16">
        <f>L52*L$15/$E$4-K58-J58-I58-H58-G58-F58-E58</f>
        <v>0.29723365124550732</v>
      </c>
      <c r="M58" s="16">
        <f>M52*M$15/$E$4-L58-K58-J58-I58-H58-G58-F58-E58</f>
        <v>0.38343141010669535</v>
      </c>
      <c r="N58" s="16">
        <f>N52*N$15/$E$4-M58-L58-K58-J58-I58-H58-G58-F58-E58</f>
        <v>0.49462651903765104</v>
      </c>
    </row>
    <row r="59" spans="1:15" ht="14.25" x14ac:dyDescent="0.45">
      <c r="B59" s="159"/>
      <c r="C59" s="166"/>
      <c r="D59" s="15" t="s">
        <v>44</v>
      </c>
      <c r="E59" s="17"/>
      <c r="F59" s="17"/>
      <c r="G59" s="17"/>
      <c r="H59" s="17"/>
      <c r="I59" s="17">
        <f>AVERAGE(E58:I58)</f>
        <v>8.8700178100000054E-2</v>
      </c>
      <c r="J59" s="17"/>
      <c r="K59" s="17"/>
      <c r="L59" s="17"/>
      <c r="M59" s="17"/>
      <c r="N59" s="17">
        <f>AVERAGE(E58:N58)</f>
        <v>0.20278214122709032</v>
      </c>
    </row>
    <row r="60" spans="1:15" ht="14.25" x14ac:dyDescent="0.45">
      <c r="B60" s="159"/>
      <c r="C60" s="167"/>
      <c r="D60" s="19" t="s">
        <v>45</v>
      </c>
      <c r="E60" s="22">
        <f>E62</f>
        <v>50000</v>
      </c>
      <c r="F60" s="22">
        <f>F62-E62</f>
        <v>64500</v>
      </c>
      <c r="G60" s="22">
        <f>G62-F62</f>
        <v>83205.000000000029</v>
      </c>
      <c r="H60" s="22">
        <f t="shared" ref="H60:N60" si="29">H62-G62</f>
        <v>107334.44999999981</v>
      </c>
      <c r="I60" s="22">
        <f t="shared" si="29"/>
        <v>138461.44050000038</v>
      </c>
      <c r="J60" s="22">
        <f>J62-I62</f>
        <v>178615.25824499968</v>
      </c>
      <c r="K60" s="22">
        <f t="shared" si="29"/>
        <v>230413.68313604931</v>
      </c>
      <c r="L60" s="22">
        <f t="shared" si="29"/>
        <v>297233.6512455073</v>
      </c>
      <c r="M60" s="22">
        <f t="shared" si="29"/>
        <v>383431.41010669526</v>
      </c>
      <c r="N60" s="22">
        <f t="shared" si="29"/>
        <v>494626.5190376516</v>
      </c>
    </row>
    <row r="61" spans="1:15" ht="15" customHeight="1" x14ac:dyDescent="0.45">
      <c r="B61" s="159"/>
      <c r="C61" s="167"/>
      <c r="D61" s="19" t="s">
        <v>47</v>
      </c>
      <c r="E61" s="22"/>
      <c r="F61" s="22"/>
      <c r="G61" s="22"/>
      <c r="H61" s="22"/>
      <c r="I61" s="22">
        <f>AVERAGE(E60:I60)</f>
        <v>88700.178100000048</v>
      </c>
      <c r="J61" s="22"/>
      <c r="K61" s="22"/>
      <c r="L61" s="22"/>
      <c r="M61" s="22"/>
      <c r="N61" s="22">
        <f>AVERAGE(E60:N60)</f>
        <v>202782.14122709032</v>
      </c>
    </row>
    <row r="62" spans="1:15" ht="14.25" x14ac:dyDescent="0.45">
      <c r="B62" s="160"/>
      <c r="C62" s="167"/>
      <c r="D62" s="19" t="s">
        <v>46</v>
      </c>
      <c r="E62" s="21">
        <f t="shared" ref="E62:N62" si="30">E54*E$15</f>
        <v>50000</v>
      </c>
      <c r="F62" s="21">
        <f t="shared" si="30"/>
        <v>114500</v>
      </c>
      <c r="G62" s="21">
        <f t="shared" si="30"/>
        <v>197705.00000000003</v>
      </c>
      <c r="H62" s="21">
        <f t="shared" si="30"/>
        <v>305039.44999999984</v>
      </c>
      <c r="I62" s="21">
        <f t="shared" si="30"/>
        <v>443500.89050000021</v>
      </c>
      <c r="J62" s="21">
        <f t="shared" si="30"/>
        <v>622116.1487449999</v>
      </c>
      <c r="K62" s="21">
        <f t="shared" si="30"/>
        <v>852529.83188104921</v>
      </c>
      <c r="L62" s="21">
        <f t="shared" si="30"/>
        <v>1149763.4831265565</v>
      </c>
      <c r="M62" s="21">
        <f t="shared" si="30"/>
        <v>1533194.8932332518</v>
      </c>
      <c r="N62" s="21">
        <f t="shared" si="30"/>
        <v>2027821.4122709034</v>
      </c>
    </row>
    <row r="63" spans="1:15" ht="14.25" x14ac:dyDescent="0.45">
      <c r="A63" s="8"/>
      <c r="B63" s="3"/>
      <c r="C63" s="1"/>
      <c r="D63" s="43"/>
      <c r="E63" s="31"/>
      <c r="F63" s="31"/>
      <c r="G63" s="31"/>
      <c r="H63" s="31"/>
      <c r="I63" s="31"/>
      <c r="J63" s="31"/>
      <c r="K63" s="31"/>
      <c r="L63" s="31"/>
      <c r="M63" s="31"/>
      <c r="N63" s="31"/>
      <c r="O63" s="8"/>
    </row>
    <row r="64" spans="1:15" ht="14.25"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4.25" x14ac:dyDescent="0.45">
      <c r="B65" s="164"/>
      <c r="C65" s="162"/>
      <c r="D65" s="155"/>
      <c r="E65" s="149"/>
      <c r="F65" s="149"/>
      <c r="G65" s="149"/>
      <c r="H65" s="149"/>
      <c r="I65" s="149"/>
      <c r="J65" s="149"/>
      <c r="K65" s="149"/>
      <c r="L65" s="149"/>
      <c r="M65" s="149"/>
      <c r="N65" s="149"/>
    </row>
    <row r="66" spans="2:14" ht="14.25" x14ac:dyDescent="0.45">
      <c r="B66" s="167" t="s">
        <v>16</v>
      </c>
      <c r="C66" s="166" t="s">
        <v>32</v>
      </c>
      <c r="D66" s="15" t="s">
        <v>58</v>
      </c>
      <c r="E66" s="16">
        <f>E$23</f>
        <v>0.22480620155038761</v>
      </c>
      <c r="F66" s="16">
        <f t="shared" ref="F66:N66" si="31">F$23</f>
        <v>0.1742683732948741</v>
      </c>
      <c r="G66" s="16">
        <f t="shared" si="31"/>
        <v>0.13509176224408842</v>
      </c>
      <c r="H66" s="16">
        <f t="shared" si="31"/>
        <v>0.10472229631324692</v>
      </c>
      <c r="I66" s="16">
        <f t="shared" si="31"/>
        <v>8.1180074661431623E-2</v>
      </c>
      <c r="J66" s="16">
        <f t="shared" si="31"/>
        <v>6.2930290435218361E-2</v>
      </c>
      <c r="K66" s="16">
        <f t="shared" si="31"/>
        <v>4.878317088001427E-2</v>
      </c>
      <c r="L66" s="16">
        <f t="shared" si="31"/>
        <v>3.7816411534894678E-2</v>
      </c>
      <c r="M66" s="16">
        <f t="shared" si="31"/>
        <v>2.9315047701468866E-2</v>
      </c>
      <c r="N66" s="16">
        <f t="shared" si="31"/>
        <v>2.272484317943313E-2</v>
      </c>
    </row>
    <row r="67" spans="2:14" ht="14.25" x14ac:dyDescent="0.45">
      <c r="B67" s="167"/>
      <c r="C67" s="166"/>
      <c r="D67" s="15" t="s">
        <v>59</v>
      </c>
      <c r="E67" s="16"/>
      <c r="F67" s="16"/>
      <c r="G67" s="16"/>
      <c r="H67" s="16"/>
      <c r="I67" s="82">
        <f>AVERAGE(E66:I66)</f>
        <v>0.14401374161280572</v>
      </c>
      <c r="J67" s="16"/>
      <c r="K67" s="16"/>
      <c r="L67" s="16"/>
      <c r="M67" s="16"/>
      <c r="N67" s="17">
        <f>AVERAGE(E66:N66)</f>
        <v>9.2163847179505792E-2</v>
      </c>
    </row>
    <row r="68" spans="2:14" ht="14.25" x14ac:dyDescent="0.45">
      <c r="B68" s="167"/>
      <c r="C68" s="166"/>
      <c r="D68" s="15" t="s">
        <v>42</v>
      </c>
      <c r="E68" s="16">
        <f>E$17*(E66/E$19)</f>
        <v>0.22480620155038761</v>
      </c>
      <c r="F68" s="16">
        <f t="shared" ref="F68:N68" si="32">F$17*(F66/F$19)</f>
        <v>0.39907457484526171</v>
      </c>
      <c r="G68" s="16">
        <f>G$17*(G66/G$19)</f>
        <v>0.53416633708935013</v>
      </c>
      <c r="H68" s="16">
        <f>H$17*(H66/H$19)</f>
        <v>0.63888863340259705</v>
      </c>
      <c r="I68" s="16">
        <f>I$17*(I66/I$19)</f>
        <v>0.72006870806402867</v>
      </c>
      <c r="J68" s="16">
        <f t="shared" si="32"/>
        <v>0.78299899849924703</v>
      </c>
      <c r="K68" s="16">
        <f t="shared" si="32"/>
        <v>0.8317821693792613</v>
      </c>
      <c r="L68" s="16">
        <f t="shared" si="32"/>
        <v>0.86959858091415598</v>
      </c>
      <c r="M68" s="16">
        <f t="shared" si="32"/>
        <v>0.89891362861562485</v>
      </c>
      <c r="N68" s="16">
        <f t="shared" si="32"/>
        <v>0.92163847179505798</v>
      </c>
    </row>
    <row r="69" spans="2:14" ht="14.25" customHeight="1" x14ac:dyDescent="0.45">
      <c r="B69" s="167"/>
      <c r="C69" s="167"/>
      <c r="D69" s="19" t="s">
        <v>45</v>
      </c>
      <c r="E69" s="20">
        <f>10*E66</f>
        <v>2.248062015503876</v>
      </c>
      <c r="F69" s="20">
        <f t="shared" ref="F69:N69" si="33">10*F66</f>
        <v>1.742683732948741</v>
      </c>
      <c r="G69" s="20">
        <f t="shared" si="33"/>
        <v>1.3509176224408841</v>
      </c>
      <c r="H69" s="20">
        <f t="shared" si="33"/>
        <v>1.0472229631324692</v>
      </c>
      <c r="I69" s="20">
        <f t="shared" si="33"/>
        <v>0.81180074661431623</v>
      </c>
      <c r="J69" s="20">
        <f t="shared" si="33"/>
        <v>0.62930290435218361</v>
      </c>
      <c r="K69" s="20">
        <f t="shared" si="33"/>
        <v>0.4878317088001427</v>
      </c>
      <c r="L69" s="20">
        <f t="shared" si="33"/>
        <v>0.37816411534894678</v>
      </c>
      <c r="M69" s="20">
        <f t="shared" si="33"/>
        <v>0.29315047701468866</v>
      </c>
      <c r="N69" s="20">
        <f t="shared" si="33"/>
        <v>0.2272484317943313</v>
      </c>
    </row>
    <row r="70" spans="2:14" ht="14.25" x14ac:dyDescent="0.45">
      <c r="B70" s="167"/>
      <c r="C70" s="167"/>
      <c r="D70" s="19" t="s">
        <v>46</v>
      </c>
      <c r="E70" s="20">
        <f>10*E68</f>
        <v>2.248062015503876</v>
      </c>
      <c r="F70" s="20">
        <f>10*F68</f>
        <v>3.9907457484526172</v>
      </c>
      <c r="G70" s="20">
        <f>10*G68</f>
        <v>5.3416633708935013</v>
      </c>
      <c r="H70" s="20">
        <f t="shared" ref="H70:N70" si="34">10*H68</f>
        <v>6.3888863340259707</v>
      </c>
      <c r="I70" s="20">
        <f t="shared" si="34"/>
        <v>7.2006870806402867</v>
      </c>
      <c r="J70" s="20">
        <f t="shared" si="34"/>
        <v>7.8299899849924701</v>
      </c>
      <c r="K70" s="20">
        <f t="shared" si="34"/>
        <v>8.317821693792613</v>
      </c>
      <c r="L70" s="20">
        <f t="shared" si="34"/>
        <v>8.6959858091415594</v>
      </c>
      <c r="M70" s="20">
        <f t="shared" si="34"/>
        <v>8.9891362861562492</v>
      </c>
      <c r="N70" s="20">
        <f t="shared" si="34"/>
        <v>9.2163847179505805</v>
      </c>
    </row>
    <row r="71" spans="2:14" ht="14.25" x14ac:dyDescent="0.45">
      <c r="B71" s="167"/>
      <c r="C71" s="165" t="s">
        <v>36</v>
      </c>
      <c r="D71" s="15" t="s">
        <v>43</v>
      </c>
      <c r="E71" s="16">
        <f t="shared" ref="E71:N71" si="35">E66*E$15/$E$4</f>
        <v>0.28999999999999998</v>
      </c>
      <c r="F71" s="16">
        <f t="shared" si="35"/>
        <v>0.28999999999999998</v>
      </c>
      <c r="G71" s="16">
        <f t="shared" si="35"/>
        <v>0.28999999999999992</v>
      </c>
      <c r="H71" s="16">
        <f t="shared" si="35"/>
        <v>0.29000000000000015</v>
      </c>
      <c r="I71" s="16">
        <f t="shared" si="35"/>
        <v>0.28999999999999976</v>
      </c>
      <c r="J71" s="16">
        <f t="shared" si="35"/>
        <v>0.28999999999999998</v>
      </c>
      <c r="K71" s="16">
        <f t="shared" si="35"/>
        <v>0.2900000000000002</v>
      </c>
      <c r="L71" s="16">
        <f t="shared" si="35"/>
        <v>0.28999999999999937</v>
      </c>
      <c r="M71" s="16">
        <f t="shared" si="35"/>
        <v>0.29000000000000059</v>
      </c>
      <c r="N71" s="16">
        <f t="shared" si="35"/>
        <v>0.28999999999999931</v>
      </c>
    </row>
    <row r="72" spans="2:14" ht="14.25" customHeight="1" x14ac:dyDescent="0.45">
      <c r="B72" s="167"/>
      <c r="C72" s="167"/>
      <c r="D72" s="19" t="s">
        <v>45</v>
      </c>
      <c r="E72" s="21">
        <f t="shared" ref="E72:N72" si="36">E69*E$15</f>
        <v>290000</v>
      </c>
      <c r="F72" s="21">
        <f t="shared" si="36"/>
        <v>290000</v>
      </c>
      <c r="G72" s="21">
        <f>G69*G$15</f>
        <v>289999.99999999988</v>
      </c>
      <c r="H72" s="21">
        <f>H69*H$15</f>
        <v>290000.00000000017</v>
      </c>
      <c r="I72" s="21">
        <f>I69*I$15</f>
        <v>289999.99999999977</v>
      </c>
      <c r="J72" s="21">
        <f t="shared" si="36"/>
        <v>289999.99999999994</v>
      </c>
      <c r="K72" s="21">
        <f t="shared" si="36"/>
        <v>290000.00000000017</v>
      </c>
      <c r="L72" s="21">
        <f t="shared" si="36"/>
        <v>289999.99999999936</v>
      </c>
      <c r="M72" s="21">
        <f t="shared" si="36"/>
        <v>290000.00000000058</v>
      </c>
      <c r="N72" s="21">
        <f t="shared" si="36"/>
        <v>289999.9999999993</v>
      </c>
    </row>
    <row r="73" spans="2:14" ht="14.25" x14ac:dyDescent="0.45">
      <c r="B73" s="167"/>
      <c r="C73" s="167"/>
      <c r="D73" s="19" t="s">
        <v>46</v>
      </c>
      <c r="E73" s="21">
        <f>E72</f>
        <v>290000</v>
      </c>
      <c r="F73" s="21">
        <f>E73+F72</f>
        <v>580000</v>
      </c>
      <c r="G73" s="21">
        <f>F73+G72</f>
        <v>869999.99999999988</v>
      </c>
      <c r="H73" s="21">
        <f t="shared" ref="H73:N73" si="37">G73+H72</f>
        <v>1160000</v>
      </c>
      <c r="I73" s="21">
        <f t="shared" si="37"/>
        <v>1449999.9999999998</v>
      </c>
      <c r="J73" s="21">
        <f>I73+J72</f>
        <v>1739999.9999999998</v>
      </c>
      <c r="K73" s="21">
        <f t="shared" si="37"/>
        <v>2030000</v>
      </c>
      <c r="L73" s="21">
        <f t="shared" si="37"/>
        <v>2319999.9999999995</v>
      </c>
      <c r="M73" s="21">
        <f t="shared" si="37"/>
        <v>2610000</v>
      </c>
      <c r="N73" s="21">
        <f t="shared" si="37"/>
        <v>2899999.9999999991</v>
      </c>
    </row>
    <row r="74" spans="2:14" ht="14.25" x14ac:dyDescent="0.45">
      <c r="B74" s="167"/>
      <c r="C74" s="165" t="s">
        <v>35</v>
      </c>
      <c r="D74" s="15" t="s">
        <v>43</v>
      </c>
      <c r="E74" s="16">
        <f>E68*E$15/$E$4</f>
        <v>0.28999999999999998</v>
      </c>
      <c r="F74" s="16">
        <f>F68*F$15/$E$4-E74</f>
        <v>0.37410000000000004</v>
      </c>
      <c r="G74" s="16">
        <f>G68*G$15/$E$4-F74-E74</f>
        <v>0.48258899999999977</v>
      </c>
      <c r="H74" s="16">
        <f>H68*H$15/$E$4-G74-F74-E74</f>
        <v>0.62253981000000014</v>
      </c>
      <c r="I74" s="16">
        <f>I68*I$15/$E$4-H74-G74-F74-E74</f>
        <v>0.80307635489999951</v>
      </c>
      <c r="J74" s="16">
        <f>J68*J$15/$E$4-I74-H74-G74-F74-E74</f>
        <v>1.0359684978209995</v>
      </c>
      <c r="K74" s="16">
        <f>K68*K$15/$E$4-J74-I74-H74-G74-F74-E74</f>
        <v>1.3363993621890906</v>
      </c>
      <c r="L74" s="16">
        <f>L68*L$15/$E$4-K74-J74-I74-H74-G74-F74-E74</f>
        <v>1.7239551772239246</v>
      </c>
      <c r="M74" s="16">
        <f>M68*M$15/$E$4-L74-K74-J74-I74-H74-G74-F74-E74</f>
        <v>2.2239021786188644</v>
      </c>
      <c r="N74" s="16">
        <f>N68*N$15/$E$4-M74-L74-K74-J74-I74-H74-G74-F74-E74</f>
        <v>2.8688338104183333</v>
      </c>
    </row>
    <row r="75" spans="2:14" ht="14.25" x14ac:dyDescent="0.45">
      <c r="B75" s="167"/>
      <c r="C75" s="166"/>
      <c r="D75" s="15" t="s">
        <v>44</v>
      </c>
      <c r="E75" s="17"/>
      <c r="F75" s="17"/>
      <c r="G75" s="17"/>
      <c r="H75" s="17"/>
      <c r="I75" s="17">
        <f>AVERAGE(E74:I74)</f>
        <v>0.5144610329799999</v>
      </c>
      <c r="J75" s="17"/>
      <c r="K75" s="17"/>
      <c r="L75" s="17"/>
      <c r="M75" s="17"/>
      <c r="N75" s="17">
        <f>AVERAGE(E74:N74)</f>
        <v>1.1761364191171213</v>
      </c>
    </row>
    <row r="76" spans="2:14" ht="14.25" x14ac:dyDescent="0.45">
      <c r="B76" s="167"/>
      <c r="C76" s="167"/>
      <c r="D76" s="19" t="s">
        <v>45</v>
      </c>
      <c r="E76" s="22">
        <f>E78</f>
        <v>290000</v>
      </c>
      <c r="F76" s="22">
        <f>F78-E78</f>
        <v>374100</v>
      </c>
      <c r="G76" s="22">
        <f>G78-F78</f>
        <v>482589</v>
      </c>
      <c r="H76" s="22">
        <f t="shared" ref="H76:N76" si="38">H78-G78</f>
        <v>622539.81000000006</v>
      </c>
      <c r="I76" s="22">
        <f t="shared" si="38"/>
        <v>803076.35489999969</v>
      </c>
      <c r="J76" s="22">
        <f>J78-I78</f>
        <v>1035968.4978209995</v>
      </c>
      <c r="K76" s="22">
        <f t="shared" si="38"/>
        <v>1336399.3621890903</v>
      </c>
      <c r="L76" s="22">
        <f t="shared" si="38"/>
        <v>1723955.1772239245</v>
      </c>
      <c r="M76" s="22">
        <f t="shared" si="38"/>
        <v>2223902.178618866</v>
      </c>
      <c r="N76" s="22">
        <f t="shared" si="38"/>
        <v>2868833.8104183339</v>
      </c>
    </row>
    <row r="77" spans="2:14" ht="14.25" x14ac:dyDescent="0.45">
      <c r="B77" s="167"/>
      <c r="C77" s="167"/>
      <c r="D77" s="19" t="s">
        <v>47</v>
      </c>
      <c r="E77" s="22"/>
      <c r="F77" s="22"/>
      <c r="G77" s="22"/>
      <c r="H77" s="22"/>
      <c r="I77" s="22">
        <f>AVERAGE(E76:I76)</f>
        <v>514461.03297999996</v>
      </c>
      <c r="J77" s="22"/>
      <c r="K77" s="22"/>
      <c r="L77" s="22"/>
      <c r="M77" s="22"/>
      <c r="N77" s="22">
        <f>AVERAGE(E76:N76)</f>
        <v>1176136.4191171215</v>
      </c>
    </row>
    <row r="78" spans="2:14" ht="14.25" x14ac:dyDescent="0.45">
      <c r="B78" s="167"/>
      <c r="C78" s="167"/>
      <c r="D78" s="19" t="s">
        <v>46</v>
      </c>
      <c r="E78" s="21">
        <f t="shared" ref="E78:N78" si="39">E70*E$15</f>
        <v>290000</v>
      </c>
      <c r="F78" s="21">
        <f t="shared" si="39"/>
        <v>664100</v>
      </c>
      <c r="G78" s="21">
        <f>G70*G$15</f>
        <v>1146689</v>
      </c>
      <c r="H78" s="21">
        <f>H70*H$15</f>
        <v>1769228.81</v>
      </c>
      <c r="I78" s="21">
        <f>I70*I$15</f>
        <v>2572305.1648999997</v>
      </c>
      <c r="J78" s="21">
        <f t="shared" si="39"/>
        <v>3608273.6627209992</v>
      </c>
      <c r="K78" s="21">
        <f t="shared" si="39"/>
        <v>4944673.0249100896</v>
      </c>
      <c r="L78" s="21">
        <f t="shared" si="39"/>
        <v>6668628.2021340141</v>
      </c>
      <c r="M78" s="21">
        <f t="shared" si="39"/>
        <v>8892530.3807528801</v>
      </c>
      <c r="N78" s="21">
        <f t="shared" si="39"/>
        <v>11761364.191171214</v>
      </c>
    </row>
    <row r="79" spans="2:14" ht="14.25" x14ac:dyDescent="0.45">
      <c r="B79" s="167" t="s">
        <v>141</v>
      </c>
      <c r="C79" s="166" t="s">
        <v>32</v>
      </c>
      <c r="D79" s="15" t="s">
        <v>43</v>
      </c>
      <c r="E79" s="16">
        <f>E$25</f>
        <v>3.5503875968992252E-2</v>
      </c>
      <c r="F79" s="16">
        <f t="shared" ref="F79:N79" si="40">F$25</f>
        <v>3.2018508503094761E-2</v>
      </c>
      <c r="G79" s="16">
        <f t="shared" si="40"/>
        <v>2.9316673258212998E-2</v>
      </c>
      <c r="H79" s="16">
        <f t="shared" si="40"/>
        <v>2.7222227331948061E-2</v>
      </c>
      <c r="I79" s="16">
        <f t="shared" si="40"/>
        <v>2.5598625838719427E-2</v>
      </c>
      <c r="J79" s="16">
        <f t="shared" si="40"/>
        <v>2.434002003001506E-2</v>
      </c>
      <c r="K79" s="16">
        <f t="shared" si="40"/>
        <v>2.3364356612414774E-2</v>
      </c>
      <c r="L79" s="16">
        <f t="shared" si="40"/>
        <v>2.2608028381716883E-2</v>
      </c>
      <c r="M79" s="16">
        <f t="shared" si="40"/>
        <v>2.2021727427687505E-2</v>
      </c>
      <c r="N79" s="16">
        <f t="shared" si="40"/>
        <v>2.156723056409884E-2</v>
      </c>
    </row>
    <row r="80" spans="2:14" ht="14.25" x14ac:dyDescent="0.45">
      <c r="B80" s="167"/>
      <c r="C80" s="166"/>
      <c r="D80" s="15" t="s">
        <v>44</v>
      </c>
      <c r="E80" s="16"/>
      <c r="F80" s="16"/>
      <c r="G80" s="16"/>
      <c r="H80" s="16"/>
      <c r="I80" s="82">
        <f>AVERAGE(E79:I79)</f>
        <v>2.9931982180193495E-2</v>
      </c>
      <c r="J80" s="17"/>
      <c r="K80" s="17"/>
      <c r="L80" s="17"/>
      <c r="M80" s="17"/>
      <c r="N80" s="17">
        <f>AVERAGE(E79:N79)</f>
        <v>2.6356127391690055E-2</v>
      </c>
    </row>
    <row r="81" spans="2:14" ht="14.25" x14ac:dyDescent="0.45">
      <c r="B81" s="167"/>
      <c r="C81" s="166"/>
      <c r="D81" s="15" t="s">
        <v>42</v>
      </c>
      <c r="E81" s="16">
        <f>E$27</f>
        <v>3.5503875968992252E-2</v>
      </c>
      <c r="F81" s="16">
        <f t="shared" ref="F81:N81" si="41">F$27</f>
        <v>6.7522384472087013E-2</v>
      </c>
      <c r="G81" s="16">
        <f t="shared" si="41"/>
        <v>9.6839057730300007E-2</v>
      </c>
      <c r="H81" s="16">
        <f t="shared" si="41"/>
        <v>0.12406128506224806</v>
      </c>
      <c r="I81" s="16">
        <f t="shared" si="41"/>
        <v>0.14965991090096747</v>
      </c>
      <c r="J81" s="16">
        <f t="shared" si="41"/>
        <v>0.17399993093098254</v>
      </c>
      <c r="K81" s="16">
        <f t="shared" si="41"/>
        <v>0.1973642875433973</v>
      </c>
      <c r="L81" s="16">
        <f t="shared" si="41"/>
        <v>0.21997231592511418</v>
      </c>
      <c r="M81" s="16">
        <f t="shared" si="41"/>
        <v>0.2419940433528017</v>
      </c>
      <c r="N81" s="16">
        <f t="shared" si="41"/>
        <v>0.26356127391690054</v>
      </c>
    </row>
    <row r="82" spans="2:14" ht="14.25" customHeight="1" x14ac:dyDescent="0.45">
      <c r="B82" s="167"/>
      <c r="C82" s="167"/>
      <c r="D82" s="19" t="s">
        <v>45</v>
      </c>
      <c r="E82" s="20">
        <f t="shared" ref="E82:N82" si="42">10*E79</f>
        <v>0.35503875968992249</v>
      </c>
      <c r="F82" s="20">
        <f t="shared" si="42"/>
        <v>0.32018508503094761</v>
      </c>
      <c r="G82" s="20">
        <f t="shared" si="42"/>
        <v>0.29316673258213</v>
      </c>
      <c r="H82" s="20">
        <f t="shared" si="42"/>
        <v>0.27222227331948062</v>
      </c>
      <c r="I82" s="20">
        <f t="shared" si="42"/>
        <v>0.25598625838719424</v>
      </c>
      <c r="J82" s="20">
        <f t="shared" si="42"/>
        <v>0.24340020030015061</v>
      </c>
      <c r="K82" s="20">
        <f t="shared" si="42"/>
        <v>0.23364356612414774</v>
      </c>
      <c r="L82" s="20">
        <f t="shared" si="42"/>
        <v>0.22608028381716883</v>
      </c>
      <c r="M82" s="20">
        <f t="shared" si="42"/>
        <v>0.22021727427687504</v>
      </c>
      <c r="N82" s="20">
        <f t="shared" si="42"/>
        <v>0.21567230564098841</v>
      </c>
    </row>
    <row r="83" spans="2:14" ht="14.25" x14ac:dyDescent="0.45">
      <c r="B83" s="167"/>
      <c r="C83" s="167"/>
      <c r="D83" s="19" t="s">
        <v>46</v>
      </c>
      <c r="E83" s="20">
        <f>10*E81</f>
        <v>0.35503875968992249</v>
      </c>
      <c r="F83" s="20">
        <f t="shared" ref="F83:N83" si="43">10*F81</f>
        <v>0.67522384472087016</v>
      </c>
      <c r="G83" s="20">
        <f t="shared" si="43"/>
        <v>0.96839057730300004</v>
      </c>
      <c r="H83" s="20">
        <f t="shared" si="43"/>
        <v>1.2406128506224805</v>
      </c>
      <c r="I83" s="20">
        <f t="shared" si="43"/>
        <v>1.4965991090096749</v>
      </c>
      <c r="J83" s="20">
        <f t="shared" si="43"/>
        <v>1.7399993093098254</v>
      </c>
      <c r="K83" s="20">
        <f t="shared" si="43"/>
        <v>1.973642875433973</v>
      </c>
      <c r="L83" s="20">
        <f t="shared" si="43"/>
        <v>2.1997231592511417</v>
      </c>
      <c r="M83" s="20">
        <f t="shared" si="43"/>
        <v>2.419940433528017</v>
      </c>
      <c r="N83" s="20">
        <f t="shared" si="43"/>
        <v>2.6356127391690052</v>
      </c>
    </row>
    <row r="84" spans="2:14" ht="14.25" x14ac:dyDescent="0.45">
      <c r="B84" s="167"/>
      <c r="C84" s="165" t="s">
        <v>36</v>
      </c>
      <c r="D84" s="15" t="s">
        <v>43</v>
      </c>
      <c r="E84" s="16">
        <f>E79*E$15/$E$4</f>
        <v>4.5800000000000007E-2</v>
      </c>
      <c r="F84" s="16">
        <f t="shared" ref="F84:N84" si="44">F79*F$15/$E$4</f>
        <v>5.3281999999999989E-2</v>
      </c>
      <c r="G84" s="16">
        <f t="shared" si="44"/>
        <v>6.2933779999999995E-2</v>
      </c>
      <c r="H84" s="16">
        <f t="shared" si="44"/>
        <v>7.5384576199999997E-2</v>
      </c>
      <c r="I84" s="16">
        <f t="shared" si="44"/>
        <v>9.1446103298E-2</v>
      </c>
      <c r="J84" s="16">
        <f t="shared" si="44"/>
        <v>0.11216547325441997</v>
      </c>
      <c r="K84" s="16">
        <f t="shared" si="44"/>
        <v>0.13889346049820175</v>
      </c>
      <c r="L84" s="16">
        <f t="shared" si="44"/>
        <v>0.17337256404268031</v>
      </c>
      <c r="M84" s="16">
        <f t="shared" si="44"/>
        <v>0.21785060761505756</v>
      </c>
      <c r="N84" s="16">
        <f t="shared" si="44"/>
        <v>0.27522728382342426</v>
      </c>
    </row>
    <row r="85" spans="2:14" ht="14.25" x14ac:dyDescent="0.45">
      <c r="B85" s="167"/>
      <c r="C85" s="166"/>
      <c r="D85" s="15" t="s">
        <v>44</v>
      </c>
      <c r="E85" s="16"/>
      <c r="F85" s="16"/>
      <c r="G85" s="16"/>
      <c r="H85" s="16"/>
      <c r="I85" s="17">
        <f>AVERAGE(E84:I84)</f>
        <v>6.5769291899599999E-2</v>
      </c>
      <c r="J85" s="17"/>
      <c r="K85" s="17"/>
      <c r="L85" s="17"/>
      <c r="M85" s="17"/>
      <c r="N85" s="17">
        <f>AVERAGE(E84:N84)</f>
        <v>0.12463558487317838</v>
      </c>
    </row>
    <row r="86" spans="2:14" ht="14.25" x14ac:dyDescent="0.45">
      <c r="B86" s="167"/>
      <c r="C86" s="167"/>
      <c r="D86" s="19" t="s">
        <v>45</v>
      </c>
      <c r="E86" s="23">
        <f t="shared" ref="E86:F86" si="45">E82*E$15</f>
        <v>45800</v>
      </c>
      <c r="F86" s="23">
        <f t="shared" si="45"/>
        <v>53281.999999999993</v>
      </c>
      <c r="G86" s="23">
        <f>G82*G$15</f>
        <v>62933.780000000006</v>
      </c>
      <c r="H86" s="23">
        <f>H82*H$15</f>
        <v>75384.57620000001</v>
      </c>
      <c r="I86" s="23">
        <f>I82*I$15</f>
        <v>91446.103297999987</v>
      </c>
      <c r="J86" s="23">
        <f t="shared" ref="J86:N86" si="46">J82*J$15</f>
        <v>112165.47325441998</v>
      </c>
      <c r="K86" s="23">
        <f t="shared" si="46"/>
        <v>138893.46049820178</v>
      </c>
      <c r="L86" s="23">
        <f t="shared" si="46"/>
        <v>173372.56404268031</v>
      </c>
      <c r="M86" s="23">
        <f t="shared" si="46"/>
        <v>217850.60761505755</v>
      </c>
      <c r="N86" s="23">
        <f t="shared" si="46"/>
        <v>275227.28382342425</v>
      </c>
    </row>
    <row r="87" spans="2:14" ht="14.25" customHeight="1" x14ac:dyDescent="0.45">
      <c r="B87" s="167"/>
      <c r="C87" s="167"/>
      <c r="D87" s="19" t="s">
        <v>47</v>
      </c>
      <c r="E87" s="24"/>
      <c r="F87" s="24"/>
      <c r="G87" s="24"/>
      <c r="H87" s="24"/>
      <c r="I87" s="23">
        <f>AVERAGE(E86:I86)</f>
        <v>65769.291899599993</v>
      </c>
      <c r="J87" s="23"/>
      <c r="K87" s="23"/>
      <c r="L87" s="23"/>
      <c r="M87" s="23"/>
      <c r="N87" s="23">
        <f>AVERAGE(E86:N86)</f>
        <v>124635.58487317839</v>
      </c>
    </row>
    <row r="88" spans="2:14" ht="14.25" x14ac:dyDescent="0.45">
      <c r="B88" s="167"/>
      <c r="C88" s="167"/>
      <c r="D88" s="19" t="s">
        <v>46</v>
      </c>
      <c r="E88" s="24">
        <f>E86</f>
        <v>45800</v>
      </c>
      <c r="F88" s="24">
        <f t="shared" ref="F88" si="47">E88+F86</f>
        <v>99082</v>
      </c>
      <c r="G88" s="24">
        <f>F88+G86</f>
        <v>162015.78</v>
      </c>
      <c r="H88" s="24">
        <f t="shared" ref="H88:I88" si="48">G88+H86</f>
        <v>237400.35620000001</v>
      </c>
      <c r="I88" s="24">
        <f t="shared" si="48"/>
        <v>328846.45949799998</v>
      </c>
      <c r="J88" s="24">
        <f>I88+J86</f>
        <v>441011.93275241996</v>
      </c>
      <c r="K88" s="24">
        <f t="shared" ref="K88:N88" si="49">J88+K86</f>
        <v>579905.39325062174</v>
      </c>
      <c r="L88" s="24">
        <f t="shared" si="49"/>
        <v>753277.95729330205</v>
      </c>
      <c r="M88" s="24">
        <f t="shared" si="49"/>
        <v>971128.56490835967</v>
      </c>
      <c r="N88" s="24">
        <f t="shared" si="49"/>
        <v>1246355.8487317839</v>
      </c>
    </row>
    <row r="89" spans="2:14" ht="14.25" x14ac:dyDescent="0.45">
      <c r="B89" s="167"/>
      <c r="C89" s="165" t="s">
        <v>35</v>
      </c>
      <c r="D89" s="15" t="s">
        <v>43</v>
      </c>
      <c r="E89" s="16">
        <f>E81*E$15/$E$4</f>
        <v>4.5800000000000007E-2</v>
      </c>
      <c r="F89" s="16">
        <f>F81*F$15/$E$4-E89</f>
        <v>6.6563999999999984E-2</v>
      </c>
      <c r="G89" s="16">
        <f>G81*G$15/$E$4-F89-E89</f>
        <v>9.5519340000000008E-2</v>
      </c>
      <c r="H89" s="16">
        <f>H81*H$15/$E$4-G89-F89-E89</f>
        <v>0.13567074479999999</v>
      </c>
      <c r="I89" s="16">
        <f>I81*I$15/$E$4-H89-G89-F89-E89</f>
        <v>0.19107678788999991</v>
      </c>
      <c r="J89" s="16">
        <f>J81*J$15/$E$4-I89-H89-G89-F89-E89</f>
        <v>0.26720842633451974</v>
      </c>
      <c r="K89" s="16">
        <f>K81*K$15/$E$4-J89-I89-H89-G89-F89-E89</f>
        <v>0.37142685721531238</v>
      </c>
      <c r="L89" s="16">
        <f>L81*L$15/$E$4-K89-J89-I89-H89-G89-F89-E89</f>
        <v>0.51361974935223187</v>
      </c>
      <c r="M89" s="16">
        <f>M81*M$15/$E$4-L89-K89-J89-I89-H89-G89-F89-E89</f>
        <v>0.7070475202367561</v>
      </c>
      <c r="N89" s="16">
        <f>N81*N$15/$E$4-M89-L89-K89-J89-I89-H89-G89-F89-E89</f>
        <v>0.96946797731378198</v>
      </c>
    </row>
    <row r="90" spans="2:14" ht="14.25" x14ac:dyDescent="0.45">
      <c r="B90" s="167"/>
      <c r="C90" s="166"/>
      <c r="D90" s="15" t="s">
        <v>44</v>
      </c>
      <c r="E90" s="17"/>
      <c r="F90" s="17"/>
      <c r="G90" s="17"/>
      <c r="H90" s="17"/>
      <c r="I90" s="17">
        <f>AVERAGE(E89:I89)</f>
        <v>0.10692617453799998</v>
      </c>
      <c r="J90" s="17"/>
      <c r="K90" s="17"/>
      <c r="L90" s="17"/>
      <c r="M90" s="17"/>
      <c r="N90" s="17">
        <f>AVERAGE(E89:N89)</f>
        <v>0.33634014031426018</v>
      </c>
    </row>
    <row r="91" spans="2:14" ht="14.25" x14ac:dyDescent="0.45">
      <c r="B91" s="167"/>
      <c r="C91" s="167"/>
      <c r="D91" s="19" t="s">
        <v>45</v>
      </c>
      <c r="E91" s="23">
        <f>E93</f>
        <v>45800</v>
      </c>
      <c r="F91" s="23">
        <f>F93-E93</f>
        <v>66564</v>
      </c>
      <c r="G91" s="23">
        <f>G93-F93</f>
        <v>95519.339999999967</v>
      </c>
      <c r="H91" s="23">
        <f>H93-G93</f>
        <v>135670.74479999999</v>
      </c>
      <c r="I91" s="23">
        <f>I93-H93</f>
        <v>191076.78788999992</v>
      </c>
      <c r="J91" s="23">
        <f>J93-I93</f>
        <v>267208.42633451987</v>
      </c>
      <c r="K91" s="23">
        <f t="shared" ref="K91:N91" si="50">K93-J93</f>
        <v>371426.85721531254</v>
      </c>
      <c r="L91" s="23">
        <f t="shared" si="50"/>
        <v>513619.74935223139</v>
      </c>
      <c r="M91" s="23">
        <f t="shared" si="50"/>
        <v>707047.52023675642</v>
      </c>
      <c r="N91" s="23">
        <f t="shared" si="50"/>
        <v>969467.97731378162</v>
      </c>
    </row>
    <row r="92" spans="2:14" ht="14.25" x14ac:dyDescent="0.45">
      <c r="B92" s="167"/>
      <c r="C92" s="167"/>
      <c r="D92" s="19" t="s">
        <v>47</v>
      </c>
      <c r="E92" s="23"/>
      <c r="F92" s="23"/>
      <c r="G92" s="23"/>
      <c r="H92" s="23"/>
      <c r="I92" s="23">
        <f>AVERAGE(E91:I91)</f>
        <v>106926.17453799998</v>
      </c>
      <c r="J92" s="23"/>
      <c r="K92" s="23"/>
      <c r="L92" s="23"/>
      <c r="M92" s="23"/>
      <c r="N92" s="23">
        <f>AVERAGE(E91:N91)</f>
        <v>336340.14031426015</v>
      </c>
    </row>
    <row r="93" spans="2:14" ht="14.25" x14ac:dyDescent="0.45">
      <c r="B93" s="167"/>
      <c r="C93" s="167"/>
      <c r="D93" s="19" t="s">
        <v>46</v>
      </c>
      <c r="E93" s="24">
        <f t="shared" ref="E93:F93" si="51">E83*E$15</f>
        <v>45800</v>
      </c>
      <c r="F93" s="24">
        <f t="shared" si="51"/>
        <v>112364</v>
      </c>
      <c r="G93" s="24">
        <f>G83*G$15</f>
        <v>207883.33999999997</v>
      </c>
      <c r="H93" s="24">
        <f>H83*H$15</f>
        <v>343554.08479999995</v>
      </c>
      <c r="I93" s="24">
        <f>I83*I$15</f>
        <v>534630.87268999987</v>
      </c>
      <c r="J93" s="24">
        <f t="shared" ref="J93:N93" si="52">J83*J$15</f>
        <v>801839.29902451974</v>
      </c>
      <c r="K93" s="24">
        <f t="shared" si="52"/>
        <v>1173266.1562398323</v>
      </c>
      <c r="L93" s="24">
        <f t="shared" si="52"/>
        <v>1686885.9055920637</v>
      </c>
      <c r="M93" s="24">
        <f t="shared" si="52"/>
        <v>2393933.4258288201</v>
      </c>
      <c r="N93" s="24">
        <f t="shared" si="52"/>
        <v>3363401.4031426017</v>
      </c>
    </row>
    <row r="94" spans="2:14" ht="14.25" x14ac:dyDescent="0.45">
      <c r="B94" s="167" t="s">
        <v>17</v>
      </c>
      <c r="C94" s="166" t="s">
        <v>32</v>
      </c>
      <c r="D94" s="15" t="s">
        <v>43</v>
      </c>
      <c r="E94" s="16">
        <f>E$28</f>
        <v>1.7751937984496126E-2</v>
      </c>
      <c r="F94" s="16">
        <f t="shared" ref="F94:N94" si="53">F$28</f>
        <v>1.6009254251547381E-2</v>
      </c>
      <c r="G94" s="16">
        <f t="shared" si="53"/>
        <v>1.4658336629106499E-2</v>
      </c>
      <c r="H94" s="16">
        <f t="shared" si="53"/>
        <v>1.361111366597403E-2</v>
      </c>
      <c r="I94" s="16">
        <f t="shared" si="53"/>
        <v>1.2799312919359714E-2</v>
      </c>
      <c r="J94" s="16">
        <f t="shared" si="53"/>
        <v>1.217001001500753E-2</v>
      </c>
      <c r="K94" s="16">
        <f t="shared" si="53"/>
        <v>1.1682178306207387E-2</v>
      </c>
      <c r="L94" s="16">
        <f t="shared" si="53"/>
        <v>1.1304014190858441E-2</v>
      </c>
      <c r="M94" s="16">
        <f t="shared" si="53"/>
        <v>1.1010863713843752E-2</v>
      </c>
      <c r="N94" s="16">
        <f t="shared" si="53"/>
        <v>1.078361528204942E-2</v>
      </c>
    </row>
    <row r="95" spans="2:14" ht="14.25" x14ac:dyDescent="0.45">
      <c r="B95" s="167"/>
      <c r="C95" s="166"/>
      <c r="D95" s="15" t="s">
        <v>44</v>
      </c>
      <c r="E95" s="16"/>
      <c r="F95" s="16"/>
      <c r="G95" s="16"/>
      <c r="H95" s="16"/>
      <c r="I95" s="82">
        <f>AVERAGE(E94:I94)</f>
        <v>1.4965991090096747E-2</v>
      </c>
      <c r="J95" s="17"/>
      <c r="K95" s="17"/>
      <c r="L95" s="17"/>
      <c r="M95" s="17"/>
      <c r="N95" s="17">
        <f>AVERAGE(E94:N94)</f>
        <v>1.3178063695845028E-2</v>
      </c>
    </row>
    <row r="96" spans="2:14" ht="14.25" x14ac:dyDescent="0.45">
      <c r="B96" s="167"/>
      <c r="C96" s="166"/>
      <c r="D96" s="15" t="s">
        <v>42</v>
      </c>
      <c r="E96" s="16">
        <f t="shared" ref="E96:N96" si="54">E$30</f>
        <v>1.7751937984496126E-2</v>
      </c>
      <c r="F96" s="16">
        <f t="shared" si="54"/>
        <v>3.3761192236043507E-2</v>
      </c>
      <c r="G96" s="16">
        <f t="shared" si="54"/>
        <v>4.8419528865150004E-2</v>
      </c>
      <c r="H96" s="16">
        <f t="shared" si="54"/>
        <v>6.2030642531124031E-2</v>
      </c>
      <c r="I96" s="16">
        <f t="shared" si="54"/>
        <v>7.4829955450483737E-2</v>
      </c>
      <c r="J96" s="16">
        <f t="shared" si="54"/>
        <v>8.6999965465491269E-2</v>
      </c>
      <c r="K96" s="16">
        <f t="shared" si="54"/>
        <v>9.8682143771698649E-2</v>
      </c>
      <c r="L96" s="16">
        <f t="shared" si="54"/>
        <v>0.10998615796255709</v>
      </c>
      <c r="M96" s="16">
        <f t="shared" si="54"/>
        <v>0.12099702167640085</v>
      </c>
      <c r="N96" s="16">
        <f t="shared" si="54"/>
        <v>0.13178063695845027</v>
      </c>
    </row>
    <row r="97" spans="2:14" ht="14.25" customHeight="1" x14ac:dyDescent="0.45">
      <c r="B97" s="167"/>
      <c r="C97" s="167"/>
      <c r="D97" s="19" t="s">
        <v>45</v>
      </c>
      <c r="E97" s="20">
        <f t="shared" ref="E97:N97" si="55">10*E94</f>
        <v>0.17751937984496124</v>
      </c>
      <c r="F97" s="20">
        <f t="shared" si="55"/>
        <v>0.16009254251547381</v>
      </c>
      <c r="G97" s="20">
        <f t="shared" si="55"/>
        <v>0.146583366291065</v>
      </c>
      <c r="H97" s="20">
        <f t="shared" si="55"/>
        <v>0.13611113665974031</v>
      </c>
      <c r="I97" s="20">
        <f t="shared" si="55"/>
        <v>0.12799312919359712</v>
      </c>
      <c r="J97" s="20">
        <f t="shared" si="55"/>
        <v>0.1217001001500753</v>
      </c>
      <c r="K97" s="20">
        <f t="shared" si="55"/>
        <v>0.11682178306207387</v>
      </c>
      <c r="L97" s="20">
        <f t="shared" si="55"/>
        <v>0.11304014190858441</v>
      </c>
      <c r="M97" s="20">
        <f t="shared" si="55"/>
        <v>0.11010863713843752</v>
      </c>
      <c r="N97" s="20">
        <f t="shared" si="55"/>
        <v>0.1078361528204942</v>
      </c>
    </row>
    <row r="98" spans="2:14" ht="14.25" x14ac:dyDescent="0.45">
      <c r="B98" s="167"/>
      <c r="C98" s="167"/>
      <c r="D98" s="19" t="s">
        <v>46</v>
      </c>
      <c r="E98" s="20">
        <f>10*E96</f>
        <v>0.17751937984496124</v>
      </c>
      <c r="F98" s="20">
        <f t="shared" ref="F98:N98" si="56">10*F96</f>
        <v>0.33761192236043508</v>
      </c>
      <c r="G98" s="20">
        <f t="shared" si="56"/>
        <v>0.48419528865150002</v>
      </c>
      <c r="H98" s="20">
        <f t="shared" si="56"/>
        <v>0.62030642531124025</v>
      </c>
      <c r="I98" s="20">
        <f t="shared" si="56"/>
        <v>0.74829955450483743</v>
      </c>
      <c r="J98" s="20">
        <f t="shared" si="56"/>
        <v>0.86999965465491269</v>
      </c>
      <c r="K98" s="20">
        <f t="shared" si="56"/>
        <v>0.98682143771698649</v>
      </c>
      <c r="L98" s="20">
        <f t="shared" si="56"/>
        <v>1.0998615796255709</v>
      </c>
      <c r="M98" s="20">
        <f t="shared" si="56"/>
        <v>1.2099702167640085</v>
      </c>
      <c r="N98" s="20">
        <f t="shared" si="56"/>
        <v>1.3178063695845026</v>
      </c>
    </row>
    <row r="99" spans="2:14" ht="14.25" x14ac:dyDescent="0.45">
      <c r="B99" s="167"/>
      <c r="C99" s="165" t="s">
        <v>36</v>
      </c>
      <c r="D99" s="15" t="s">
        <v>43</v>
      </c>
      <c r="E99" s="16">
        <f t="shared" ref="E99:N99" si="57">E94*E$15/$E$4</f>
        <v>2.2900000000000004E-2</v>
      </c>
      <c r="F99" s="16">
        <f t="shared" si="57"/>
        <v>2.6640999999999995E-2</v>
      </c>
      <c r="G99" s="16">
        <f t="shared" si="57"/>
        <v>3.1466889999999997E-2</v>
      </c>
      <c r="H99" s="16">
        <f t="shared" si="57"/>
        <v>3.7692288099999999E-2</v>
      </c>
      <c r="I99" s="16">
        <f t="shared" si="57"/>
        <v>4.5723051649E-2</v>
      </c>
      <c r="J99" s="16">
        <f t="shared" si="57"/>
        <v>5.6082736627209986E-2</v>
      </c>
      <c r="K99" s="16">
        <f t="shared" si="57"/>
        <v>6.9446730249100877E-2</v>
      </c>
      <c r="L99" s="16">
        <f t="shared" si="57"/>
        <v>8.6686282021340155E-2</v>
      </c>
      <c r="M99" s="16">
        <f t="shared" si="57"/>
        <v>0.10892530380752878</v>
      </c>
      <c r="N99" s="16">
        <f t="shared" si="57"/>
        <v>0.13761364191171213</v>
      </c>
    </row>
    <row r="100" spans="2:14" ht="14.25" x14ac:dyDescent="0.45">
      <c r="B100" s="167"/>
      <c r="C100" s="166"/>
      <c r="D100" s="15" t="s">
        <v>44</v>
      </c>
      <c r="E100" s="16"/>
      <c r="F100" s="16"/>
      <c r="G100" s="16"/>
      <c r="H100" s="16"/>
      <c r="I100" s="17">
        <f>AVERAGE(E99:I99)</f>
        <v>3.28846459498E-2</v>
      </c>
      <c r="J100" s="17"/>
      <c r="K100" s="17"/>
      <c r="L100" s="17"/>
      <c r="M100" s="17"/>
      <c r="N100" s="17">
        <f>AVERAGE(E99:N99)</f>
        <v>6.2317792436589192E-2</v>
      </c>
    </row>
    <row r="101" spans="2:14" ht="14.25" x14ac:dyDescent="0.45">
      <c r="B101" s="167"/>
      <c r="C101" s="167"/>
      <c r="D101" s="19" t="s">
        <v>45</v>
      </c>
      <c r="E101" s="23">
        <f t="shared" ref="E101:N101" si="58">E97*E$15</f>
        <v>22900</v>
      </c>
      <c r="F101" s="23">
        <f t="shared" si="58"/>
        <v>26640.999999999996</v>
      </c>
      <c r="G101" s="23">
        <f>G97*G$15</f>
        <v>31466.890000000003</v>
      </c>
      <c r="H101" s="23">
        <f>H97*H$15</f>
        <v>37692.288100000005</v>
      </c>
      <c r="I101" s="23">
        <f>I97*I$15</f>
        <v>45723.051648999994</v>
      </c>
      <c r="J101" s="23">
        <f t="shared" si="58"/>
        <v>56082.73662720999</v>
      </c>
      <c r="K101" s="23">
        <f t="shared" si="58"/>
        <v>69446.730249100889</v>
      </c>
      <c r="L101" s="23">
        <f t="shared" si="58"/>
        <v>86686.282021340157</v>
      </c>
      <c r="M101" s="23">
        <f t="shared" si="58"/>
        <v>108925.30380752878</v>
      </c>
      <c r="N101" s="23">
        <f t="shared" si="58"/>
        <v>137613.64191171213</v>
      </c>
    </row>
    <row r="102" spans="2:14" ht="14.25" customHeight="1" x14ac:dyDescent="0.45">
      <c r="B102" s="167"/>
      <c r="C102" s="167"/>
      <c r="D102" s="19" t="s">
        <v>47</v>
      </c>
      <c r="E102" s="24"/>
      <c r="F102" s="24"/>
      <c r="G102" s="24"/>
      <c r="H102" s="24"/>
      <c r="I102" s="23">
        <f>AVERAGE(E101:I101)</f>
        <v>32884.645949799997</v>
      </c>
      <c r="J102" s="23"/>
      <c r="K102" s="23"/>
      <c r="L102" s="23"/>
      <c r="M102" s="23"/>
      <c r="N102" s="23">
        <f>AVERAGE(E101:N101)</f>
        <v>62317.792436589196</v>
      </c>
    </row>
    <row r="103" spans="2:14" ht="14.25" x14ac:dyDescent="0.45">
      <c r="B103" s="167"/>
      <c r="C103" s="167"/>
      <c r="D103" s="19" t="s">
        <v>46</v>
      </c>
      <c r="E103" s="24">
        <f>E101</f>
        <v>22900</v>
      </c>
      <c r="F103" s="24">
        <f t="shared" ref="F103:N103" si="59">E103+F101</f>
        <v>49541</v>
      </c>
      <c r="G103" s="24">
        <f>F103+G101</f>
        <v>81007.89</v>
      </c>
      <c r="H103" s="24">
        <f t="shared" si="59"/>
        <v>118700.1781</v>
      </c>
      <c r="I103" s="24">
        <f t="shared" si="59"/>
        <v>164423.22974899999</v>
      </c>
      <c r="J103" s="24">
        <f>I103+J101</f>
        <v>220505.96637620998</v>
      </c>
      <c r="K103" s="24">
        <f t="shared" si="59"/>
        <v>289952.69662531087</v>
      </c>
      <c r="L103" s="24">
        <f t="shared" si="59"/>
        <v>376638.97864665103</v>
      </c>
      <c r="M103" s="24">
        <f t="shared" si="59"/>
        <v>485564.28245417983</v>
      </c>
      <c r="N103" s="24">
        <f t="shared" si="59"/>
        <v>623177.92436589196</v>
      </c>
    </row>
    <row r="104" spans="2:14" ht="14.25" x14ac:dyDescent="0.45">
      <c r="B104" s="167"/>
      <c r="C104" s="165" t="s">
        <v>35</v>
      </c>
      <c r="D104" s="15" t="s">
        <v>43</v>
      </c>
      <c r="E104" s="16">
        <f>E96*E$15/$E$4</f>
        <v>2.2900000000000004E-2</v>
      </c>
      <c r="F104" s="16">
        <f>F96*F$15/$E$4-E104</f>
        <v>3.3281999999999992E-2</v>
      </c>
      <c r="G104" s="16">
        <f>G96*G$15/$E$4-F104-E104</f>
        <v>4.7759670000000004E-2</v>
      </c>
      <c r="H104" s="16">
        <f>H96*H$15/$E$4-G104-F104-E104</f>
        <v>6.7835372399999996E-2</v>
      </c>
      <c r="I104" s="16">
        <f>I96*I$15/$E$4-H104-G104-F104-E104</f>
        <v>9.5538393944999953E-2</v>
      </c>
      <c r="J104" s="16">
        <f>J96*J$15/$E$4-I104-H104-G104-F104-E104</f>
        <v>0.13360421316725987</v>
      </c>
      <c r="K104" s="16">
        <f>K96*K$15/$E$4-J104-I104-H104-G104-F104-E104</f>
        <v>0.18571342860765619</v>
      </c>
      <c r="L104" s="16">
        <f>L96*L$15/$E$4-K104-J104-I104-H104-G104-F104-E104</f>
        <v>0.25680987467611593</v>
      </c>
      <c r="M104" s="16">
        <f>M96*M$15/$E$4-L104-K104-J104-I104-H104-G104-F104-E104</f>
        <v>0.35352376011837805</v>
      </c>
      <c r="N104" s="16">
        <f>N96*N$15/$E$4-M104-L104-K104-J104-I104-H104-G104-F104-E104</f>
        <v>0.48473398865689099</v>
      </c>
    </row>
    <row r="105" spans="2:14" ht="14.25" x14ac:dyDescent="0.45">
      <c r="B105" s="167"/>
      <c r="C105" s="166"/>
      <c r="D105" s="15" t="s">
        <v>44</v>
      </c>
      <c r="E105" s="17"/>
      <c r="F105" s="17"/>
      <c r="G105" s="17"/>
      <c r="H105" s="17"/>
      <c r="I105" s="17">
        <f>AVERAGE(E104:I104)</f>
        <v>5.3463087268999988E-2</v>
      </c>
      <c r="J105" s="17"/>
      <c r="K105" s="17"/>
      <c r="L105" s="17"/>
      <c r="M105" s="17"/>
      <c r="N105" s="17">
        <f>AVERAGE(E104:N104)</f>
        <v>0.16817007015713009</v>
      </c>
    </row>
    <row r="106" spans="2:14" ht="14.25" x14ac:dyDescent="0.45">
      <c r="B106" s="167"/>
      <c r="C106" s="167"/>
      <c r="D106" s="19" t="s">
        <v>45</v>
      </c>
      <c r="E106" s="23">
        <f>E108</f>
        <v>22900</v>
      </c>
      <c r="F106" s="23">
        <f>F108-E108</f>
        <v>33282</v>
      </c>
      <c r="G106" s="23">
        <f>G108-F108</f>
        <v>47759.669999999984</v>
      </c>
      <c r="H106" s="23">
        <f>H108-G108</f>
        <v>67835.372399999993</v>
      </c>
      <c r="I106" s="23">
        <f>I108-H108</f>
        <v>95538.39394499996</v>
      </c>
      <c r="J106" s="23">
        <f>J108-I108</f>
        <v>133604.21316725994</v>
      </c>
      <c r="K106" s="23">
        <f t="shared" ref="K106:N106" si="60">K108-J108</f>
        <v>185713.42860765627</v>
      </c>
      <c r="L106" s="23">
        <f t="shared" si="60"/>
        <v>256809.87467611569</v>
      </c>
      <c r="M106" s="23">
        <f t="shared" si="60"/>
        <v>353523.76011837821</v>
      </c>
      <c r="N106" s="23">
        <f t="shared" si="60"/>
        <v>484733.98865689081</v>
      </c>
    </row>
    <row r="107" spans="2:14" ht="15" customHeight="1" x14ac:dyDescent="0.45">
      <c r="B107" s="167"/>
      <c r="C107" s="167"/>
      <c r="D107" s="19" t="s">
        <v>47</v>
      </c>
      <c r="E107" s="23"/>
      <c r="F107" s="23"/>
      <c r="G107" s="23"/>
      <c r="H107" s="23"/>
      <c r="I107" s="23">
        <f>AVERAGE(E106:I106)</f>
        <v>53463.087268999989</v>
      </c>
      <c r="J107" s="23"/>
      <c r="K107" s="23"/>
      <c r="L107" s="23"/>
      <c r="M107" s="23"/>
      <c r="N107" s="23">
        <f>AVERAGE(E106:N106)</f>
        <v>168170.07015713007</v>
      </c>
    </row>
    <row r="108" spans="2:14" ht="14.25" x14ac:dyDescent="0.45">
      <c r="B108" s="167"/>
      <c r="C108" s="167"/>
      <c r="D108" s="19" t="s">
        <v>46</v>
      </c>
      <c r="E108" s="24">
        <f t="shared" ref="E108:N108" si="61">E98*E$15</f>
        <v>22900</v>
      </c>
      <c r="F108" s="24">
        <f t="shared" si="61"/>
        <v>56182</v>
      </c>
      <c r="G108" s="24">
        <f>G98*G$15</f>
        <v>103941.66999999998</v>
      </c>
      <c r="H108" s="24">
        <f>H98*H$15</f>
        <v>171777.04239999998</v>
      </c>
      <c r="I108" s="24">
        <f>I98*I$15</f>
        <v>267315.43634499994</v>
      </c>
      <c r="J108" s="24">
        <f t="shared" si="61"/>
        <v>400919.64951225987</v>
      </c>
      <c r="K108" s="24">
        <f t="shared" si="61"/>
        <v>586633.07811991614</v>
      </c>
      <c r="L108" s="24">
        <f t="shared" si="61"/>
        <v>843442.95279603184</v>
      </c>
      <c r="M108" s="24">
        <f t="shared" si="61"/>
        <v>1196966.71291441</v>
      </c>
      <c r="N108" s="24">
        <f t="shared" si="61"/>
        <v>1681700.7015713009</v>
      </c>
    </row>
    <row r="109" spans="2:14" ht="14.25" x14ac:dyDescent="0.45">
      <c r="B109" s="167" t="s">
        <v>18</v>
      </c>
      <c r="C109" s="166" t="s">
        <v>32</v>
      </c>
      <c r="D109" s="15" t="s">
        <v>43</v>
      </c>
      <c r="E109" s="16">
        <f>E66+E79+E94-E34-E50</f>
        <v>0.16178294573643415</v>
      </c>
      <c r="F109" s="16">
        <f t="shared" ref="F109:N109" si="62">F66+F79+F94-F34-F50</f>
        <v>0.1321573222763055</v>
      </c>
      <c r="G109" s="16">
        <f t="shared" si="62"/>
        <v>0.10919172269481044</v>
      </c>
      <c r="H109" s="16">
        <f t="shared" si="62"/>
        <v>9.1388932321558564E-2</v>
      </c>
      <c r="I109" s="16">
        <f t="shared" si="62"/>
        <v>7.7588319629115068E-2</v>
      </c>
      <c r="J109" s="16">
        <f t="shared" si="62"/>
        <v>6.6890170255128001E-2</v>
      </c>
      <c r="K109" s="16">
        <f t="shared" si="62"/>
        <v>5.8597031205525618E-2</v>
      </c>
      <c r="L109" s="16">
        <f t="shared" si="62"/>
        <v>5.2168241244593405E-2</v>
      </c>
      <c r="M109" s="16">
        <f t="shared" si="62"/>
        <v>4.7184683135343838E-2</v>
      </c>
      <c r="N109" s="16">
        <f t="shared" si="62"/>
        <v>4.3321459794840096E-2</v>
      </c>
    </row>
    <row r="110" spans="2:14" ht="14.25" x14ac:dyDescent="0.45">
      <c r="B110" s="167"/>
      <c r="C110" s="166"/>
      <c r="D110" s="15" t="s">
        <v>44</v>
      </c>
      <c r="E110" s="16"/>
      <c r="F110" s="16"/>
      <c r="G110" s="16"/>
      <c r="H110" s="16"/>
      <c r="I110" s="38">
        <f>AVERAGE(E109:I109)</f>
        <v>0.11442184853164475</v>
      </c>
      <c r="J110" s="16"/>
      <c r="K110" s="16"/>
      <c r="L110" s="16"/>
      <c r="M110" s="16"/>
      <c r="N110" s="17">
        <f>AVERAGE(E109:N109)</f>
        <v>8.4027082829365468E-2</v>
      </c>
    </row>
    <row r="111" spans="2:14" ht="14.25" x14ac:dyDescent="0.45">
      <c r="B111" s="167"/>
      <c r="C111" s="166"/>
      <c r="D111" s="15" t="s">
        <v>42</v>
      </c>
      <c r="E111" s="16">
        <f>E68+E81+E96-E36-E52</f>
        <v>0.16178294573643415</v>
      </c>
      <c r="F111" s="16">
        <f t="shared" ref="F111:N111" si="63">F68+F81+F96-F36-F52</f>
        <v>0.29394026801273965</v>
      </c>
      <c r="G111" s="16">
        <f t="shared" si="63"/>
        <v>0.40313199070755001</v>
      </c>
      <c r="H111" s="16">
        <f t="shared" si="63"/>
        <v>0.49452092302910883</v>
      </c>
      <c r="I111" s="16">
        <f t="shared" si="63"/>
        <v>0.57210924265822349</v>
      </c>
      <c r="J111" s="16">
        <f t="shared" si="63"/>
        <v>0.63899941291335161</v>
      </c>
      <c r="K111" s="16">
        <f t="shared" si="63"/>
        <v>0.69759644411887778</v>
      </c>
      <c r="L111" s="16">
        <f t="shared" si="63"/>
        <v>0.74976468536346974</v>
      </c>
      <c r="M111" s="16">
        <f t="shared" si="63"/>
        <v>0.79694936849881559</v>
      </c>
      <c r="N111" s="16">
        <f t="shared" si="63"/>
        <v>0.84027082829365352</v>
      </c>
    </row>
    <row r="112" spans="2:14" ht="14.25" x14ac:dyDescent="0.45">
      <c r="B112" s="167"/>
      <c r="C112" s="167"/>
      <c r="D112" s="19" t="s">
        <v>45</v>
      </c>
      <c r="E112" s="20">
        <f>10*E109</f>
        <v>1.6178294573643415</v>
      </c>
      <c r="F112" s="20">
        <f t="shared" ref="F112:N112" si="64">10*F109</f>
        <v>1.321573222763055</v>
      </c>
      <c r="G112" s="20">
        <f t="shared" si="64"/>
        <v>1.0919172269481043</v>
      </c>
      <c r="H112" s="20">
        <f t="shared" si="64"/>
        <v>0.91388932321558558</v>
      </c>
      <c r="I112" s="20">
        <f t="shared" si="64"/>
        <v>0.77588319629115066</v>
      </c>
      <c r="J112" s="20">
        <f t="shared" si="64"/>
        <v>0.66890170255128001</v>
      </c>
      <c r="K112" s="20">
        <f t="shared" si="64"/>
        <v>0.58597031205525618</v>
      </c>
      <c r="L112" s="20">
        <f t="shared" si="64"/>
        <v>0.52168241244593405</v>
      </c>
      <c r="M112" s="20">
        <f t="shared" si="64"/>
        <v>0.47184683135343841</v>
      </c>
      <c r="N112" s="20">
        <f t="shared" si="64"/>
        <v>0.43321459794840095</v>
      </c>
    </row>
    <row r="113" spans="1:15" ht="14.25" x14ac:dyDescent="0.45">
      <c r="B113" s="167"/>
      <c r="C113" s="167"/>
      <c r="D113" s="19" t="s">
        <v>46</v>
      </c>
      <c r="E113" s="20">
        <f>10*E111</f>
        <v>1.6178294573643415</v>
      </c>
      <c r="F113" s="20">
        <f>10*F111</f>
        <v>2.9394026801273965</v>
      </c>
      <c r="G113" s="20">
        <f>10*G111</f>
        <v>4.0313199070754999</v>
      </c>
      <c r="H113" s="20">
        <f t="shared" ref="H113:N113" si="65">10*H111</f>
        <v>4.9452092302910886</v>
      </c>
      <c r="I113" s="20">
        <f t="shared" si="65"/>
        <v>5.7210924265822349</v>
      </c>
      <c r="J113" s="20">
        <f t="shared" si="65"/>
        <v>6.3899941291335161</v>
      </c>
      <c r="K113" s="20">
        <f t="shared" si="65"/>
        <v>6.9759644411887773</v>
      </c>
      <c r="L113" s="20">
        <f t="shared" si="65"/>
        <v>7.4976468536346976</v>
      </c>
      <c r="M113" s="20">
        <f t="shared" si="65"/>
        <v>7.9694936849881559</v>
      </c>
      <c r="N113" s="20">
        <f t="shared" si="65"/>
        <v>8.4027082829365352</v>
      </c>
    </row>
    <row r="114" spans="1:15" ht="14.25" x14ac:dyDescent="0.45">
      <c r="B114" s="167"/>
      <c r="C114" s="165" t="s">
        <v>36</v>
      </c>
      <c r="D114" s="15" t="s">
        <v>43</v>
      </c>
      <c r="E114" s="16">
        <f>E71+E84+E99-E39-E55</f>
        <v>0.20870000000000005</v>
      </c>
      <c r="F114" s="16">
        <f t="shared" ref="F114:N114" si="66">F71+F84+F99-F39-F55</f>
        <v>0.21992299999999992</v>
      </c>
      <c r="G114" s="16">
        <f t="shared" si="66"/>
        <v>0.23440066999999992</v>
      </c>
      <c r="H114" s="16">
        <f t="shared" si="66"/>
        <v>0.25307686430000015</v>
      </c>
      <c r="I114" s="16">
        <f t="shared" si="66"/>
        <v>0.27716915494699973</v>
      </c>
      <c r="J114" s="16">
        <f t="shared" si="66"/>
        <v>0.30824820988162999</v>
      </c>
      <c r="K114" s="16">
        <f t="shared" si="66"/>
        <v>0.34834019074730288</v>
      </c>
      <c r="L114" s="16">
        <f t="shared" si="66"/>
        <v>0.40005884606401992</v>
      </c>
      <c r="M114" s="16">
        <f t="shared" si="66"/>
        <v>0.46677591142258695</v>
      </c>
      <c r="N114" s="16">
        <f t="shared" si="66"/>
        <v>0.55284092573513566</v>
      </c>
    </row>
    <row r="115" spans="1:15" ht="14.25" x14ac:dyDescent="0.45">
      <c r="B115" s="167"/>
      <c r="C115" s="166"/>
      <c r="D115" s="15" t="s">
        <v>44</v>
      </c>
      <c r="E115" s="16"/>
      <c r="F115" s="16"/>
      <c r="G115" s="16"/>
      <c r="H115" s="16"/>
      <c r="I115" s="17">
        <f>AVERAGE(E114:I114)</f>
        <v>0.23865393784939992</v>
      </c>
      <c r="J115" s="17"/>
      <c r="K115" s="17"/>
      <c r="L115" s="17"/>
      <c r="M115" s="17"/>
      <c r="N115" s="17">
        <f>AVERAGE(E114:N114)</f>
        <v>0.32695337730976748</v>
      </c>
    </row>
    <row r="116" spans="1:15" ht="14.25" x14ac:dyDescent="0.45">
      <c r="B116" s="167"/>
      <c r="C116" s="167"/>
      <c r="D116" s="19" t="s">
        <v>45</v>
      </c>
      <c r="E116" s="22">
        <f t="shared" ref="E116:N116" si="67">E112*E$15</f>
        <v>208700.00000000006</v>
      </c>
      <c r="F116" s="22">
        <f t="shared" si="67"/>
        <v>219922.99999999997</v>
      </c>
      <c r="G116" s="22">
        <f>G112*G$15</f>
        <v>234400.6699999999</v>
      </c>
      <c r="H116" s="22">
        <f>H112*H$15</f>
        <v>253076.86430000013</v>
      </c>
      <c r="I116" s="22">
        <f>I112*I$15</f>
        <v>277169.15494699974</v>
      </c>
      <c r="J116" s="22">
        <f t="shared" si="67"/>
        <v>308248.20988162991</v>
      </c>
      <c r="K116" s="22">
        <f t="shared" si="67"/>
        <v>348340.19074730284</v>
      </c>
      <c r="L116" s="22">
        <f t="shared" si="67"/>
        <v>400058.84606401989</v>
      </c>
      <c r="M116" s="22">
        <f t="shared" si="67"/>
        <v>466775.91142258694</v>
      </c>
      <c r="N116" s="22">
        <f t="shared" si="67"/>
        <v>552840.9257351358</v>
      </c>
    </row>
    <row r="117" spans="1:15" ht="14.25" x14ac:dyDescent="0.45">
      <c r="B117" s="167"/>
      <c r="C117" s="167"/>
      <c r="D117" s="19" t="s">
        <v>47</v>
      </c>
      <c r="E117" s="21"/>
      <c r="F117" s="21"/>
      <c r="G117" s="21"/>
      <c r="H117" s="21"/>
      <c r="I117" s="22">
        <f>AVERAGE(E116:I116)</f>
        <v>238653.93784939995</v>
      </c>
      <c r="J117" s="22"/>
      <c r="K117" s="22"/>
      <c r="L117" s="22"/>
      <c r="M117" s="22"/>
      <c r="N117" s="22">
        <f>AVERAGE(E116:N116)</f>
        <v>326953.37730976753</v>
      </c>
    </row>
    <row r="118" spans="1:15" ht="14.25" x14ac:dyDescent="0.45">
      <c r="B118" s="167"/>
      <c r="C118" s="167"/>
      <c r="D118" s="19" t="s">
        <v>46</v>
      </c>
      <c r="E118" s="21">
        <f>E116</f>
        <v>208700.00000000006</v>
      </c>
      <c r="F118" s="21">
        <f t="shared" ref="F118:N118" si="68">E118+F116</f>
        <v>428623</v>
      </c>
      <c r="G118" s="21">
        <f>F118+G116</f>
        <v>663023.66999999993</v>
      </c>
      <c r="H118" s="21">
        <f t="shared" si="68"/>
        <v>916100.53430000006</v>
      </c>
      <c r="I118" s="21">
        <f t="shared" si="68"/>
        <v>1193269.6892469998</v>
      </c>
      <c r="J118" s="21">
        <f>I118+J116</f>
        <v>1501517.8991286298</v>
      </c>
      <c r="K118" s="21">
        <f t="shared" si="68"/>
        <v>1849858.0898759328</v>
      </c>
      <c r="L118" s="21">
        <f t="shared" si="68"/>
        <v>2249916.9359399527</v>
      </c>
      <c r="M118" s="21">
        <f t="shared" si="68"/>
        <v>2716692.8473625397</v>
      </c>
      <c r="N118" s="21">
        <f t="shared" si="68"/>
        <v>3269533.7730976753</v>
      </c>
    </row>
    <row r="119" spans="1:15" ht="15" customHeight="1" x14ac:dyDescent="0.45">
      <c r="B119" s="167"/>
      <c r="C119" s="165" t="s">
        <v>35</v>
      </c>
      <c r="D119" s="15" t="s">
        <v>43</v>
      </c>
      <c r="E119" s="16">
        <f>E74+E89+E104-E42-E58</f>
        <v>0.20870000000000005</v>
      </c>
      <c r="F119" s="16">
        <f t="shared" ref="F119:N119" si="69">F74+F89+F104-F42-F58</f>
        <v>0.28044600000000003</v>
      </c>
      <c r="G119" s="16">
        <f t="shared" si="69"/>
        <v>0.37625300999999972</v>
      </c>
      <c r="H119" s="16">
        <f t="shared" si="69"/>
        <v>0.50404257720000079</v>
      </c>
      <c r="I119" s="16">
        <f t="shared" si="69"/>
        <v>0.67430721523499804</v>
      </c>
      <c r="J119" s="16">
        <f t="shared" si="69"/>
        <v>0.90093536258778051</v>
      </c>
      <c r="K119" s="16">
        <f t="shared" si="69"/>
        <v>1.2022985986039108</v>
      </c>
      <c r="L119" s="16">
        <f t="shared" si="69"/>
        <v>1.6026838475157505</v>
      </c>
      <c r="M119" s="16">
        <f t="shared" si="69"/>
        <v>2.1341792286539123</v>
      </c>
      <c r="N119" s="16">
        <f t="shared" si="69"/>
        <v>2.8391562192760533</v>
      </c>
    </row>
    <row r="120" spans="1:15" ht="15" customHeight="1" x14ac:dyDescent="0.45">
      <c r="B120" s="167"/>
      <c r="C120" s="166"/>
      <c r="D120" s="15" t="s">
        <v>44</v>
      </c>
      <c r="E120" s="17"/>
      <c r="F120" s="17"/>
      <c r="G120" s="17"/>
      <c r="H120" s="17"/>
      <c r="I120" s="17">
        <f>AVERAGE(E119:I119)</f>
        <v>0.40874976048699968</v>
      </c>
      <c r="J120" s="17"/>
      <c r="K120" s="17"/>
      <c r="L120" s="17"/>
      <c r="M120" s="17"/>
      <c r="N120" s="17">
        <f>AVERAGE(E119:N119)</f>
        <v>1.0723002059072406</v>
      </c>
    </row>
    <row r="121" spans="1:15" ht="15" customHeight="1" x14ac:dyDescent="0.45">
      <c r="B121" s="167"/>
      <c r="C121" s="167"/>
      <c r="D121" s="19" t="s">
        <v>45</v>
      </c>
      <c r="E121" s="22">
        <f>E123</f>
        <v>208700.00000000006</v>
      </c>
      <c r="F121" s="22">
        <f>F123-E123</f>
        <v>280446</v>
      </c>
      <c r="G121" s="22">
        <f>G123-F123</f>
        <v>376253.00999999972</v>
      </c>
      <c r="H121" s="22">
        <f t="shared" ref="H121:N121" si="70">H123-G123</f>
        <v>504042.57720000087</v>
      </c>
      <c r="I121" s="22">
        <f t="shared" si="70"/>
        <v>674307.21523499815</v>
      </c>
      <c r="J121" s="22">
        <f>J123-I123</f>
        <v>900935.36258777999</v>
      </c>
      <c r="K121" s="22">
        <f t="shared" si="70"/>
        <v>1202298.5986039117</v>
      </c>
      <c r="L121" s="22">
        <f t="shared" si="70"/>
        <v>1602683.8475157502</v>
      </c>
      <c r="M121" s="22">
        <f t="shared" si="70"/>
        <v>2134179.2286539134</v>
      </c>
      <c r="N121" s="22">
        <f t="shared" si="70"/>
        <v>2839156.219276051</v>
      </c>
    </row>
    <row r="122" spans="1:15" ht="15" customHeight="1" x14ac:dyDescent="0.45">
      <c r="A122" s="8"/>
      <c r="B122" s="167"/>
      <c r="C122" s="167"/>
      <c r="D122" s="19" t="s">
        <v>47</v>
      </c>
      <c r="E122" s="22"/>
      <c r="F122" s="22"/>
      <c r="G122" s="22"/>
      <c r="H122" s="22"/>
      <c r="I122" s="22">
        <f>AVERAGE(E121:I121)</f>
        <v>408749.76048699976</v>
      </c>
      <c r="J122" s="22"/>
      <c r="K122" s="22"/>
      <c r="L122" s="22"/>
      <c r="M122" s="22"/>
      <c r="N122" s="22">
        <f>AVERAGE(E121:N121)</f>
        <v>1072300.2059072405</v>
      </c>
      <c r="O122" s="8"/>
    </row>
    <row r="123" spans="1:15" ht="15" customHeight="1" x14ac:dyDescent="0.45">
      <c r="B123" s="167"/>
      <c r="C123" s="167"/>
      <c r="D123" s="19" t="s">
        <v>46</v>
      </c>
      <c r="E123" s="21">
        <f t="shared" ref="E123:N123" si="71">E113*E$15</f>
        <v>208700.00000000006</v>
      </c>
      <c r="F123" s="21">
        <f t="shared" si="71"/>
        <v>489146.00000000006</v>
      </c>
      <c r="G123" s="21">
        <f>G113*G$15</f>
        <v>865399.00999999978</v>
      </c>
      <c r="H123" s="21">
        <f>H113*H$15</f>
        <v>1369441.5872000006</v>
      </c>
      <c r="I123" s="21">
        <f>I113*I$15</f>
        <v>2043748.8024349988</v>
      </c>
      <c r="J123" s="21">
        <f t="shared" si="71"/>
        <v>2944684.1650227788</v>
      </c>
      <c r="K123" s="21">
        <f t="shared" si="71"/>
        <v>4146982.7636266905</v>
      </c>
      <c r="L123" s="21">
        <f t="shared" si="71"/>
        <v>5749666.6111424407</v>
      </c>
      <c r="M123" s="21">
        <f t="shared" si="71"/>
        <v>7883845.8397963541</v>
      </c>
      <c r="N123" s="21">
        <f t="shared" si="71"/>
        <v>10723002.059072405</v>
      </c>
    </row>
    <row r="124" spans="1:15" ht="15" customHeight="1" x14ac:dyDescent="0.45">
      <c r="B124" s="1"/>
      <c r="C124" s="1"/>
      <c r="D124" s="40"/>
      <c r="E124" s="10"/>
      <c r="F124" s="10"/>
      <c r="G124" s="10"/>
      <c r="H124" s="10"/>
      <c r="I124" s="10"/>
      <c r="J124" s="10"/>
      <c r="K124" s="10"/>
      <c r="L124" s="10"/>
      <c r="M124" s="10"/>
      <c r="N124" s="10"/>
    </row>
    <row r="125" spans="1:15"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5" ht="15" customHeight="1" x14ac:dyDescent="0.45">
      <c r="B126" s="151"/>
      <c r="C126" s="153"/>
      <c r="D126" s="153"/>
      <c r="E126" s="149"/>
      <c r="F126" s="149"/>
      <c r="G126" s="149"/>
      <c r="H126" s="149"/>
      <c r="I126" s="149"/>
      <c r="J126" s="149"/>
      <c r="K126" s="149"/>
      <c r="L126" s="149"/>
      <c r="M126" s="149"/>
      <c r="N126" s="149"/>
    </row>
    <row r="127" spans="1:15" ht="15" customHeight="1" x14ac:dyDescent="0.45">
      <c r="B127" s="158" t="s">
        <v>141</v>
      </c>
      <c r="C127" s="156">
        <v>20000</v>
      </c>
      <c r="D127" s="44" t="s">
        <v>19</v>
      </c>
      <c r="E127" s="27">
        <f t="shared" ref="E127:N127" si="72">E$53/10*$C127/(2+$E$11)</f>
        <v>387.59689922480618</v>
      </c>
      <c r="F127" s="27">
        <f t="shared" si="72"/>
        <v>300.46271257736913</v>
      </c>
      <c r="G127" s="27">
        <f t="shared" si="72"/>
        <v>232.91683145532494</v>
      </c>
      <c r="H127" s="27">
        <f t="shared" si="72"/>
        <v>180.5556832987015</v>
      </c>
      <c r="I127" s="27">
        <f t="shared" si="72"/>
        <v>139.96564596798567</v>
      </c>
      <c r="J127" s="27">
        <f t="shared" si="72"/>
        <v>108.5005007503765</v>
      </c>
      <c r="K127" s="27">
        <f t="shared" si="72"/>
        <v>84.108915310369369</v>
      </c>
      <c r="L127" s="27">
        <f t="shared" si="72"/>
        <v>65.200709542921999</v>
      </c>
      <c r="M127" s="27">
        <f t="shared" si="72"/>
        <v>50.543185692187599</v>
      </c>
      <c r="N127" s="27">
        <f t="shared" si="72"/>
        <v>39.180764102471002</v>
      </c>
    </row>
    <row r="128" spans="1:15" ht="15" customHeight="1" x14ac:dyDescent="0.45">
      <c r="B128" s="159"/>
      <c r="C128" s="156"/>
      <c r="D128" s="19" t="s">
        <v>22</v>
      </c>
      <c r="E128" s="27"/>
      <c r="F128" s="27"/>
      <c r="G128" s="27"/>
      <c r="H128" s="27"/>
      <c r="I128" s="28">
        <f>AVERAGE(E127:I127)</f>
        <v>248.29955450483749</v>
      </c>
      <c r="J128" s="27"/>
      <c r="K128" s="27"/>
      <c r="L128" s="27"/>
      <c r="M128" s="27"/>
      <c r="N128" s="27">
        <f>AVERAGE(E127:N127)</f>
        <v>158.90318479225135</v>
      </c>
    </row>
    <row r="129" spans="2:14" ht="15" customHeight="1" x14ac:dyDescent="0.45">
      <c r="B129" s="159"/>
      <c r="C129" s="156"/>
      <c r="D129" s="19" t="s">
        <v>41</v>
      </c>
      <c r="E129" s="27">
        <f t="shared" ref="E129:N129" si="73">E$54/10*$C127/(2+$E$11)</f>
        <v>387.59689922480618</v>
      </c>
      <c r="F129" s="27">
        <f t="shared" si="73"/>
        <v>688.05961180217537</v>
      </c>
      <c r="G129" s="27">
        <f t="shared" si="73"/>
        <v>920.97644325750048</v>
      </c>
      <c r="H129" s="27">
        <f t="shared" si="73"/>
        <v>1101.5321265562013</v>
      </c>
      <c r="I129" s="28">
        <f t="shared" si="73"/>
        <v>1241.4977725241883</v>
      </c>
      <c r="J129" s="27">
        <f t="shared" si="73"/>
        <v>1349.9982732745639</v>
      </c>
      <c r="K129" s="27">
        <f t="shared" si="73"/>
        <v>1434.1071885849321</v>
      </c>
      <c r="L129" s="27">
        <f t="shared" si="73"/>
        <v>1499.3078981278582</v>
      </c>
      <c r="M129" s="27">
        <f t="shared" si="73"/>
        <v>1549.8510838200398</v>
      </c>
      <c r="N129" s="27">
        <f t="shared" si="73"/>
        <v>1589.0318479225175</v>
      </c>
    </row>
    <row r="130" spans="2:14" ht="15" customHeight="1" x14ac:dyDescent="0.45">
      <c r="B130" s="159"/>
      <c r="C130" s="156">
        <v>400000</v>
      </c>
      <c r="D130" s="44" t="s">
        <v>19</v>
      </c>
      <c r="E130" s="27">
        <f t="shared" ref="E130:N130" si="74">E$53/10*$C130/(2+$E$11)</f>
        <v>7751.937984496124</v>
      </c>
      <c r="F130" s="27">
        <f t="shared" si="74"/>
        <v>6009.2542515473824</v>
      </c>
      <c r="G130" s="27">
        <f t="shared" si="74"/>
        <v>4658.3366291064985</v>
      </c>
      <c r="H130" s="27">
        <f t="shared" si="74"/>
        <v>3611.11366597403</v>
      </c>
      <c r="I130" s="27">
        <f t="shared" si="74"/>
        <v>2799.3129193597133</v>
      </c>
      <c r="J130" s="27">
        <f t="shared" si="74"/>
        <v>2170.01001500753</v>
      </c>
      <c r="K130" s="27">
        <f t="shared" si="74"/>
        <v>1682.1783062073873</v>
      </c>
      <c r="L130" s="27">
        <f t="shared" si="74"/>
        <v>1304.0141908584399</v>
      </c>
      <c r="M130" s="27">
        <f t="shared" si="74"/>
        <v>1010.8637138437521</v>
      </c>
      <c r="N130" s="27">
        <f t="shared" si="74"/>
        <v>783.6152820494201</v>
      </c>
    </row>
    <row r="131" spans="2:14" ht="15" customHeight="1" x14ac:dyDescent="0.45">
      <c r="B131" s="159"/>
      <c r="C131" s="156"/>
      <c r="D131" s="19" t="s">
        <v>22</v>
      </c>
      <c r="E131" s="27"/>
      <c r="F131" s="27"/>
      <c r="G131" s="27"/>
      <c r="H131" s="27"/>
      <c r="I131" s="28">
        <f>AVERAGE(E130:I130)</f>
        <v>4965.9910900967498</v>
      </c>
      <c r="J131" s="27"/>
      <c r="K131" s="27"/>
      <c r="L131" s="27"/>
      <c r="M131" s="27"/>
      <c r="N131" s="27">
        <f>AVERAGE(E130:N130)</f>
        <v>3178.0636958450277</v>
      </c>
    </row>
    <row r="132" spans="2:14" ht="15" customHeight="1" x14ac:dyDescent="0.45">
      <c r="B132" s="159"/>
      <c r="C132" s="156"/>
      <c r="D132" s="19" t="s">
        <v>41</v>
      </c>
      <c r="E132" s="27">
        <f t="shared" ref="E132:N132" si="75">E$54/10*$C130/(2+$E$11)</f>
        <v>7751.937984496124</v>
      </c>
      <c r="F132" s="27">
        <f t="shared" si="75"/>
        <v>13761.192236043507</v>
      </c>
      <c r="G132" s="27">
        <f t="shared" si="75"/>
        <v>18419.528865150009</v>
      </c>
      <c r="H132" s="27">
        <f t="shared" si="75"/>
        <v>22030.642531124027</v>
      </c>
      <c r="I132" s="28">
        <f t="shared" si="75"/>
        <v>24829.955450483765</v>
      </c>
      <c r="J132" s="27">
        <f t="shared" si="75"/>
        <v>26999.965465491277</v>
      </c>
      <c r="K132" s="27">
        <f t="shared" si="75"/>
        <v>28682.143771698644</v>
      </c>
      <c r="L132" s="27">
        <f t="shared" si="75"/>
        <v>29986.157962557165</v>
      </c>
      <c r="M132" s="27">
        <f t="shared" si="75"/>
        <v>30997.021676400793</v>
      </c>
      <c r="N132" s="27">
        <f t="shared" si="75"/>
        <v>31780.636958450348</v>
      </c>
    </row>
    <row r="133" spans="2:14" ht="15" customHeight="1" x14ac:dyDescent="0.45">
      <c r="B133" s="159"/>
      <c r="C133" s="157">
        <v>1000000</v>
      </c>
      <c r="D133" s="15" t="s">
        <v>19</v>
      </c>
      <c r="E133" s="29">
        <f t="shared" ref="E133:N133" si="76">E$53/10*$C133/(2+$E$11)</f>
        <v>19379.844961240309</v>
      </c>
      <c r="F133" s="29">
        <f t="shared" si="76"/>
        <v>15023.135628868455</v>
      </c>
      <c r="G133" s="29">
        <f t="shared" si="76"/>
        <v>11645.841572766247</v>
      </c>
      <c r="H133" s="29">
        <f t="shared" si="76"/>
        <v>9027.7841649350739</v>
      </c>
      <c r="I133" s="29">
        <f t="shared" si="76"/>
        <v>6998.2822983992837</v>
      </c>
      <c r="J133" s="29">
        <f t="shared" si="76"/>
        <v>5425.0250375188252</v>
      </c>
      <c r="K133" s="29">
        <f t="shared" si="76"/>
        <v>4205.4457655184688</v>
      </c>
      <c r="L133" s="29">
        <f t="shared" si="76"/>
        <v>3260.0354771460998</v>
      </c>
      <c r="M133" s="29">
        <f t="shared" si="76"/>
        <v>2527.1592846093799</v>
      </c>
      <c r="N133" s="29">
        <f t="shared" si="76"/>
        <v>1959.0382051235504</v>
      </c>
    </row>
    <row r="134" spans="2:14" ht="15" customHeight="1" x14ac:dyDescent="0.45">
      <c r="B134" s="159"/>
      <c r="C134" s="157"/>
      <c r="D134" s="15" t="s">
        <v>22</v>
      </c>
      <c r="E134" s="29"/>
      <c r="F134" s="29"/>
      <c r="G134" s="29"/>
      <c r="H134" s="29"/>
      <c r="I134" s="30">
        <f>AVERAGE(E133:I133)</f>
        <v>12414.977725241875</v>
      </c>
      <c r="J134" s="29"/>
      <c r="K134" s="29"/>
      <c r="L134" s="29"/>
      <c r="M134" s="29"/>
      <c r="N134" s="29">
        <f>AVERAGE(E133:N133)</f>
        <v>7945.1592396125689</v>
      </c>
    </row>
    <row r="135" spans="2:14" ht="15" customHeight="1" x14ac:dyDescent="0.45">
      <c r="B135" s="160"/>
      <c r="C135" s="157"/>
      <c r="D135" s="15" t="s">
        <v>41</v>
      </c>
      <c r="E135" s="29">
        <f t="shared" ref="E135:N135" si="77">E$54/10*$C133/(2+$E$11)</f>
        <v>19379.844961240309</v>
      </c>
      <c r="F135" s="29">
        <f t="shared" si="77"/>
        <v>34402.980590108768</v>
      </c>
      <c r="G135" s="29">
        <f t="shared" si="77"/>
        <v>46048.822162875025</v>
      </c>
      <c r="H135" s="29">
        <f t="shared" si="77"/>
        <v>55076.606327810063</v>
      </c>
      <c r="I135" s="30">
        <f t="shared" si="77"/>
        <v>62074.888626209409</v>
      </c>
      <c r="J135" s="29">
        <f t="shared" si="77"/>
        <v>67499.913663728192</v>
      </c>
      <c r="K135" s="29">
        <f t="shared" si="77"/>
        <v>71705.3594292466</v>
      </c>
      <c r="L135" s="29">
        <f t="shared" si="77"/>
        <v>74965.394906392903</v>
      </c>
      <c r="M135" s="29">
        <f t="shared" si="77"/>
        <v>77492.554191001982</v>
      </c>
      <c r="N135" s="29">
        <f t="shared" si="77"/>
        <v>79451.592396125867</v>
      </c>
    </row>
    <row r="136" spans="2:14" ht="15" customHeight="1" x14ac:dyDescent="0.45">
      <c r="B136" s="3"/>
      <c r="C136" s="1"/>
      <c r="D136" s="40"/>
      <c r="E136" s="10"/>
      <c r="F136" s="10"/>
      <c r="G136" s="10"/>
      <c r="H136" s="10"/>
      <c r="I136" s="10"/>
      <c r="J136" s="10"/>
      <c r="K136" s="10"/>
      <c r="L136" s="10"/>
      <c r="M136" s="10"/>
      <c r="N136" s="10"/>
    </row>
  </sheetData>
  <mergeCells count="105">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B94:B108"/>
    <mergeCell ref="C94:C98"/>
    <mergeCell ref="C99:C103"/>
    <mergeCell ref="C104:C108"/>
    <mergeCell ref="B109:B123"/>
    <mergeCell ref="C109:C113"/>
    <mergeCell ref="B127:B135"/>
    <mergeCell ref="C127:C129"/>
    <mergeCell ref="C130:C132"/>
    <mergeCell ref="C133:C135"/>
    <mergeCell ref="D64:D65"/>
    <mergeCell ref="E64:E65"/>
    <mergeCell ref="F64:F65"/>
    <mergeCell ref="H64:H65"/>
    <mergeCell ref="I64:I65"/>
    <mergeCell ref="J64:J65"/>
    <mergeCell ref="K64:K65"/>
    <mergeCell ref="L64:L65"/>
    <mergeCell ref="M64:M65"/>
    <mergeCell ref="C114:C118"/>
    <mergeCell ref="C119:C123"/>
    <mergeCell ref="M48:M49"/>
    <mergeCell ref="N48:N49"/>
    <mergeCell ref="I48:I49"/>
    <mergeCell ref="J48:J49"/>
    <mergeCell ref="K48:K49"/>
    <mergeCell ref="L48:L49"/>
    <mergeCell ref="G64:G65"/>
    <mergeCell ref="D48:D49"/>
    <mergeCell ref="E48:E49"/>
    <mergeCell ref="F48:F49"/>
    <mergeCell ref="G48:G49"/>
    <mergeCell ref="H48:H49"/>
    <mergeCell ref="C50:C54"/>
    <mergeCell ref="C55:C57"/>
    <mergeCell ref="C58:C62"/>
    <mergeCell ref="N64:N65"/>
    <mergeCell ref="C66:C70"/>
    <mergeCell ref="C71:C73"/>
    <mergeCell ref="C74:C78"/>
    <mergeCell ref="M32:M33"/>
    <mergeCell ref="N32:N33"/>
    <mergeCell ref="B15:B16"/>
    <mergeCell ref="C15:C16"/>
    <mergeCell ref="B17:B24"/>
    <mergeCell ref="C17:C24"/>
    <mergeCell ref="B25:B27"/>
    <mergeCell ref="C25:C27"/>
    <mergeCell ref="B28:B30"/>
    <mergeCell ref="C28:C30"/>
    <mergeCell ref="D32:D33"/>
    <mergeCell ref="E32:E33"/>
    <mergeCell ref="F32:F33"/>
    <mergeCell ref="G32:G33"/>
    <mergeCell ref="H32:H33"/>
    <mergeCell ref="I32:I33"/>
    <mergeCell ref="J32:J33"/>
    <mergeCell ref="K32:K33"/>
    <mergeCell ref="L32:L33"/>
    <mergeCell ref="B79:B93"/>
    <mergeCell ref="C79:C83"/>
    <mergeCell ref="C84:C88"/>
    <mergeCell ref="C89:C93"/>
    <mergeCell ref="B32:B33"/>
    <mergeCell ref="C32:C33"/>
    <mergeCell ref="B34:B46"/>
    <mergeCell ref="C34:C38"/>
    <mergeCell ref="C39:C41"/>
    <mergeCell ref="C42:C46"/>
    <mergeCell ref="B48:B49"/>
    <mergeCell ref="C48:C49"/>
    <mergeCell ref="B64:B65"/>
    <mergeCell ref="C64:C65"/>
    <mergeCell ref="B50:B62"/>
    <mergeCell ref="B66:B78"/>
    <mergeCell ref="D2:E3"/>
    <mergeCell ref="G2:I3"/>
    <mergeCell ref="K2:N2"/>
    <mergeCell ref="B2:C11"/>
    <mergeCell ref="B13:B14"/>
    <mergeCell ref="C13:C14"/>
    <mergeCell ref="D13:D14"/>
    <mergeCell ref="E13:E14"/>
    <mergeCell ref="F13:F14"/>
    <mergeCell ref="G13:G14"/>
    <mergeCell ref="H13:H14"/>
    <mergeCell ref="I13:I14"/>
    <mergeCell ref="J13:J14"/>
    <mergeCell ref="K13:K14"/>
    <mergeCell ref="L13:L14"/>
    <mergeCell ref="M13:M14"/>
    <mergeCell ref="N13:N14"/>
  </mergeCells>
  <pageMargins left="0.7" right="0.7" top="0.75" bottom="0.75" header="0.3" footer="0.3"/>
  <pageSetup orientation="portrait" r:id="rId1"/>
  <headerFooter>
    <oddHeader>&amp;R&amp;"Aptos"&amp;12&amp;K000000 Unclassified / Non 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99460-CE11-4E33-8D55-51D4C259CF57}">
  <dimension ref="A1:P136"/>
  <sheetViews>
    <sheetView zoomScaleNormal="100" workbookViewId="0">
      <selection activeCell="B2" sqref="B2:C11"/>
    </sheetView>
  </sheetViews>
  <sheetFormatPr defaultColWidth="9" defaultRowHeight="15" customHeight="1" x14ac:dyDescent="0.45"/>
  <cols>
    <col min="1" max="1" width="1.73046875" style="4" customWidth="1"/>
    <col min="2" max="2" width="43.73046875" style="2" bestFit="1" customWidth="1"/>
    <col min="3" max="3" width="16.73046875" style="2" bestFit="1" customWidth="1"/>
    <col min="4" max="4" width="33.3984375" style="2" bestFit="1" customWidth="1"/>
    <col min="5" max="5" width="9.59765625" style="2" bestFit="1" customWidth="1"/>
    <col min="6" max="6" width="9.3984375" style="2" bestFit="1" customWidth="1"/>
    <col min="7" max="7" width="16.1328125" style="2" bestFit="1" customWidth="1"/>
    <col min="8" max="8" width="15.3984375" style="2" bestFit="1" customWidth="1"/>
    <col min="9" max="9" width="9.3984375" style="2" bestFit="1" customWidth="1"/>
    <col min="10" max="10" width="10.3984375" style="2" bestFit="1" customWidth="1"/>
    <col min="11" max="11" width="12.59765625" style="2" bestFit="1" customWidth="1"/>
    <col min="12" max="12" width="13.1328125" style="2" bestFit="1" customWidth="1"/>
    <col min="13" max="13" width="10.3984375" style="2" bestFit="1" customWidth="1"/>
    <col min="14" max="14" width="10.59765625" style="2" bestFit="1" customWidth="1"/>
    <col min="15" max="16" width="1.73046875" style="4" customWidth="1"/>
    <col min="17" max="16384" width="9" style="2"/>
  </cols>
  <sheetData>
    <row r="1" spans="1:16" ht="15" customHeight="1" x14ac:dyDescent="0.45">
      <c r="A1" s="8"/>
      <c r="B1" s="8"/>
      <c r="C1" s="8"/>
      <c r="D1" s="8"/>
      <c r="E1" s="8"/>
      <c r="F1" s="8"/>
      <c r="G1" s="8"/>
      <c r="H1" s="8"/>
      <c r="I1" s="8"/>
      <c r="J1" s="8"/>
      <c r="K1" s="63"/>
      <c r="L1" s="63"/>
      <c r="M1" s="63"/>
      <c r="N1" s="63"/>
      <c r="O1" s="8"/>
    </row>
    <row r="2" spans="1:16" ht="58.5" customHeight="1" x14ac:dyDescent="0.45">
      <c r="A2" s="8"/>
      <c r="B2" s="179" t="s">
        <v>114</v>
      </c>
      <c r="C2" s="180"/>
      <c r="D2" s="185" t="s">
        <v>139</v>
      </c>
      <c r="E2" s="186"/>
      <c r="F2" s="8"/>
      <c r="G2" s="188" t="s">
        <v>125</v>
      </c>
      <c r="H2" s="185"/>
      <c r="I2" s="185"/>
      <c r="J2" s="4"/>
      <c r="K2" s="191" t="s">
        <v>117</v>
      </c>
      <c r="L2" s="191"/>
      <c r="M2" s="191"/>
      <c r="N2" s="191"/>
      <c r="O2" s="8"/>
    </row>
    <row r="3" spans="1:16" ht="14.25" x14ac:dyDescent="0.45">
      <c r="A3" s="8"/>
      <c r="B3" s="181"/>
      <c r="C3" s="182"/>
      <c r="D3" s="184"/>
      <c r="E3" s="187"/>
      <c r="F3" s="8"/>
      <c r="G3" s="189"/>
      <c r="H3" s="190"/>
      <c r="I3" s="190"/>
      <c r="J3" s="4"/>
      <c r="K3" s="64" t="s">
        <v>53</v>
      </c>
      <c r="L3" s="64" t="s">
        <v>51</v>
      </c>
      <c r="M3" s="64" t="s">
        <v>32</v>
      </c>
      <c r="N3" s="64" t="s">
        <v>33</v>
      </c>
      <c r="O3" s="8"/>
      <c r="P3" s="9"/>
    </row>
    <row r="4" spans="1:16" ht="14.25" customHeight="1" x14ac:dyDescent="0.45">
      <c r="A4" s="9"/>
      <c r="B4" s="181"/>
      <c r="C4" s="182"/>
      <c r="D4" s="32" t="s">
        <v>2</v>
      </c>
      <c r="E4" s="33">
        <v>100000</v>
      </c>
      <c r="F4" s="9"/>
      <c r="G4" s="76" t="s">
        <v>34</v>
      </c>
      <c r="H4" s="75" t="s">
        <v>39</v>
      </c>
      <c r="I4" s="41">
        <f>I43</f>
        <v>0.17740035620000011</v>
      </c>
      <c r="J4" s="9"/>
      <c r="K4" s="68">
        <f>C127</f>
        <v>20000</v>
      </c>
      <c r="L4" s="69" t="s">
        <v>40</v>
      </c>
      <c r="M4" s="42">
        <f>I128</f>
        <v>347.61937630677249</v>
      </c>
      <c r="N4" s="65">
        <f t="shared" ref="N4:N9" si="0">M4*$I$15</f>
        <v>124180249.33999999</v>
      </c>
      <c r="O4" s="9"/>
      <c r="P4" s="9"/>
    </row>
    <row r="5" spans="1:16" ht="14.25" customHeight="1" x14ac:dyDescent="0.45">
      <c r="A5" s="37"/>
      <c r="B5" s="181"/>
      <c r="C5" s="182"/>
      <c r="D5" s="18" t="s">
        <v>127</v>
      </c>
      <c r="E5" s="35">
        <f>SUMMARY!H6</f>
        <v>0.28999999999999998</v>
      </c>
      <c r="F5" s="37"/>
      <c r="G5" s="45" t="s">
        <v>37</v>
      </c>
      <c r="H5" s="66" t="s">
        <v>39</v>
      </c>
      <c r="I5" s="81">
        <f>I67</f>
        <v>0.21602061241920864</v>
      </c>
      <c r="J5" s="37"/>
      <c r="K5" s="68">
        <f>C127</f>
        <v>20000</v>
      </c>
      <c r="L5" s="67" t="s">
        <v>41</v>
      </c>
      <c r="M5" s="42">
        <f>I129</f>
        <v>1738.0968815338638</v>
      </c>
      <c r="N5" s="65">
        <f t="shared" si="0"/>
        <v>620901246.70000041</v>
      </c>
      <c r="O5" s="37"/>
      <c r="P5" s="37"/>
    </row>
    <row r="6" spans="1:16" ht="14.25" customHeight="1" x14ac:dyDescent="0.45">
      <c r="A6" s="37"/>
      <c r="B6" s="181"/>
      <c r="C6" s="182"/>
      <c r="D6" s="18" t="s">
        <v>140</v>
      </c>
      <c r="E6" s="34">
        <f>SUMMARY!L6</f>
        <v>0.02</v>
      </c>
      <c r="F6" s="37"/>
      <c r="G6" s="45" t="s">
        <v>124</v>
      </c>
      <c r="H6" s="66" t="s">
        <v>39</v>
      </c>
      <c r="I6" s="81">
        <f>I80</f>
        <v>3.9931982180193497E-2</v>
      </c>
      <c r="J6" s="37"/>
      <c r="K6" s="68">
        <f>C130</f>
        <v>400000</v>
      </c>
      <c r="L6" s="69" t="s">
        <v>40</v>
      </c>
      <c r="M6" s="42">
        <f>I131</f>
        <v>6952.3875261354497</v>
      </c>
      <c r="N6" s="65">
        <f t="shared" si="0"/>
        <v>2483604986.7999997</v>
      </c>
      <c r="O6" s="37"/>
      <c r="P6" s="37"/>
    </row>
    <row r="7" spans="1:16" ht="14.25" customHeight="1" x14ac:dyDescent="0.45">
      <c r="A7" s="37"/>
      <c r="B7" s="181"/>
      <c r="C7" s="182"/>
      <c r="D7" s="18" t="s">
        <v>126</v>
      </c>
      <c r="E7" s="34">
        <f>SUMMARY!P6</f>
        <v>0.01</v>
      </c>
      <c r="F7" s="37"/>
      <c r="G7" s="45" t="s">
        <v>57</v>
      </c>
      <c r="H7" s="66" t="s">
        <v>39</v>
      </c>
      <c r="I7" s="81">
        <f>I95</f>
        <v>1.9965991090096748E-2</v>
      </c>
      <c r="J7" s="37"/>
      <c r="K7" s="68">
        <f>C130</f>
        <v>400000</v>
      </c>
      <c r="L7" s="67" t="s">
        <v>41</v>
      </c>
      <c r="M7" s="42">
        <f>I132</f>
        <v>34761.937630677276</v>
      </c>
      <c r="N7" s="65">
        <f t="shared" si="0"/>
        <v>12418024934.000008</v>
      </c>
      <c r="O7" s="37"/>
      <c r="P7" s="37"/>
    </row>
    <row r="8" spans="1:16" ht="14.25" customHeight="1" x14ac:dyDescent="0.45">
      <c r="A8" s="9"/>
      <c r="B8" s="181"/>
      <c r="C8" s="182"/>
      <c r="D8" s="32" t="s">
        <v>134</v>
      </c>
      <c r="E8" s="36">
        <f>SUMMARY!H21</f>
        <v>0.1</v>
      </c>
      <c r="F8" s="9"/>
      <c r="G8" s="45" t="s">
        <v>122</v>
      </c>
      <c r="H8" s="66" t="s">
        <v>39</v>
      </c>
      <c r="I8" s="81">
        <f>-I35</f>
        <v>-4.9659910900967504E-2</v>
      </c>
      <c r="J8" s="9"/>
      <c r="K8" s="77">
        <f>C133</f>
        <v>1000000</v>
      </c>
      <c r="L8" s="78" t="s">
        <v>40</v>
      </c>
      <c r="M8" s="42">
        <f>I134</f>
        <v>17380.968815338627</v>
      </c>
      <c r="N8" s="65">
        <f t="shared" si="0"/>
        <v>6209012467</v>
      </c>
      <c r="O8" s="9"/>
      <c r="P8" s="9"/>
    </row>
    <row r="9" spans="1:16" ht="14.25" customHeight="1" x14ac:dyDescent="0.45">
      <c r="A9" s="9"/>
      <c r="B9" s="181"/>
      <c r="C9" s="182"/>
      <c r="D9" s="32" t="s">
        <v>135</v>
      </c>
      <c r="E9" s="36">
        <f>SUMMARY!H22</f>
        <v>0.05</v>
      </c>
      <c r="F9" s="9"/>
      <c r="G9" s="45" t="s">
        <v>121</v>
      </c>
      <c r="H9" s="66" t="s">
        <v>39</v>
      </c>
      <c r="I9" s="81">
        <f>-I51</f>
        <v>-4.345242203834656E-2</v>
      </c>
      <c r="J9" s="9"/>
      <c r="K9" s="77">
        <f>C133</f>
        <v>1000000</v>
      </c>
      <c r="L9" s="79" t="s">
        <v>41</v>
      </c>
      <c r="M9" s="42">
        <f>I135</f>
        <v>86904.844076693189</v>
      </c>
      <c r="N9" s="65">
        <f t="shared" si="0"/>
        <v>31045062335.000019</v>
      </c>
      <c r="O9" s="9"/>
      <c r="P9" s="9"/>
    </row>
    <row r="10" spans="1:16" ht="14.25" customHeight="1" x14ac:dyDescent="0.45">
      <c r="A10" s="9"/>
      <c r="B10" s="181"/>
      <c r="C10" s="182"/>
      <c r="D10" s="32" t="s">
        <v>136</v>
      </c>
      <c r="E10" s="36">
        <f>SUMMARY!H23</f>
        <v>7.4999999999999997E-2</v>
      </c>
      <c r="F10" s="9"/>
      <c r="G10" s="74" t="s">
        <v>38</v>
      </c>
      <c r="H10" s="75" t="s">
        <v>39</v>
      </c>
      <c r="I10" s="41">
        <f>I110</f>
        <v>0.18280625275018478</v>
      </c>
      <c r="J10" s="8"/>
      <c r="K10" s="10"/>
      <c r="L10" s="10"/>
      <c r="M10" s="3"/>
      <c r="N10" s="8"/>
      <c r="O10" s="9"/>
      <c r="P10" s="9"/>
    </row>
    <row r="11" spans="1:16" ht="15" customHeight="1" x14ac:dyDescent="0.45">
      <c r="A11" s="9"/>
      <c r="B11" s="181"/>
      <c r="C11" s="182"/>
      <c r="D11" s="32" t="s">
        <v>137</v>
      </c>
      <c r="E11" s="36">
        <f>SUMMARY!H10</f>
        <v>0.5</v>
      </c>
      <c r="F11" s="3"/>
      <c r="G11" s="10"/>
      <c r="H11" s="10"/>
      <c r="I11" s="3"/>
      <c r="J11" s="8"/>
      <c r="K11" s="8"/>
      <c r="L11" s="8"/>
      <c r="M11" s="8"/>
      <c r="N11" s="8"/>
      <c r="O11" s="9"/>
      <c r="P11" s="9"/>
    </row>
    <row r="12" spans="1:16" ht="14.25" x14ac:dyDescent="0.45">
      <c r="A12" s="8"/>
      <c r="B12" s="10"/>
      <c r="C12" s="8"/>
      <c r="D12" s="10"/>
      <c r="E12" s="3"/>
      <c r="F12" s="3"/>
      <c r="G12" s="10"/>
      <c r="H12" s="10"/>
      <c r="I12" s="3"/>
      <c r="J12" s="8"/>
      <c r="K12" s="8"/>
      <c r="L12" s="8"/>
      <c r="M12" s="8"/>
      <c r="N12" s="8"/>
      <c r="O12" s="8"/>
      <c r="P12" s="8"/>
    </row>
    <row r="13" spans="1:16" ht="14.25"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6" ht="14.25" x14ac:dyDescent="0.45">
      <c r="B14" s="184"/>
      <c r="C14" s="184"/>
      <c r="D14" s="184"/>
      <c r="E14" s="149"/>
      <c r="F14" s="149"/>
      <c r="G14" s="149"/>
      <c r="H14" s="149"/>
      <c r="I14" s="149"/>
      <c r="J14" s="149"/>
      <c r="K14" s="149"/>
      <c r="L14" s="149"/>
      <c r="M14" s="149"/>
      <c r="N14" s="149"/>
    </row>
    <row r="15" spans="1:16" ht="14.25" x14ac:dyDescent="0.45">
      <c r="B15" s="158" t="s">
        <v>20</v>
      </c>
      <c r="C15" s="158" t="s">
        <v>33</v>
      </c>
      <c r="D15" s="19" t="s">
        <v>48</v>
      </c>
      <c r="E15" s="21">
        <f>($E$4 * $E$5) + $E$4</f>
        <v>129000</v>
      </c>
      <c r="F15" s="21">
        <f t="shared" ref="F15:N15" si="1">(E15 * $E$5) + E15</f>
        <v>166410</v>
      </c>
      <c r="G15" s="21">
        <f t="shared" si="1"/>
        <v>214668.9</v>
      </c>
      <c r="H15" s="21">
        <f t="shared" si="1"/>
        <v>276922.88099999999</v>
      </c>
      <c r="I15" s="21">
        <f t="shared" si="1"/>
        <v>357230.51648999995</v>
      </c>
      <c r="J15" s="21">
        <f t="shared" si="1"/>
        <v>460827.3662720999</v>
      </c>
      <c r="K15" s="21">
        <f t="shared" si="1"/>
        <v>594467.30249100889</v>
      </c>
      <c r="L15" s="21">
        <f t="shared" si="1"/>
        <v>766862.82021340146</v>
      </c>
      <c r="M15" s="21">
        <f t="shared" si="1"/>
        <v>989253.03807528783</v>
      </c>
      <c r="N15" s="21">
        <f t="shared" si="1"/>
        <v>1276136.4191171213</v>
      </c>
    </row>
    <row r="16" spans="1:16" ht="14.25" x14ac:dyDescent="0.45">
      <c r="B16" s="160"/>
      <c r="C16" s="160"/>
      <c r="D16" s="19" t="s">
        <v>49</v>
      </c>
      <c r="E16" s="25">
        <f>E15*21000000</f>
        <v>2709000000000</v>
      </c>
      <c r="F16" s="25">
        <f t="shared" ref="F16:N16" si="2">F15*21000000</f>
        <v>3494610000000</v>
      </c>
      <c r="G16" s="25">
        <f t="shared" si="2"/>
        <v>4508046900000</v>
      </c>
      <c r="H16" s="25">
        <f t="shared" si="2"/>
        <v>5815380501000</v>
      </c>
      <c r="I16" s="25">
        <f t="shared" si="2"/>
        <v>7501840846289.999</v>
      </c>
      <c r="J16" s="25">
        <f t="shared" si="2"/>
        <v>9677374691714.0977</v>
      </c>
      <c r="K16" s="25">
        <f t="shared" si="2"/>
        <v>12483813352311.188</v>
      </c>
      <c r="L16" s="25">
        <f t="shared" si="2"/>
        <v>16104119224481.43</v>
      </c>
      <c r="M16" s="25">
        <f t="shared" si="2"/>
        <v>20774313799581.043</v>
      </c>
      <c r="N16" s="25">
        <f t="shared" si="2"/>
        <v>26798864801459.547</v>
      </c>
    </row>
    <row r="17" spans="1:16" ht="14.25" x14ac:dyDescent="0.45">
      <c r="B17" s="158" t="s">
        <v>16</v>
      </c>
      <c r="C17" s="176" t="s">
        <v>32</v>
      </c>
      <c r="D17" s="19" t="s">
        <v>128</v>
      </c>
      <c r="E17" s="26">
        <f>(E15-$E4)/E15</f>
        <v>0.22480620155038761</v>
      </c>
      <c r="F17" s="26">
        <f t="shared" ref="F17:N17" si="3">(F15-$E4)/F15</f>
        <v>0.39907457484526171</v>
      </c>
      <c r="G17" s="26">
        <f t="shared" si="3"/>
        <v>0.53416633708935013</v>
      </c>
      <c r="H17" s="26">
        <f t="shared" si="3"/>
        <v>0.63888863340259705</v>
      </c>
      <c r="I17" s="26">
        <f t="shared" si="3"/>
        <v>0.72006870806402867</v>
      </c>
      <c r="J17" s="26">
        <f t="shared" si="3"/>
        <v>0.78299899849924703</v>
      </c>
      <c r="K17" s="26">
        <f t="shared" si="3"/>
        <v>0.8317821693792613</v>
      </c>
      <c r="L17" s="26">
        <f t="shared" si="3"/>
        <v>0.86959858091415598</v>
      </c>
      <c r="M17" s="26">
        <f t="shared" si="3"/>
        <v>0.89891362861562485</v>
      </c>
      <c r="N17" s="26">
        <f t="shared" si="3"/>
        <v>0.92163847179505798</v>
      </c>
    </row>
    <row r="18" spans="1:16" ht="14.25" x14ac:dyDescent="0.45">
      <c r="B18" s="159"/>
      <c r="C18" s="177"/>
      <c r="D18" s="19" t="s">
        <v>129</v>
      </c>
      <c r="E18" s="26">
        <f>1-E17</f>
        <v>0.77519379844961245</v>
      </c>
      <c r="F18" s="26">
        <f t="shared" ref="F18:N18" si="4">1-F17</f>
        <v>0.60092542515473824</v>
      </c>
      <c r="G18" s="26">
        <f t="shared" si="4"/>
        <v>0.46583366291064987</v>
      </c>
      <c r="H18" s="26">
        <f t="shared" si="4"/>
        <v>0.36111136659740295</v>
      </c>
      <c r="I18" s="26">
        <f t="shared" si="4"/>
        <v>0.27993129193597133</v>
      </c>
      <c r="J18" s="26">
        <f t="shared" si="4"/>
        <v>0.21700100150075297</v>
      </c>
      <c r="K18" s="26">
        <f t="shared" si="4"/>
        <v>0.1682178306207387</v>
      </c>
      <c r="L18" s="26">
        <f t="shared" si="4"/>
        <v>0.13040141908584402</v>
      </c>
      <c r="M18" s="26">
        <f t="shared" si="4"/>
        <v>0.10108637138437515</v>
      </c>
      <c r="N18" s="26">
        <f t="shared" si="4"/>
        <v>7.8361528204942021E-2</v>
      </c>
    </row>
    <row r="19" spans="1:16" ht="14.25" x14ac:dyDescent="0.45">
      <c r="B19" s="159"/>
      <c r="C19" s="177"/>
      <c r="D19" s="19" t="s">
        <v>130</v>
      </c>
      <c r="E19" s="80">
        <f>E17</f>
        <v>0.22480620155038761</v>
      </c>
      <c r="F19" s="80">
        <f t="shared" ref="F19:N19" si="5">F17-E17</f>
        <v>0.1742683732948741</v>
      </c>
      <c r="G19" s="80">
        <f>G17-F17</f>
        <v>0.13509176224408842</v>
      </c>
      <c r="H19" s="80">
        <f t="shared" si="5"/>
        <v>0.10472229631324692</v>
      </c>
      <c r="I19" s="80">
        <f t="shared" si="5"/>
        <v>8.1180074661431623E-2</v>
      </c>
      <c r="J19" s="80">
        <f>J17-I17</f>
        <v>6.2930290435218361E-2</v>
      </c>
      <c r="K19" s="80">
        <f t="shared" si="5"/>
        <v>4.878317088001427E-2</v>
      </c>
      <c r="L19" s="80">
        <f t="shared" si="5"/>
        <v>3.7816411534894678E-2</v>
      </c>
      <c r="M19" s="80">
        <f t="shared" si="5"/>
        <v>2.9315047701468866E-2</v>
      </c>
      <c r="N19" s="80">
        <f t="shared" si="5"/>
        <v>2.272484317943313E-2</v>
      </c>
    </row>
    <row r="20" spans="1:16" ht="14.25" x14ac:dyDescent="0.45">
      <c r="B20" s="159"/>
      <c r="C20" s="177"/>
      <c r="D20" s="19" t="s">
        <v>131</v>
      </c>
      <c r="E20" s="80"/>
      <c r="F20" s="80"/>
      <c r="G20" s="80"/>
      <c r="H20" s="80"/>
      <c r="I20" s="80">
        <f>AVERAGE(E19:I19)</f>
        <v>0.14401374161280572</v>
      </c>
      <c r="J20" s="26"/>
      <c r="K20" s="26"/>
      <c r="L20" s="26"/>
      <c r="M20" s="26"/>
      <c r="N20" s="80">
        <f>AVERAGE(E19:N19)</f>
        <v>9.2163847179505792E-2</v>
      </c>
    </row>
    <row r="21" spans="1:16" ht="14.25" x14ac:dyDescent="0.45">
      <c r="B21" s="159"/>
      <c r="C21" s="177"/>
      <c r="D21" s="19" t="s">
        <v>132</v>
      </c>
      <c r="E21" s="80">
        <f>$E$11*E19</f>
        <v>0.1124031007751938</v>
      </c>
      <c r="F21" s="80">
        <f t="shared" ref="F21:N21" si="6">$E$11*F19</f>
        <v>8.7134186647437051E-2</v>
      </c>
      <c r="G21" s="80">
        <f t="shared" si="6"/>
        <v>6.754588112204421E-2</v>
      </c>
      <c r="H21" s="80">
        <f t="shared" si="6"/>
        <v>5.236114815662346E-2</v>
      </c>
      <c r="I21" s="80">
        <f t="shared" si="6"/>
        <v>4.0590037330715811E-2</v>
      </c>
      <c r="J21" s="80">
        <f t="shared" si="6"/>
        <v>3.1465145217609181E-2</v>
      </c>
      <c r="K21" s="80">
        <f t="shared" si="6"/>
        <v>2.4391585440007135E-2</v>
      </c>
      <c r="L21" s="80">
        <f t="shared" si="6"/>
        <v>1.8908205767447339E-2</v>
      </c>
      <c r="M21" s="80">
        <f t="shared" si="6"/>
        <v>1.4657523850734433E-2</v>
      </c>
      <c r="N21" s="80">
        <f t="shared" si="6"/>
        <v>1.1362421589716565E-2</v>
      </c>
    </row>
    <row r="22" spans="1:16" ht="14.25" x14ac:dyDescent="0.45">
      <c r="B22" s="159"/>
      <c r="C22" s="177"/>
      <c r="D22" s="19" t="s">
        <v>133</v>
      </c>
      <c r="E22" s="80"/>
      <c r="F22" s="80"/>
      <c r="G22" s="80"/>
      <c r="H22" s="80"/>
      <c r="I22" s="80">
        <f>AVERAGE(E21:I21)</f>
        <v>7.2006870806402862E-2</v>
      </c>
      <c r="J22" s="26"/>
      <c r="K22" s="26"/>
      <c r="L22" s="26"/>
      <c r="M22" s="26"/>
      <c r="N22" s="80">
        <f>AVERAGE(E21:N21)</f>
        <v>4.6081923589752896E-2</v>
      </c>
    </row>
    <row r="23" spans="1:16" ht="14.25" x14ac:dyDescent="0.45">
      <c r="B23" s="159"/>
      <c r="C23" s="177"/>
      <c r="D23" s="15" t="s">
        <v>58</v>
      </c>
      <c r="E23" s="17">
        <f>E19+E21</f>
        <v>0.33720930232558144</v>
      </c>
      <c r="F23" s="17">
        <f t="shared" ref="F23:N23" si="7">F19+F21</f>
        <v>0.26140255994231115</v>
      </c>
      <c r="G23" s="17">
        <f t="shared" si="7"/>
        <v>0.20263764336613263</v>
      </c>
      <c r="H23" s="17">
        <f t="shared" si="7"/>
        <v>0.15708344446987038</v>
      </c>
      <c r="I23" s="17">
        <f t="shared" si="7"/>
        <v>0.12177011199214743</v>
      </c>
      <c r="J23" s="17">
        <f t="shared" si="7"/>
        <v>9.4395435652827542E-2</v>
      </c>
      <c r="K23" s="17">
        <f t="shared" si="7"/>
        <v>7.3174756320021406E-2</v>
      </c>
      <c r="L23" s="17">
        <f t="shared" si="7"/>
        <v>5.6724617302342017E-2</v>
      </c>
      <c r="M23" s="17">
        <f t="shared" si="7"/>
        <v>4.3972571552203299E-2</v>
      </c>
      <c r="N23" s="17">
        <f t="shared" si="7"/>
        <v>3.4087264769149694E-2</v>
      </c>
    </row>
    <row r="24" spans="1:16" ht="14.25" x14ac:dyDescent="0.45">
      <c r="B24" s="160"/>
      <c r="C24" s="178"/>
      <c r="D24" s="15" t="s">
        <v>59</v>
      </c>
      <c r="E24" s="17"/>
      <c r="F24" s="17"/>
      <c r="G24" s="17"/>
      <c r="H24" s="17"/>
      <c r="I24" s="17">
        <f>AVERAGE(E23:I23)</f>
        <v>0.21602061241920864</v>
      </c>
      <c r="J24" s="16"/>
      <c r="K24" s="16"/>
      <c r="L24" s="16"/>
      <c r="M24" s="16"/>
      <c r="N24" s="17">
        <f>AVERAGE(E23:N23)</f>
        <v>0.1382457707692587</v>
      </c>
    </row>
    <row r="25" spans="1:16" ht="14.25" x14ac:dyDescent="0.45">
      <c r="B25" s="158" t="s">
        <v>141</v>
      </c>
      <c r="C25" s="176" t="s">
        <v>32</v>
      </c>
      <c r="D25" s="15" t="s">
        <v>43</v>
      </c>
      <c r="E25" s="17">
        <f>((1+$E$11)*$E$6)+($E$6*E18)</f>
        <v>4.5503875968992247E-2</v>
      </c>
      <c r="F25" s="17">
        <f t="shared" ref="F25:N25" si="8">((1+$E$11)*$E$6)+($E$6*F18)</f>
        <v>4.2018508503094763E-2</v>
      </c>
      <c r="G25" s="17">
        <f t="shared" si="8"/>
        <v>3.9316673258212996E-2</v>
      </c>
      <c r="H25" s="17">
        <f t="shared" si="8"/>
        <v>3.7222227331948056E-2</v>
      </c>
      <c r="I25" s="17">
        <f>((1+$E$11)*$E$6)+($E$6*I18)</f>
        <v>3.5598625838719422E-2</v>
      </c>
      <c r="J25" s="17">
        <f t="shared" si="8"/>
        <v>3.4340020030015059E-2</v>
      </c>
      <c r="K25" s="17">
        <f t="shared" si="8"/>
        <v>3.3364356612414769E-2</v>
      </c>
      <c r="L25" s="17">
        <f t="shared" si="8"/>
        <v>3.2608028381716878E-2</v>
      </c>
      <c r="M25" s="17">
        <f t="shared" si="8"/>
        <v>3.2021727427687503E-2</v>
      </c>
      <c r="N25" s="17">
        <f t="shared" si="8"/>
        <v>3.1567230564098839E-2</v>
      </c>
    </row>
    <row r="26" spans="1:16" ht="14.25" x14ac:dyDescent="0.45">
      <c r="B26" s="159"/>
      <c r="C26" s="177"/>
      <c r="D26" s="15" t="s">
        <v>44</v>
      </c>
      <c r="E26" s="17"/>
      <c r="F26" s="17"/>
      <c r="G26" s="17"/>
      <c r="H26" s="17"/>
      <c r="I26" s="17">
        <f>AVERAGE(E25:I25)</f>
        <v>3.9931982180193497E-2</v>
      </c>
      <c r="J26" s="16"/>
      <c r="K26" s="16"/>
      <c r="L26" s="16"/>
      <c r="M26" s="16"/>
      <c r="N26" s="17">
        <f>AVERAGE(E25:N25)</f>
        <v>3.635612739169005E-2</v>
      </c>
    </row>
    <row r="27" spans="1:16" ht="14.25" x14ac:dyDescent="0.45">
      <c r="B27" s="159"/>
      <c r="C27" s="177"/>
      <c r="D27" s="19" t="s">
        <v>42</v>
      </c>
      <c r="E27" s="80">
        <f>E25</f>
        <v>4.5503875968992247E-2</v>
      </c>
      <c r="F27" s="80">
        <f>E27+F25</f>
        <v>8.7522384472087017E-2</v>
      </c>
      <c r="G27" s="80">
        <f>F27+G25</f>
        <v>0.12683905773030002</v>
      </c>
      <c r="H27" s="80">
        <f t="shared" ref="H27:I27" si="9">G27+H25</f>
        <v>0.16406128506224807</v>
      </c>
      <c r="I27" s="80">
        <f t="shared" si="9"/>
        <v>0.19965991090096749</v>
      </c>
      <c r="J27" s="80">
        <f>I27+J25</f>
        <v>0.23399993093098254</v>
      </c>
      <c r="K27" s="80">
        <f t="shared" ref="K27:N27" si="10">J27+K25</f>
        <v>0.26736428754339731</v>
      </c>
      <c r="L27" s="80">
        <f t="shared" si="10"/>
        <v>0.2999723159251142</v>
      </c>
      <c r="M27" s="80">
        <f t="shared" si="10"/>
        <v>0.33199404335280169</v>
      </c>
      <c r="N27" s="80">
        <f t="shared" si="10"/>
        <v>0.36356127391690052</v>
      </c>
    </row>
    <row r="28" spans="1:16" ht="14.25" x14ac:dyDescent="0.45">
      <c r="B28" s="158" t="s">
        <v>17</v>
      </c>
      <c r="C28" s="176" t="s">
        <v>32</v>
      </c>
      <c r="D28" s="15" t="s">
        <v>43</v>
      </c>
      <c r="E28" s="17">
        <f t="shared" ref="E28:N28" si="11">((1+$E$11)*$E$7)+($E$7*E18)</f>
        <v>2.2751937984496123E-2</v>
      </c>
      <c r="F28" s="17">
        <f t="shared" si="11"/>
        <v>2.1009254251547382E-2</v>
      </c>
      <c r="G28" s="17">
        <f t="shared" si="11"/>
        <v>1.9658336629106498E-2</v>
      </c>
      <c r="H28" s="17">
        <f t="shared" si="11"/>
        <v>1.8611113665974028E-2</v>
      </c>
      <c r="I28" s="17">
        <f t="shared" si="11"/>
        <v>1.7799312919359711E-2</v>
      </c>
      <c r="J28" s="17">
        <f t="shared" si="11"/>
        <v>1.7170010015007529E-2</v>
      </c>
      <c r="K28" s="17">
        <f t="shared" si="11"/>
        <v>1.6682178306207385E-2</v>
      </c>
      <c r="L28" s="17">
        <f t="shared" si="11"/>
        <v>1.6304014190858439E-2</v>
      </c>
      <c r="M28" s="17">
        <f t="shared" si="11"/>
        <v>1.6010863713843752E-2</v>
      </c>
      <c r="N28" s="17">
        <f t="shared" si="11"/>
        <v>1.5783615282049419E-2</v>
      </c>
    </row>
    <row r="29" spans="1:16" ht="15" customHeight="1" x14ac:dyDescent="0.45">
      <c r="B29" s="159"/>
      <c r="C29" s="177"/>
      <c r="D29" s="15" t="s">
        <v>44</v>
      </c>
      <c r="E29" s="17"/>
      <c r="F29" s="17"/>
      <c r="G29" s="17"/>
      <c r="H29" s="17"/>
      <c r="I29" s="17">
        <f>AVERAGE(E28:I28)</f>
        <v>1.9965991090096748E-2</v>
      </c>
      <c r="J29" s="16"/>
      <c r="K29" s="16"/>
      <c r="L29" s="16"/>
      <c r="M29" s="16"/>
      <c r="N29" s="17">
        <f>AVERAGE(E28:N28)</f>
        <v>1.8178063695845025E-2</v>
      </c>
    </row>
    <row r="30" spans="1:16" ht="14.25" x14ac:dyDescent="0.45">
      <c r="B30" s="159"/>
      <c r="C30" s="177"/>
      <c r="D30" s="19" t="s">
        <v>42</v>
      </c>
      <c r="E30" s="80">
        <f>E28</f>
        <v>2.2751937984496123E-2</v>
      </c>
      <c r="F30" s="80">
        <f t="shared" ref="F30:N30" si="12">E30+F28</f>
        <v>4.3761192236043508E-2</v>
      </c>
      <c r="G30" s="80">
        <f>F30+G28</f>
        <v>6.341952886515001E-2</v>
      </c>
      <c r="H30" s="80">
        <f t="shared" si="12"/>
        <v>8.2030642531124034E-2</v>
      </c>
      <c r="I30" s="80">
        <f t="shared" si="12"/>
        <v>9.9829955450483746E-2</v>
      </c>
      <c r="J30" s="80">
        <f>I30+J28</f>
        <v>0.11699996546549127</v>
      </c>
      <c r="K30" s="80">
        <f t="shared" si="12"/>
        <v>0.13368214377169865</v>
      </c>
      <c r="L30" s="80">
        <f t="shared" si="12"/>
        <v>0.1499861579625571</v>
      </c>
      <c r="M30" s="80">
        <f t="shared" si="12"/>
        <v>0.16599702167640085</v>
      </c>
      <c r="N30" s="80">
        <f t="shared" si="12"/>
        <v>0.18178063695845026</v>
      </c>
    </row>
    <row r="31" spans="1:16" ht="14.25" x14ac:dyDescent="0.45">
      <c r="B31" s="3"/>
      <c r="C31" s="1"/>
      <c r="D31" s="43"/>
      <c r="E31" s="31"/>
      <c r="F31" s="31"/>
      <c r="G31" s="31"/>
      <c r="H31" s="31"/>
      <c r="I31" s="31"/>
      <c r="J31" s="31"/>
      <c r="K31" s="31"/>
      <c r="L31" s="31"/>
      <c r="M31" s="31"/>
      <c r="N31" s="31"/>
    </row>
    <row r="32" spans="1:16" ht="14.25"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c r="P32" s="8"/>
    </row>
    <row r="33" spans="2:14" ht="14.25" x14ac:dyDescent="0.45">
      <c r="B33" s="169"/>
      <c r="C33" s="171"/>
      <c r="D33" s="173"/>
      <c r="E33" s="149"/>
      <c r="F33" s="149"/>
      <c r="G33" s="149"/>
      <c r="H33" s="149"/>
      <c r="I33" s="149"/>
      <c r="J33" s="149"/>
      <c r="K33" s="149"/>
      <c r="L33" s="149"/>
      <c r="M33" s="149"/>
      <c r="N33" s="149"/>
    </row>
    <row r="34" spans="2:14" ht="14.25" x14ac:dyDescent="0.45">
      <c r="B34" s="158" t="s">
        <v>141</v>
      </c>
      <c r="C34" s="166" t="s">
        <v>32</v>
      </c>
      <c r="D34" s="15" t="s">
        <v>58</v>
      </c>
      <c r="E34" s="16">
        <f>E39*$E$4/E$15</f>
        <v>7.7519379844961239E-2</v>
      </c>
      <c r="F34" s="16">
        <f t="shared" ref="F34:N34" si="13">F39*$E$4/F$15</f>
        <v>6.0092542515473829E-2</v>
      </c>
      <c r="G34" s="16">
        <f t="shared" si="13"/>
        <v>4.6583366291064986E-2</v>
      </c>
      <c r="H34" s="16">
        <f t="shared" si="13"/>
        <v>3.6111136659740299E-2</v>
      </c>
      <c r="I34" s="16">
        <f t="shared" si="13"/>
        <v>2.7993129193597133E-2</v>
      </c>
      <c r="J34" s="16">
        <f t="shared" si="13"/>
        <v>2.1700100150075299E-2</v>
      </c>
      <c r="K34" s="16">
        <f t="shared" si="13"/>
        <v>1.6821783062073874E-2</v>
      </c>
      <c r="L34" s="16">
        <f t="shared" si="13"/>
        <v>1.3040141908584399E-2</v>
      </c>
      <c r="M34" s="16">
        <f t="shared" si="13"/>
        <v>1.010863713843752E-2</v>
      </c>
      <c r="N34" s="16">
        <f t="shared" si="13"/>
        <v>7.8361528204942011E-3</v>
      </c>
    </row>
    <row r="35" spans="2:14" ht="14.25" x14ac:dyDescent="0.45">
      <c r="B35" s="159"/>
      <c r="C35" s="166"/>
      <c r="D35" s="15" t="s">
        <v>59</v>
      </c>
      <c r="E35" s="16"/>
      <c r="F35" s="16"/>
      <c r="G35" s="16"/>
      <c r="H35" s="16"/>
      <c r="I35" s="82">
        <f>AVERAGE(E34:I34)</f>
        <v>4.9659910900967504E-2</v>
      </c>
      <c r="J35" s="16"/>
      <c r="K35" s="16"/>
      <c r="L35" s="16"/>
      <c r="M35" s="16"/>
      <c r="N35" s="17">
        <f>AVERAGE(E34:N34)</f>
        <v>3.1780636958450278E-2</v>
      </c>
    </row>
    <row r="36" spans="2:14" ht="14.25" x14ac:dyDescent="0.45">
      <c r="B36" s="159"/>
      <c r="C36" s="166"/>
      <c r="D36" s="15" t="s">
        <v>42</v>
      </c>
      <c r="E36" s="16">
        <f t="shared" ref="E36:N36" si="14">E$17*(E34/E$19)</f>
        <v>7.7519379844961239E-2</v>
      </c>
      <c r="F36" s="16">
        <f t="shared" si="14"/>
        <v>0.13761192236043507</v>
      </c>
      <c r="G36" s="16">
        <f>G$17*(G34/G$19)</f>
        <v>0.18419528865150009</v>
      </c>
      <c r="H36" s="16">
        <f>H$17*(H34/H$19)</f>
        <v>0.22030642531124023</v>
      </c>
      <c r="I36" s="16">
        <f>I$17*(I34/I$19)</f>
        <v>0.24829955450483765</v>
      </c>
      <c r="J36" s="16">
        <f t="shared" si="14"/>
        <v>0.26999965465491277</v>
      </c>
      <c r="K36" s="16">
        <f t="shared" si="14"/>
        <v>0.28682143771698643</v>
      </c>
      <c r="L36" s="16">
        <f t="shared" si="14"/>
        <v>0.29986157962557164</v>
      </c>
      <c r="M36" s="16">
        <f t="shared" si="14"/>
        <v>0.30997021676400793</v>
      </c>
      <c r="N36" s="16">
        <f t="shared" si="14"/>
        <v>0.31780636958450348</v>
      </c>
    </row>
    <row r="37" spans="2:14" ht="14.25" customHeight="1" x14ac:dyDescent="0.45">
      <c r="B37" s="159"/>
      <c r="C37" s="167"/>
      <c r="D37" s="19" t="s">
        <v>45</v>
      </c>
      <c r="E37" s="20">
        <f t="shared" ref="E37:N37" si="15">10*E34</f>
        <v>0.77519379844961245</v>
      </c>
      <c r="F37" s="20">
        <f t="shared" si="15"/>
        <v>0.60092542515473824</v>
      </c>
      <c r="G37" s="20">
        <f t="shared" si="15"/>
        <v>0.46583366291064987</v>
      </c>
      <c r="H37" s="20">
        <f t="shared" si="15"/>
        <v>0.36111136659740301</v>
      </c>
      <c r="I37" s="20">
        <f t="shared" si="15"/>
        <v>0.27993129193597133</v>
      </c>
      <c r="J37" s="20">
        <f t="shared" si="15"/>
        <v>0.21700100150075299</v>
      </c>
      <c r="K37" s="20">
        <f t="shared" si="15"/>
        <v>0.16821783062073875</v>
      </c>
      <c r="L37" s="20">
        <f t="shared" si="15"/>
        <v>0.13040141908584399</v>
      </c>
      <c r="M37" s="20">
        <f t="shared" si="15"/>
        <v>0.10108637138437521</v>
      </c>
      <c r="N37" s="20">
        <f t="shared" si="15"/>
        <v>7.8361528204942008E-2</v>
      </c>
    </row>
    <row r="38" spans="2:14" ht="14.25" x14ac:dyDescent="0.45">
      <c r="B38" s="159"/>
      <c r="C38" s="167"/>
      <c r="D38" s="19" t="s">
        <v>46</v>
      </c>
      <c r="E38" s="20">
        <f>10*E36</f>
        <v>0.77519379844961245</v>
      </c>
      <c r="F38" s="20">
        <f>10*F36</f>
        <v>1.3761192236043507</v>
      </c>
      <c r="G38" s="20">
        <f>10*G36</f>
        <v>1.841952886515001</v>
      </c>
      <c r="H38" s="20">
        <f t="shared" ref="H38:N38" si="16">10*H36</f>
        <v>2.2030642531124025</v>
      </c>
      <c r="I38" s="20">
        <f t="shared" si="16"/>
        <v>2.4829955450483765</v>
      </c>
      <c r="J38" s="20">
        <f t="shared" si="16"/>
        <v>2.6999965465491278</v>
      </c>
      <c r="K38" s="20">
        <f t="shared" si="16"/>
        <v>2.8682143771698643</v>
      </c>
      <c r="L38" s="20">
        <f t="shared" si="16"/>
        <v>2.9986157962557165</v>
      </c>
      <c r="M38" s="20">
        <f t="shared" si="16"/>
        <v>3.0997021676400793</v>
      </c>
      <c r="N38" s="20">
        <f t="shared" si="16"/>
        <v>3.1780636958450348</v>
      </c>
    </row>
    <row r="39" spans="2:14" ht="14.25" x14ac:dyDescent="0.45">
      <c r="B39" s="159"/>
      <c r="C39" s="165" t="s">
        <v>36</v>
      </c>
      <c r="D39" s="15" t="s">
        <v>43</v>
      </c>
      <c r="E39" s="16">
        <f>E8</f>
        <v>0.1</v>
      </c>
      <c r="F39" s="16">
        <f>E39</f>
        <v>0.1</v>
      </c>
      <c r="G39" s="16">
        <f t="shared" ref="G39:N39" si="17">F39</f>
        <v>0.1</v>
      </c>
      <c r="H39" s="16">
        <f t="shared" si="17"/>
        <v>0.1</v>
      </c>
      <c r="I39" s="16">
        <f t="shared" si="17"/>
        <v>0.1</v>
      </c>
      <c r="J39" s="16">
        <f t="shared" si="17"/>
        <v>0.1</v>
      </c>
      <c r="K39" s="16">
        <f t="shared" si="17"/>
        <v>0.1</v>
      </c>
      <c r="L39" s="16">
        <f t="shared" si="17"/>
        <v>0.1</v>
      </c>
      <c r="M39" s="16">
        <f t="shared" si="17"/>
        <v>0.1</v>
      </c>
      <c r="N39" s="16">
        <f t="shared" si="17"/>
        <v>0.1</v>
      </c>
    </row>
    <row r="40" spans="2:14" ht="14.25" customHeight="1" x14ac:dyDescent="0.45">
      <c r="B40" s="159"/>
      <c r="C40" s="167"/>
      <c r="D40" s="19" t="s">
        <v>45</v>
      </c>
      <c r="E40" s="21">
        <f>E37*E$15</f>
        <v>100000</v>
      </c>
      <c r="F40" s="21">
        <f t="shared" ref="F40:N40" si="18">F37*F$15</f>
        <v>99999.999999999985</v>
      </c>
      <c r="G40" s="21">
        <f>G37*G$15</f>
        <v>100000</v>
      </c>
      <c r="H40" s="21">
        <f>H37*H$15</f>
        <v>100000</v>
      </c>
      <c r="I40" s="21">
        <f>I37*I$15</f>
        <v>100000</v>
      </c>
      <c r="J40" s="21">
        <f t="shared" si="18"/>
        <v>100000</v>
      </c>
      <c r="K40" s="21">
        <f t="shared" si="18"/>
        <v>100000</v>
      </c>
      <c r="L40" s="21">
        <f t="shared" si="18"/>
        <v>100000</v>
      </c>
      <c r="M40" s="21">
        <f t="shared" si="18"/>
        <v>100000.00000000001</v>
      </c>
      <c r="N40" s="21">
        <f t="shared" si="18"/>
        <v>99999.999999999985</v>
      </c>
    </row>
    <row r="41" spans="2:14" ht="14.25" x14ac:dyDescent="0.45">
      <c r="B41" s="159"/>
      <c r="C41" s="167"/>
      <c r="D41" s="19" t="s">
        <v>46</v>
      </c>
      <c r="E41" s="21">
        <f>E40</f>
        <v>100000</v>
      </c>
      <c r="F41" s="21">
        <f>E41+F40</f>
        <v>200000</v>
      </c>
      <c r="G41" s="21">
        <f>F41+G40</f>
        <v>300000</v>
      </c>
      <c r="H41" s="21">
        <f t="shared" ref="H41:N41" si="19">G41+H40</f>
        <v>400000</v>
      </c>
      <c r="I41" s="21">
        <f t="shared" si="19"/>
        <v>500000</v>
      </c>
      <c r="J41" s="21">
        <f>I41+J40</f>
        <v>600000</v>
      </c>
      <c r="K41" s="21">
        <f t="shared" si="19"/>
        <v>700000</v>
      </c>
      <c r="L41" s="21">
        <f t="shared" si="19"/>
        <v>800000</v>
      </c>
      <c r="M41" s="21">
        <f t="shared" si="19"/>
        <v>900000</v>
      </c>
      <c r="N41" s="21">
        <f t="shared" si="19"/>
        <v>1000000</v>
      </c>
    </row>
    <row r="42" spans="2:14" ht="14.25" x14ac:dyDescent="0.45">
      <c r="B42" s="159"/>
      <c r="C42" s="165" t="s">
        <v>35</v>
      </c>
      <c r="D42" s="15" t="s">
        <v>43</v>
      </c>
      <c r="E42" s="16">
        <f>E36*E$15/$E$4</f>
        <v>0.1</v>
      </c>
      <c r="F42" s="16">
        <f>F36*F$15/$E$4-E42</f>
        <v>0.129</v>
      </c>
      <c r="G42" s="16">
        <f>G36*G$15/$E$4-F42-E42</f>
        <v>0.16641000000000009</v>
      </c>
      <c r="H42" s="16">
        <f>H36*H$15/$E$4-G42-F42-E42</f>
        <v>0.21466889999999958</v>
      </c>
      <c r="I42" s="16">
        <f>I36*I$15/$E$4-H42-G42-F42-E42</f>
        <v>0.27692288100000084</v>
      </c>
      <c r="J42" s="16">
        <f>J36*J$15/$E$4-I42-H42-G42-F42-E42</f>
        <v>0.35723051648999904</v>
      </c>
      <c r="K42" s="16">
        <f>K36*K$15/$E$4-J42-I42-H42-G42-F42-E42</f>
        <v>0.46082736627209886</v>
      </c>
      <c r="L42" s="16">
        <f>L36*L$15/$E$4-K42-J42-I42-H42-G42-F42-E42</f>
        <v>0.59446730249101465</v>
      </c>
      <c r="M42" s="16">
        <f>M36*M$15/$E$4-L42-K42-J42-I42-H42-G42-F42-E42</f>
        <v>0.76686282021339069</v>
      </c>
      <c r="N42" s="16">
        <f>N36*N$15/$E$4-M42-L42-K42-J42-I42-H42-G42-F42-E42</f>
        <v>0.98925303807530207</v>
      </c>
    </row>
    <row r="43" spans="2:14" ht="14.25" x14ac:dyDescent="0.45">
      <c r="B43" s="159"/>
      <c r="C43" s="166"/>
      <c r="D43" s="15" t="s">
        <v>44</v>
      </c>
      <c r="E43" s="17"/>
      <c r="F43" s="17"/>
      <c r="G43" s="17"/>
      <c r="H43" s="17"/>
      <c r="I43" s="38">
        <f>AVERAGE(E42:I42)</f>
        <v>0.17740035620000011</v>
      </c>
      <c r="J43" s="17"/>
      <c r="K43" s="17"/>
      <c r="L43" s="17"/>
      <c r="M43" s="17"/>
      <c r="N43" s="17">
        <f>AVERAGE(E42:N42)</f>
        <v>0.40556428245418064</v>
      </c>
    </row>
    <row r="44" spans="2:14" ht="14.25" x14ac:dyDescent="0.45">
      <c r="B44" s="159"/>
      <c r="C44" s="167"/>
      <c r="D44" s="19" t="s">
        <v>45</v>
      </c>
      <c r="E44" s="22">
        <f>E46</f>
        <v>100000</v>
      </c>
      <c r="F44" s="22">
        <f>F46-E46</f>
        <v>129000</v>
      </c>
      <c r="G44" s="22">
        <f>G46-F46</f>
        <v>166410.00000000006</v>
      </c>
      <c r="H44" s="22">
        <f t="shared" ref="H44:N44" si="20">H46-G46</f>
        <v>214668.89999999962</v>
      </c>
      <c r="I44" s="22">
        <f t="shared" si="20"/>
        <v>276922.88100000075</v>
      </c>
      <c r="J44" s="22">
        <f>J46-I46</f>
        <v>357230.51648999937</v>
      </c>
      <c r="K44" s="22">
        <f t="shared" si="20"/>
        <v>460827.36627209862</v>
      </c>
      <c r="L44" s="22">
        <f t="shared" si="20"/>
        <v>594467.30249101459</v>
      </c>
      <c r="M44" s="22">
        <f t="shared" si="20"/>
        <v>766862.82021339051</v>
      </c>
      <c r="N44" s="22">
        <f t="shared" si="20"/>
        <v>989253.03807530319</v>
      </c>
    </row>
    <row r="45" spans="2:14" ht="15" customHeight="1" x14ac:dyDescent="0.45">
      <c r="B45" s="159"/>
      <c r="C45" s="167"/>
      <c r="D45" s="19" t="s">
        <v>47</v>
      </c>
      <c r="E45" s="22"/>
      <c r="F45" s="22"/>
      <c r="G45" s="22"/>
      <c r="H45" s="22"/>
      <c r="I45" s="22">
        <f>AVERAGE(E44:I44)</f>
        <v>177400.3562000001</v>
      </c>
      <c r="J45" s="22"/>
      <c r="K45" s="22"/>
      <c r="L45" s="22"/>
      <c r="M45" s="22"/>
      <c r="N45" s="22">
        <f>AVERAGE(E44:N44)</f>
        <v>405564.28245418065</v>
      </c>
    </row>
    <row r="46" spans="2:14" ht="14.25" x14ac:dyDescent="0.45">
      <c r="B46" s="160"/>
      <c r="C46" s="167"/>
      <c r="D46" s="19" t="s">
        <v>46</v>
      </c>
      <c r="E46" s="21">
        <f t="shared" ref="E46:N46" si="21">E38*E$15</f>
        <v>100000</v>
      </c>
      <c r="F46" s="21">
        <f t="shared" si="21"/>
        <v>229000</v>
      </c>
      <c r="G46" s="21">
        <f>G38*G$15</f>
        <v>395410.00000000006</v>
      </c>
      <c r="H46" s="21">
        <f>H38*H$15</f>
        <v>610078.89999999967</v>
      </c>
      <c r="I46" s="21">
        <f>I38*I$15</f>
        <v>887001.78100000042</v>
      </c>
      <c r="J46" s="21">
        <f t="shared" si="21"/>
        <v>1244232.2974899998</v>
      </c>
      <c r="K46" s="21">
        <f t="shared" si="21"/>
        <v>1705059.6637620984</v>
      </c>
      <c r="L46" s="21">
        <f t="shared" si="21"/>
        <v>2299526.966253113</v>
      </c>
      <c r="M46" s="21">
        <f t="shared" si="21"/>
        <v>3066389.7864665035</v>
      </c>
      <c r="N46" s="21">
        <f t="shared" si="21"/>
        <v>4055642.8245418067</v>
      </c>
    </row>
    <row r="47" spans="2:14" ht="14.25" x14ac:dyDescent="0.45">
      <c r="B47" s="3"/>
      <c r="C47" s="1"/>
      <c r="D47" s="43"/>
      <c r="E47" s="31"/>
      <c r="F47" s="31"/>
      <c r="G47" s="31"/>
      <c r="H47" s="31"/>
      <c r="I47" s="31"/>
      <c r="J47" s="31"/>
      <c r="K47" s="31"/>
      <c r="L47" s="31"/>
      <c r="M47" s="31"/>
      <c r="N47" s="31"/>
    </row>
    <row r="48" spans="2:14" ht="14.25"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6" ht="14.25" x14ac:dyDescent="0.45">
      <c r="B49" s="151"/>
      <c r="C49" s="175"/>
      <c r="D49" s="153"/>
      <c r="E49" s="149"/>
      <c r="F49" s="149"/>
      <c r="G49" s="149"/>
      <c r="H49" s="149"/>
      <c r="I49" s="149"/>
      <c r="J49" s="149"/>
      <c r="K49" s="149"/>
      <c r="L49" s="149"/>
      <c r="M49" s="149"/>
      <c r="N49" s="149"/>
    </row>
    <row r="50" spans="1:16" ht="14.25" x14ac:dyDescent="0.45">
      <c r="B50" s="158" t="s">
        <v>141</v>
      </c>
      <c r="C50" s="166" t="s">
        <v>32</v>
      </c>
      <c r="D50" s="15" t="s">
        <v>43</v>
      </c>
      <c r="E50" s="16">
        <f>E55*$E$4/E$15</f>
        <v>6.7829457364341081E-2</v>
      </c>
      <c r="F50" s="16">
        <f t="shared" ref="F50:N50" si="22">F55*$E$4/F$15</f>
        <v>5.2580974701039604E-2</v>
      </c>
      <c r="G50" s="16">
        <f t="shared" si="22"/>
        <v>4.0760445504681865E-2</v>
      </c>
      <c r="H50" s="16">
        <f t="shared" si="22"/>
        <v>3.1597244577272761E-2</v>
      </c>
      <c r="I50" s="16">
        <f t="shared" si="22"/>
        <v>2.4493988044397494E-2</v>
      </c>
      <c r="J50" s="16">
        <f t="shared" si="22"/>
        <v>1.8987587631315889E-2</v>
      </c>
      <c r="K50" s="16">
        <f t="shared" si="22"/>
        <v>1.471906017931464E-2</v>
      </c>
      <c r="L50" s="16">
        <f t="shared" si="22"/>
        <v>1.1410124170011349E-2</v>
      </c>
      <c r="M50" s="16">
        <f t="shared" si="22"/>
        <v>8.8450574961328292E-3</v>
      </c>
      <c r="N50" s="16">
        <f t="shared" si="22"/>
        <v>6.8566337179324262E-3</v>
      </c>
    </row>
    <row r="51" spans="1:16" ht="14.25" x14ac:dyDescent="0.45">
      <c r="B51" s="159"/>
      <c r="C51" s="166"/>
      <c r="D51" s="15" t="s">
        <v>44</v>
      </c>
      <c r="E51" s="16"/>
      <c r="F51" s="16"/>
      <c r="G51" s="16"/>
      <c r="H51" s="16"/>
      <c r="I51" s="127">
        <f>AVERAGE(E50:I50)</f>
        <v>4.345242203834656E-2</v>
      </c>
      <c r="J51" s="16"/>
      <c r="K51" s="16"/>
      <c r="L51" s="16"/>
      <c r="M51" s="16"/>
      <c r="N51" s="17">
        <f>AVERAGE(E50:N50)</f>
        <v>2.7808057338643999E-2</v>
      </c>
    </row>
    <row r="52" spans="1:16" ht="14.25" x14ac:dyDescent="0.45">
      <c r="B52" s="159"/>
      <c r="C52" s="166"/>
      <c r="D52" s="15" t="s">
        <v>42</v>
      </c>
      <c r="E52" s="16">
        <f t="shared" ref="E52:N52" si="23">E$17*(E50/E$19)</f>
        <v>6.7829457364341081E-2</v>
      </c>
      <c r="F52" s="16">
        <f t="shared" si="23"/>
        <v>0.12041043206538071</v>
      </c>
      <c r="G52" s="16">
        <f t="shared" si="23"/>
        <v>0.1611708775700626</v>
      </c>
      <c r="H52" s="16">
        <f t="shared" si="23"/>
        <v>0.19276812214733521</v>
      </c>
      <c r="I52" s="16">
        <f t="shared" si="23"/>
        <v>0.21726211019173297</v>
      </c>
      <c r="J52" s="16">
        <f t="shared" si="23"/>
        <v>0.23624969782304872</v>
      </c>
      <c r="K52" s="16">
        <f t="shared" si="23"/>
        <v>0.25096875800236312</v>
      </c>
      <c r="L52" s="16">
        <f t="shared" si="23"/>
        <v>0.26237888217237521</v>
      </c>
      <c r="M52" s="16">
        <f t="shared" si="23"/>
        <v>0.27122393966850694</v>
      </c>
      <c r="N52" s="16">
        <f t="shared" si="23"/>
        <v>0.27808057338644054</v>
      </c>
    </row>
    <row r="53" spans="1:16" ht="14.25" customHeight="1" x14ac:dyDescent="0.45">
      <c r="B53" s="159"/>
      <c r="C53" s="167"/>
      <c r="D53" s="19" t="s">
        <v>45</v>
      </c>
      <c r="E53" s="20">
        <f>10*E50</f>
        <v>0.67829457364341084</v>
      </c>
      <c r="F53" s="20">
        <f t="shared" ref="F53:N53" si="24">10*F50</f>
        <v>0.52580974701039607</v>
      </c>
      <c r="G53" s="20">
        <f t="shared" si="24"/>
        <v>0.40760445504681864</v>
      </c>
      <c r="H53" s="20">
        <f t="shared" si="24"/>
        <v>0.31597244577272759</v>
      </c>
      <c r="I53" s="20">
        <f t="shared" si="24"/>
        <v>0.24493988044397494</v>
      </c>
      <c r="J53" s="20">
        <f t="shared" si="24"/>
        <v>0.18987587631315889</v>
      </c>
      <c r="K53" s="20">
        <f t="shared" si="24"/>
        <v>0.14719060179314641</v>
      </c>
      <c r="L53" s="20">
        <f t="shared" si="24"/>
        <v>0.11410124170011349</v>
      </c>
      <c r="M53" s="20">
        <f t="shared" si="24"/>
        <v>8.8450574961328299E-2</v>
      </c>
      <c r="N53" s="20">
        <f t="shared" si="24"/>
        <v>6.8566337179324255E-2</v>
      </c>
    </row>
    <row r="54" spans="1:16" ht="14.25" x14ac:dyDescent="0.45">
      <c r="B54" s="159"/>
      <c r="C54" s="167"/>
      <c r="D54" s="19" t="s">
        <v>46</v>
      </c>
      <c r="E54" s="20">
        <f>10*E52</f>
        <v>0.67829457364341084</v>
      </c>
      <c r="F54" s="20">
        <f>10*F52</f>
        <v>1.2041043206538071</v>
      </c>
      <c r="G54" s="20">
        <f>10*G52</f>
        <v>1.6117087757006261</v>
      </c>
      <c r="H54" s="20">
        <f t="shared" ref="H54:N54" si="25">10*H52</f>
        <v>1.9276812214733521</v>
      </c>
      <c r="I54" s="20">
        <f t="shared" si="25"/>
        <v>2.1726211019173296</v>
      </c>
      <c r="J54" s="20">
        <f t="shared" si="25"/>
        <v>2.362496978230487</v>
      </c>
      <c r="K54" s="20">
        <f t="shared" si="25"/>
        <v>2.5096875800236313</v>
      </c>
      <c r="L54" s="20">
        <f t="shared" si="25"/>
        <v>2.6237888217237519</v>
      </c>
      <c r="M54" s="20">
        <f t="shared" si="25"/>
        <v>2.7122393966850695</v>
      </c>
      <c r="N54" s="20">
        <f t="shared" si="25"/>
        <v>2.7808057338644057</v>
      </c>
    </row>
    <row r="55" spans="1:16" ht="14.25" x14ac:dyDescent="0.45">
      <c r="B55" s="159"/>
      <c r="C55" s="165" t="s">
        <v>36</v>
      </c>
      <c r="D55" s="15" t="s">
        <v>43</v>
      </c>
      <c r="E55" s="16">
        <f>$E9+($E$10*$E$11)</f>
        <v>8.7499999999999994E-2</v>
      </c>
      <c r="F55" s="16">
        <f t="shared" ref="F55:N55" si="26">$E9+($E$10*$E$11)</f>
        <v>8.7499999999999994E-2</v>
      </c>
      <c r="G55" s="16">
        <f t="shared" si="26"/>
        <v>8.7499999999999994E-2</v>
      </c>
      <c r="H55" s="16">
        <f t="shared" si="26"/>
        <v>8.7499999999999994E-2</v>
      </c>
      <c r="I55" s="16">
        <f t="shared" si="26"/>
        <v>8.7499999999999994E-2</v>
      </c>
      <c r="J55" s="16">
        <f t="shared" si="26"/>
        <v>8.7499999999999994E-2</v>
      </c>
      <c r="K55" s="16">
        <f t="shared" si="26"/>
        <v>8.7499999999999994E-2</v>
      </c>
      <c r="L55" s="16">
        <f t="shared" si="26"/>
        <v>8.7499999999999994E-2</v>
      </c>
      <c r="M55" s="16">
        <f t="shared" si="26"/>
        <v>8.7499999999999994E-2</v>
      </c>
      <c r="N55" s="16">
        <f t="shared" si="26"/>
        <v>8.7499999999999994E-2</v>
      </c>
    </row>
    <row r="56" spans="1:16" ht="14.25" customHeight="1" x14ac:dyDescent="0.45">
      <c r="B56" s="159"/>
      <c r="C56" s="167"/>
      <c r="D56" s="19" t="s">
        <v>45</v>
      </c>
      <c r="E56" s="21">
        <f t="shared" ref="E56:N56" si="27">E53*E$15</f>
        <v>87500</v>
      </c>
      <c r="F56" s="21">
        <f t="shared" si="27"/>
        <v>87500.000000000015</v>
      </c>
      <c r="G56" s="21">
        <f t="shared" si="27"/>
        <v>87500</v>
      </c>
      <c r="H56" s="21">
        <f t="shared" si="27"/>
        <v>87500</v>
      </c>
      <c r="I56" s="21">
        <f t="shared" si="27"/>
        <v>87500</v>
      </c>
      <c r="J56" s="21">
        <f t="shared" si="27"/>
        <v>87500.000000000015</v>
      </c>
      <c r="K56" s="21">
        <f t="shared" si="27"/>
        <v>87500</v>
      </c>
      <c r="L56" s="21">
        <f t="shared" si="27"/>
        <v>87500</v>
      </c>
      <c r="M56" s="21">
        <f t="shared" si="27"/>
        <v>87500</v>
      </c>
      <c r="N56" s="21">
        <f t="shared" si="27"/>
        <v>87499.999999999985</v>
      </c>
    </row>
    <row r="57" spans="1:16" ht="14.25" x14ac:dyDescent="0.45">
      <c r="B57" s="159"/>
      <c r="C57" s="167"/>
      <c r="D57" s="19" t="s">
        <v>46</v>
      </c>
      <c r="E57" s="21">
        <f>E56</f>
        <v>87500</v>
      </c>
      <c r="F57" s="21">
        <f>E57+F56</f>
        <v>175000</v>
      </c>
      <c r="G57" s="21">
        <f>F57+G56</f>
        <v>262500</v>
      </c>
      <c r="H57" s="21">
        <f t="shared" ref="H57:N57" si="28">G57+H56</f>
        <v>350000</v>
      </c>
      <c r="I57" s="21">
        <f t="shared" si="28"/>
        <v>437500</v>
      </c>
      <c r="J57" s="21">
        <f>I57+J56</f>
        <v>525000</v>
      </c>
      <c r="K57" s="21">
        <f t="shared" si="28"/>
        <v>612500</v>
      </c>
      <c r="L57" s="21">
        <f t="shared" si="28"/>
        <v>700000</v>
      </c>
      <c r="M57" s="21">
        <f t="shared" si="28"/>
        <v>787500</v>
      </c>
      <c r="N57" s="21">
        <f t="shared" si="28"/>
        <v>875000</v>
      </c>
    </row>
    <row r="58" spans="1:16" ht="14.25" x14ac:dyDescent="0.45">
      <c r="B58" s="159"/>
      <c r="C58" s="165" t="s">
        <v>35</v>
      </c>
      <c r="D58" s="15" t="s">
        <v>43</v>
      </c>
      <c r="E58" s="16">
        <f>E52*E$15/$E$4</f>
        <v>8.7499999999999994E-2</v>
      </c>
      <c r="F58" s="16">
        <f>F52*F$15/$E$4-E58</f>
        <v>0.11287500000000003</v>
      </c>
      <c r="G58" s="16">
        <f>G52*G$15/$E$4-F58-E58</f>
        <v>0.14560875000000006</v>
      </c>
      <c r="H58" s="16">
        <f>H52*H$15/$E$4-G58-F58-E58</f>
        <v>0.18783528749999959</v>
      </c>
      <c r="I58" s="16">
        <f>I52*I$15/$E$4-H58-G58-F58-E58</f>
        <v>0.24230752087500076</v>
      </c>
      <c r="J58" s="16">
        <f>J52*J$15/$E$4-I58-H58-G58-F58-E58</f>
        <v>0.31257670192874965</v>
      </c>
      <c r="K58" s="16">
        <f>K52*K$15/$E$4-J58-I58-H58-G58-F58-E58</f>
        <v>0.40322394548808582</v>
      </c>
      <c r="L58" s="16">
        <f>L52*L$15/$E$4-K58-J58-I58-H58-G58-F58-E58</f>
        <v>0.52015888967963841</v>
      </c>
      <c r="M58" s="16">
        <f>M52*M$15/$E$4-L58-K58-J58-I58-H58-G58-F58-E58</f>
        <v>0.67100496768671658</v>
      </c>
      <c r="N58" s="16">
        <f>N52*N$15/$E$4-M58-L58-K58-J58-I58-H58-G58-F58-E58</f>
        <v>0.86559640831589013</v>
      </c>
    </row>
    <row r="59" spans="1:16" ht="14.25" x14ac:dyDescent="0.45">
      <c r="B59" s="159"/>
      <c r="C59" s="166"/>
      <c r="D59" s="15" t="s">
        <v>44</v>
      </c>
      <c r="E59" s="17"/>
      <c r="F59" s="17"/>
      <c r="G59" s="17"/>
      <c r="H59" s="17"/>
      <c r="I59" s="17">
        <f>AVERAGE(E58:I58)</f>
        <v>0.15522531167500009</v>
      </c>
      <c r="J59" s="17"/>
      <c r="K59" s="17"/>
      <c r="L59" s="17"/>
      <c r="M59" s="17"/>
      <c r="N59" s="17">
        <f>AVERAGE(E58:N58)</f>
        <v>0.35486874714740807</v>
      </c>
    </row>
    <row r="60" spans="1:16" ht="14.25" x14ac:dyDescent="0.45">
      <c r="B60" s="159"/>
      <c r="C60" s="167"/>
      <c r="D60" s="19" t="s">
        <v>45</v>
      </c>
      <c r="E60" s="22">
        <f>E62</f>
        <v>87500</v>
      </c>
      <c r="F60" s="22">
        <f>F62-E62</f>
        <v>112875.00000000006</v>
      </c>
      <c r="G60" s="22">
        <f>G62-F62</f>
        <v>145608.75000000006</v>
      </c>
      <c r="H60" s="22">
        <f t="shared" ref="H60:N60" si="29">H62-G62</f>
        <v>187835.28749999963</v>
      </c>
      <c r="I60" s="22">
        <f t="shared" si="29"/>
        <v>242307.52087500074</v>
      </c>
      <c r="J60" s="22">
        <f>J62-I62</f>
        <v>312576.70192874945</v>
      </c>
      <c r="K60" s="22">
        <f t="shared" si="29"/>
        <v>403223.9454880862</v>
      </c>
      <c r="L60" s="22">
        <f t="shared" si="29"/>
        <v>520158.88967963797</v>
      </c>
      <c r="M60" s="22">
        <f t="shared" si="29"/>
        <v>671004.9676867167</v>
      </c>
      <c r="N60" s="22">
        <f t="shared" si="29"/>
        <v>865596.40831589047</v>
      </c>
    </row>
    <row r="61" spans="1:16" ht="15" customHeight="1" x14ac:dyDescent="0.45">
      <c r="B61" s="159"/>
      <c r="C61" s="167"/>
      <c r="D61" s="19" t="s">
        <v>47</v>
      </c>
      <c r="E61" s="22"/>
      <c r="F61" s="22"/>
      <c r="G61" s="22"/>
      <c r="H61" s="22"/>
      <c r="I61" s="22">
        <f>AVERAGE(E60:I60)</f>
        <v>155225.31167500009</v>
      </c>
      <c r="J61" s="22"/>
      <c r="K61" s="22"/>
      <c r="L61" s="22"/>
      <c r="M61" s="22"/>
      <c r="N61" s="22">
        <f>AVERAGE(E60:N60)</f>
        <v>354868.74714740814</v>
      </c>
    </row>
    <row r="62" spans="1:16" ht="14.25" x14ac:dyDescent="0.45">
      <c r="B62" s="160"/>
      <c r="C62" s="167"/>
      <c r="D62" s="19" t="s">
        <v>46</v>
      </c>
      <c r="E62" s="21">
        <f t="shared" ref="E62:N62" si="30">E54*E$15</f>
        <v>87500</v>
      </c>
      <c r="F62" s="21">
        <f t="shared" si="30"/>
        <v>200375.00000000006</v>
      </c>
      <c r="G62" s="21">
        <f t="shared" si="30"/>
        <v>345983.75000000012</v>
      </c>
      <c r="H62" s="21">
        <f t="shared" si="30"/>
        <v>533819.03749999974</v>
      </c>
      <c r="I62" s="21">
        <f t="shared" si="30"/>
        <v>776126.55837500049</v>
      </c>
      <c r="J62" s="21">
        <f t="shared" si="30"/>
        <v>1088703.2603037499</v>
      </c>
      <c r="K62" s="21">
        <f t="shared" si="30"/>
        <v>1491927.2057918361</v>
      </c>
      <c r="L62" s="21">
        <f t="shared" si="30"/>
        <v>2012086.0954714741</v>
      </c>
      <c r="M62" s="21">
        <f t="shared" si="30"/>
        <v>2683091.0631581908</v>
      </c>
      <c r="N62" s="21">
        <f t="shared" si="30"/>
        <v>3548687.4714740813</v>
      </c>
    </row>
    <row r="63" spans="1:16" ht="14.25" x14ac:dyDescent="0.45">
      <c r="A63" s="8"/>
      <c r="B63" s="3"/>
      <c r="C63" s="1"/>
      <c r="D63" s="43"/>
      <c r="E63" s="31"/>
      <c r="F63" s="31"/>
      <c r="G63" s="31"/>
      <c r="H63" s="31"/>
      <c r="I63" s="31"/>
      <c r="J63" s="31"/>
      <c r="K63" s="31"/>
      <c r="L63" s="31"/>
      <c r="M63" s="31"/>
      <c r="N63" s="31"/>
      <c r="O63" s="8"/>
      <c r="P63" s="8"/>
    </row>
    <row r="64" spans="1:16" ht="14.25"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4.25" x14ac:dyDescent="0.45">
      <c r="B65" s="164"/>
      <c r="C65" s="162"/>
      <c r="D65" s="155"/>
      <c r="E65" s="149"/>
      <c r="F65" s="149"/>
      <c r="G65" s="149"/>
      <c r="H65" s="149"/>
      <c r="I65" s="149"/>
      <c r="J65" s="149"/>
      <c r="K65" s="149"/>
      <c r="L65" s="149"/>
      <c r="M65" s="149"/>
      <c r="N65" s="149"/>
    </row>
    <row r="66" spans="2:14" ht="14.25" x14ac:dyDescent="0.45">
      <c r="B66" s="167" t="s">
        <v>16</v>
      </c>
      <c r="C66" s="166" t="s">
        <v>32</v>
      </c>
      <c r="D66" s="15" t="s">
        <v>58</v>
      </c>
      <c r="E66" s="16">
        <f>E$23</f>
        <v>0.33720930232558144</v>
      </c>
      <c r="F66" s="16">
        <f t="shared" ref="F66:N66" si="31">F$23</f>
        <v>0.26140255994231115</v>
      </c>
      <c r="G66" s="16">
        <f t="shared" si="31"/>
        <v>0.20263764336613263</v>
      </c>
      <c r="H66" s="16">
        <f t="shared" si="31"/>
        <v>0.15708344446987038</v>
      </c>
      <c r="I66" s="16">
        <f t="shared" si="31"/>
        <v>0.12177011199214743</v>
      </c>
      <c r="J66" s="16">
        <f t="shared" si="31"/>
        <v>9.4395435652827542E-2</v>
      </c>
      <c r="K66" s="16">
        <f t="shared" si="31"/>
        <v>7.3174756320021406E-2</v>
      </c>
      <c r="L66" s="16">
        <f t="shared" si="31"/>
        <v>5.6724617302342017E-2</v>
      </c>
      <c r="M66" s="16">
        <f t="shared" si="31"/>
        <v>4.3972571552203299E-2</v>
      </c>
      <c r="N66" s="16">
        <f t="shared" si="31"/>
        <v>3.4087264769149694E-2</v>
      </c>
    </row>
    <row r="67" spans="2:14" ht="14.25" x14ac:dyDescent="0.45">
      <c r="B67" s="167"/>
      <c r="C67" s="166"/>
      <c r="D67" s="15" t="s">
        <v>59</v>
      </c>
      <c r="E67" s="16"/>
      <c r="F67" s="16"/>
      <c r="G67" s="16"/>
      <c r="H67" s="16"/>
      <c r="I67" s="82">
        <f>AVERAGE(E66:I66)</f>
        <v>0.21602061241920864</v>
      </c>
      <c r="J67" s="16"/>
      <c r="K67" s="16"/>
      <c r="L67" s="16"/>
      <c r="M67" s="16"/>
      <c r="N67" s="17">
        <f>AVERAGE(E66:N66)</f>
        <v>0.1382457707692587</v>
      </c>
    </row>
    <row r="68" spans="2:14" ht="14.25" x14ac:dyDescent="0.45">
      <c r="B68" s="167"/>
      <c r="C68" s="166"/>
      <c r="D68" s="15" t="s">
        <v>42</v>
      </c>
      <c r="E68" s="16">
        <f>E$17*(E66/E$19)</f>
        <v>0.33720930232558144</v>
      </c>
      <c r="F68" s="16">
        <f t="shared" ref="F68:N68" si="32">F$17*(F66/F$19)</f>
        <v>0.59861186226789254</v>
      </c>
      <c r="G68" s="16">
        <f>G$17*(G66/G$19)</f>
        <v>0.80124950563402519</v>
      </c>
      <c r="H68" s="16">
        <f>H$17*(H66/H$19)</f>
        <v>0.95833295010389552</v>
      </c>
      <c r="I68" s="16">
        <f>I$17*(I66/I$19)</f>
        <v>1.080103062096043</v>
      </c>
      <c r="J68" s="16">
        <f t="shared" si="32"/>
        <v>1.1744984977488706</v>
      </c>
      <c r="K68" s="16">
        <f t="shared" si="32"/>
        <v>1.247673254068892</v>
      </c>
      <c r="L68" s="16">
        <f t="shared" si="32"/>
        <v>1.3043978713712341</v>
      </c>
      <c r="M68" s="16">
        <f t="shared" si="32"/>
        <v>1.3483704429234373</v>
      </c>
      <c r="N68" s="16">
        <f t="shared" si="32"/>
        <v>1.382457707692587</v>
      </c>
    </row>
    <row r="69" spans="2:14" ht="14.25" customHeight="1" x14ac:dyDescent="0.45">
      <c r="B69" s="167"/>
      <c r="C69" s="167"/>
      <c r="D69" s="19" t="s">
        <v>45</v>
      </c>
      <c r="E69" s="20">
        <f>10*E66</f>
        <v>3.3720930232558146</v>
      </c>
      <c r="F69" s="20">
        <f t="shared" ref="F69:N69" si="33">10*F66</f>
        <v>2.6140255994231114</v>
      </c>
      <c r="G69" s="20">
        <f t="shared" si="33"/>
        <v>2.0263764336613264</v>
      </c>
      <c r="H69" s="20">
        <f t="shared" si="33"/>
        <v>1.5708344446987037</v>
      </c>
      <c r="I69" s="20">
        <f t="shared" si="33"/>
        <v>1.2177011199214745</v>
      </c>
      <c r="J69" s="20">
        <f t="shared" si="33"/>
        <v>0.94395435652827542</v>
      </c>
      <c r="K69" s="20">
        <f t="shared" si="33"/>
        <v>0.73174756320021406</v>
      </c>
      <c r="L69" s="20">
        <f t="shared" si="33"/>
        <v>0.56724617302342017</v>
      </c>
      <c r="M69" s="20">
        <f t="shared" si="33"/>
        <v>0.43972571552203299</v>
      </c>
      <c r="N69" s="20">
        <f t="shared" si="33"/>
        <v>0.34087264769149694</v>
      </c>
    </row>
    <row r="70" spans="2:14" ht="14.25" x14ac:dyDescent="0.45">
      <c r="B70" s="167"/>
      <c r="C70" s="167"/>
      <c r="D70" s="19" t="s">
        <v>46</v>
      </c>
      <c r="E70" s="20">
        <f>10*E68</f>
        <v>3.3720930232558146</v>
      </c>
      <c r="F70" s="20">
        <f>10*F68</f>
        <v>5.9861186226789256</v>
      </c>
      <c r="G70" s="20">
        <f>10*G68</f>
        <v>8.0124950563402528</v>
      </c>
      <c r="H70" s="20">
        <f t="shared" ref="H70:N70" si="34">10*H68</f>
        <v>9.5833295010389552</v>
      </c>
      <c r="I70" s="20">
        <f t="shared" si="34"/>
        <v>10.801030620960431</v>
      </c>
      <c r="J70" s="20">
        <f t="shared" si="34"/>
        <v>11.744984977488706</v>
      </c>
      <c r="K70" s="20">
        <f t="shared" si="34"/>
        <v>12.47673254068892</v>
      </c>
      <c r="L70" s="20">
        <f t="shared" si="34"/>
        <v>13.043978713712342</v>
      </c>
      <c r="M70" s="20">
        <f t="shared" si="34"/>
        <v>13.483704429234374</v>
      </c>
      <c r="N70" s="20">
        <f t="shared" si="34"/>
        <v>13.82457707692587</v>
      </c>
    </row>
    <row r="71" spans="2:14" ht="14.25" x14ac:dyDescent="0.45">
      <c r="B71" s="167"/>
      <c r="C71" s="165" t="s">
        <v>36</v>
      </c>
      <c r="D71" s="15" t="s">
        <v>43</v>
      </c>
      <c r="E71" s="16">
        <f t="shared" ref="E71:N71" si="35">E66*E$15/$E$4</f>
        <v>0.43500000000000005</v>
      </c>
      <c r="F71" s="16">
        <f t="shared" si="35"/>
        <v>0.435</v>
      </c>
      <c r="G71" s="16">
        <f t="shared" si="35"/>
        <v>0.43499999999999983</v>
      </c>
      <c r="H71" s="16">
        <f t="shared" si="35"/>
        <v>0.43500000000000022</v>
      </c>
      <c r="I71" s="16">
        <f t="shared" si="35"/>
        <v>0.43499999999999961</v>
      </c>
      <c r="J71" s="16">
        <f t="shared" si="35"/>
        <v>0.43499999999999994</v>
      </c>
      <c r="K71" s="16">
        <f t="shared" si="35"/>
        <v>0.43500000000000028</v>
      </c>
      <c r="L71" s="16">
        <f t="shared" si="35"/>
        <v>0.43499999999999905</v>
      </c>
      <c r="M71" s="16">
        <f t="shared" si="35"/>
        <v>0.43500000000000089</v>
      </c>
      <c r="N71" s="16">
        <f t="shared" si="35"/>
        <v>0.434999999999999</v>
      </c>
    </row>
    <row r="72" spans="2:14" ht="14.25" customHeight="1" x14ac:dyDescent="0.45">
      <c r="B72" s="167"/>
      <c r="C72" s="167"/>
      <c r="D72" s="19" t="s">
        <v>45</v>
      </c>
      <c r="E72" s="21">
        <f t="shared" ref="E72:N72" si="36">E69*E$15</f>
        <v>435000.00000000006</v>
      </c>
      <c r="F72" s="21">
        <f t="shared" si="36"/>
        <v>434999.99999999994</v>
      </c>
      <c r="G72" s="21">
        <f>G69*G$15</f>
        <v>434999.99999999988</v>
      </c>
      <c r="H72" s="21">
        <f>H69*H$15</f>
        <v>435000.00000000017</v>
      </c>
      <c r="I72" s="21">
        <f>I69*I$15</f>
        <v>434999.99999999971</v>
      </c>
      <c r="J72" s="21">
        <f t="shared" si="36"/>
        <v>434999.99999999994</v>
      </c>
      <c r="K72" s="21">
        <f t="shared" si="36"/>
        <v>435000.00000000029</v>
      </c>
      <c r="L72" s="21">
        <f t="shared" si="36"/>
        <v>434999.99999999907</v>
      </c>
      <c r="M72" s="21">
        <f t="shared" si="36"/>
        <v>435000.00000000087</v>
      </c>
      <c r="N72" s="21">
        <f t="shared" si="36"/>
        <v>434999.99999999895</v>
      </c>
    </row>
    <row r="73" spans="2:14" ht="14.25" x14ac:dyDescent="0.45">
      <c r="B73" s="167"/>
      <c r="C73" s="167"/>
      <c r="D73" s="19" t="s">
        <v>46</v>
      </c>
      <c r="E73" s="21">
        <f>E72</f>
        <v>435000.00000000006</v>
      </c>
      <c r="F73" s="21">
        <f>E73+F72</f>
        <v>870000</v>
      </c>
      <c r="G73" s="21">
        <f>F73+G72</f>
        <v>1305000</v>
      </c>
      <c r="H73" s="21">
        <f t="shared" ref="H73:N73" si="37">G73+H72</f>
        <v>1740000.0000000002</v>
      </c>
      <c r="I73" s="21">
        <f t="shared" si="37"/>
        <v>2175000</v>
      </c>
      <c r="J73" s="21">
        <f>I73+J72</f>
        <v>2610000</v>
      </c>
      <c r="K73" s="21">
        <f t="shared" si="37"/>
        <v>3045000.0000000005</v>
      </c>
      <c r="L73" s="21">
        <f t="shared" si="37"/>
        <v>3479999.9999999995</v>
      </c>
      <c r="M73" s="21">
        <f t="shared" si="37"/>
        <v>3915000.0000000005</v>
      </c>
      <c r="N73" s="21">
        <f t="shared" si="37"/>
        <v>4349999.9999999991</v>
      </c>
    </row>
    <row r="74" spans="2:14" ht="14.25" x14ac:dyDescent="0.45">
      <c r="B74" s="167"/>
      <c r="C74" s="165" t="s">
        <v>35</v>
      </c>
      <c r="D74" s="15" t="s">
        <v>43</v>
      </c>
      <c r="E74" s="16">
        <f>E68*E$15/$E$4</f>
        <v>0.43500000000000005</v>
      </c>
      <c r="F74" s="16">
        <f>F68*F$15/$E$4-E74</f>
        <v>0.56114999999999993</v>
      </c>
      <c r="G74" s="16">
        <f>G68*G$15/$E$4-F74-E74</f>
        <v>0.7238834999999999</v>
      </c>
      <c r="H74" s="16">
        <f>H68*H$15/$E$4-G74-F74-E74</f>
        <v>0.93380971499999976</v>
      </c>
      <c r="I74" s="16">
        <f>I68*I$15/$E$4-H74-G74-F74-E74</f>
        <v>1.2046145323499995</v>
      </c>
      <c r="J74" s="16">
        <f>J68*J$15/$E$4-I74-H74-G74-F74-E74</f>
        <v>1.5539527467314991</v>
      </c>
      <c r="K74" s="16">
        <f>K68*K$15/$E$4-J74-I74-H74-G74-F74-E74</f>
        <v>2.0045990432836356</v>
      </c>
      <c r="L74" s="16">
        <f>L68*L$15/$E$4-K74-J74-I74-H74-G74-F74-E74</f>
        <v>2.585932765835889</v>
      </c>
      <c r="M74" s="16">
        <f>M68*M$15/$E$4-L74-K74-J74-I74-H74-G74-F74-E74</f>
        <v>3.3358532679282966</v>
      </c>
      <c r="N74" s="16">
        <f>N68*N$15/$E$4-M74-L74-K74-J74-I74-H74-G74-F74-E74</f>
        <v>4.3032507156275006</v>
      </c>
    </row>
    <row r="75" spans="2:14" ht="14.25" x14ac:dyDescent="0.45">
      <c r="B75" s="167"/>
      <c r="C75" s="166"/>
      <c r="D75" s="15" t="s">
        <v>44</v>
      </c>
      <c r="E75" s="17"/>
      <c r="F75" s="17"/>
      <c r="G75" s="17"/>
      <c r="H75" s="17"/>
      <c r="I75" s="17">
        <f>AVERAGE(E74:I74)</f>
        <v>0.77169154946999985</v>
      </c>
      <c r="J75" s="17"/>
      <c r="K75" s="17"/>
      <c r="L75" s="17"/>
      <c r="M75" s="17"/>
      <c r="N75" s="17">
        <f>AVERAGE(E74:N74)</f>
        <v>1.7642046286756821</v>
      </c>
    </row>
    <row r="76" spans="2:14" ht="14.25" x14ac:dyDescent="0.45">
      <c r="B76" s="167"/>
      <c r="C76" s="167"/>
      <c r="D76" s="19" t="s">
        <v>45</v>
      </c>
      <c r="E76" s="22">
        <f>E78</f>
        <v>435000.00000000006</v>
      </c>
      <c r="F76" s="22">
        <f>F78-E78</f>
        <v>561150</v>
      </c>
      <c r="G76" s="22">
        <f>G78-F78</f>
        <v>723883.5</v>
      </c>
      <c r="H76" s="22">
        <f t="shared" ref="H76:N76" si="38">H78-G78</f>
        <v>933809.71499999985</v>
      </c>
      <c r="I76" s="22">
        <f t="shared" si="38"/>
        <v>1204614.5323499995</v>
      </c>
      <c r="J76" s="22">
        <f>J78-I78</f>
        <v>1553952.7467314997</v>
      </c>
      <c r="K76" s="22">
        <f t="shared" si="38"/>
        <v>2004599.0432836348</v>
      </c>
      <c r="L76" s="22">
        <f t="shared" si="38"/>
        <v>2585932.7658358896</v>
      </c>
      <c r="M76" s="22">
        <f t="shared" si="38"/>
        <v>3335853.2679282948</v>
      </c>
      <c r="N76" s="22">
        <f t="shared" si="38"/>
        <v>4303250.7156274989</v>
      </c>
    </row>
    <row r="77" spans="2:14" ht="14.25" x14ac:dyDescent="0.45">
      <c r="B77" s="167"/>
      <c r="C77" s="167"/>
      <c r="D77" s="19" t="s">
        <v>47</v>
      </c>
      <c r="E77" s="22"/>
      <c r="F77" s="22"/>
      <c r="G77" s="22"/>
      <c r="H77" s="22"/>
      <c r="I77" s="22">
        <f>AVERAGE(E76:I76)</f>
        <v>771691.54946999985</v>
      </c>
      <c r="J77" s="22"/>
      <c r="K77" s="22"/>
      <c r="L77" s="22"/>
      <c r="M77" s="22"/>
      <c r="N77" s="22">
        <f>AVERAGE(E76:N76)</f>
        <v>1764204.6286756818</v>
      </c>
    </row>
    <row r="78" spans="2:14" ht="14.25" x14ac:dyDescent="0.45">
      <c r="B78" s="167"/>
      <c r="C78" s="167"/>
      <c r="D78" s="19" t="s">
        <v>46</v>
      </c>
      <c r="E78" s="21">
        <f t="shared" ref="E78:N78" si="39">E70*E$15</f>
        <v>435000.00000000006</v>
      </c>
      <c r="F78" s="21">
        <f t="shared" si="39"/>
        <v>996150</v>
      </c>
      <c r="G78" s="21">
        <f>G70*G$15</f>
        <v>1720033.5</v>
      </c>
      <c r="H78" s="21">
        <f>H70*H$15</f>
        <v>2653843.2149999999</v>
      </c>
      <c r="I78" s="21">
        <f>I70*I$15</f>
        <v>3858457.7473499994</v>
      </c>
      <c r="J78" s="21">
        <f t="shared" si="39"/>
        <v>5412410.4940814991</v>
      </c>
      <c r="K78" s="21">
        <f t="shared" si="39"/>
        <v>7417009.5373651339</v>
      </c>
      <c r="L78" s="21">
        <f t="shared" si="39"/>
        <v>10002942.303201023</v>
      </c>
      <c r="M78" s="21">
        <f t="shared" si="39"/>
        <v>13338795.571129318</v>
      </c>
      <c r="N78" s="21">
        <f t="shared" si="39"/>
        <v>17642046.286756817</v>
      </c>
    </row>
    <row r="79" spans="2:14" ht="14.25" x14ac:dyDescent="0.45">
      <c r="B79" s="167" t="s">
        <v>141</v>
      </c>
      <c r="C79" s="166" t="s">
        <v>32</v>
      </c>
      <c r="D79" s="15" t="s">
        <v>43</v>
      </c>
      <c r="E79" s="16">
        <f>E$25</f>
        <v>4.5503875968992247E-2</v>
      </c>
      <c r="F79" s="16">
        <f t="shared" ref="F79:N79" si="40">F$25</f>
        <v>4.2018508503094763E-2</v>
      </c>
      <c r="G79" s="16">
        <f t="shared" si="40"/>
        <v>3.9316673258212996E-2</v>
      </c>
      <c r="H79" s="16">
        <f t="shared" si="40"/>
        <v>3.7222227331948056E-2</v>
      </c>
      <c r="I79" s="16">
        <f t="shared" si="40"/>
        <v>3.5598625838719422E-2</v>
      </c>
      <c r="J79" s="16">
        <f t="shared" si="40"/>
        <v>3.4340020030015059E-2</v>
      </c>
      <c r="K79" s="16">
        <f t="shared" si="40"/>
        <v>3.3364356612414769E-2</v>
      </c>
      <c r="L79" s="16">
        <f t="shared" si="40"/>
        <v>3.2608028381716878E-2</v>
      </c>
      <c r="M79" s="16">
        <f t="shared" si="40"/>
        <v>3.2021727427687503E-2</v>
      </c>
      <c r="N79" s="16">
        <f t="shared" si="40"/>
        <v>3.1567230564098839E-2</v>
      </c>
    </row>
    <row r="80" spans="2:14" ht="14.25" x14ac:dyDescent="0.45">
      <c r="B80" s="167"/>
      <c r="C80" s="166"/>
      <c r="D80" s="15" t="s">
        <v>44</v>
      </c>
      <c r="E80" s="16"/>
      <c r="F80" s="16"/>
      <c r="G80" s="16"/>
      <c r="H80" s="16"/>
      <c r="I80" s="82">
        <f>AVERAGE(E79:I79)</f>
        <v>3.9931982180193497E-2</v>
      </c>
      <c r="J80" s="17"/>
      <c r="K80" s="17"/>
      <c r="L80" s="17"/>
      <c r="M80" s="17"/>
      <c r="N80" s="17">
        <f>AVERAGE(E79:N79)</f>
        <v>3.635612739169005E-2</v>
      </c>
    </row>
    <row r="81" spans="2:14" ht="14.25" x14ac:dyDescent="0.45">
      <c r="B81" s="167"/>
      <c r="C81" s="166"/>
      <c r="D81" s="15" t="s">
        <v>42</v>
      </c>
      <c r="E81" s="16">
        <f>E$27</f>
        <v>4.5503875968992247E-2</v>
      </c>
      <c r="F81" s="16">
        <f t="shared" ref="F81:N81" si="41">F$27</f>
        <v>8.7522384472087017E-2</v>
      </c>
      <c r="G81" s="16">
        <f t="shared" si="41"/>
        <v>0.12683905773030002</v>
      </c>
      <c r="H81" s="16">
        <f t="shared" si="41"/>
        <v>0.16406128506224807</v>
      </c>
      <c r="I81" s="16">
        <f t="shared" si="41"/>
        <v>0.19965991090096749</v>
      </c>
      <c r="J81" s="16">
        <f t="shared" si="41"/>
        <v>0.23399993093098254</v>
      </c>
      <c r="K81" s="16">
        <f t="shared" si="41"/>
        <v>0.26736428754339731</v>
      </c>
      <c r="L81" s="16">
        <f t="shared" si="41"/>
        <v>0.2999723159251142</v>
      </c>
      <c r="M81" s="16">
        <f t="shared" si="41"/>
        <v>0.33199404335280169</v>
      </c>
      <c r="N81" s="16">
        <f t="shared" si="41"/>
        <v>0.36356127391690052</v>
      </c>
    </row>
    <row r="82" spans="2:14" ht="14.25" customHeight="1" x14ac:dyDescent="0.45">
      <c r="B82" s="167"/>
      <c r="C82" s="167"/>
      <c r="D82" s="19" t="s">
        <v>45</v>
      </c>
      <c r="E82" s="20">
        <f t="shared" ref="E82:N82" si="42">10*E79</f>
        <v>0.45503875968992247</v>
      </c>
      <c r="F82" s="20">
        <f t="shared" si="42"/>
        <v>0.42018508503094765</v>
      </c>
      <c r="G82" s="20">
        <f t="shared" si="42"/>
        <v>0.39316673258212997</v>
      </c>
      <c r="H82" s="20">
        <f t="shared" si="42"/>
        <v>0.37222227331948055</v>
      </c>
      <c r="I82" s="20">
        <f t="shared" si="42"/>
        <v>0.35598625838719422</v>
      </c>
      <c r="J82" s="20">
        <f t="shared" si="42"/>
        <v>0.34340020030015062</v>
      </c>
      <c r="K82" s="20">
        <f t="shared" si="42"/>
        <v>0.33364356612414769</v>
      </c>
      <c r="L82" s="20">
        <f t="shared" si="42"/>
        <v>0.3260802838171688</v>
      </c>
      <c r="M82" s="20">
        <f t="shared" si="42"/>
        <v>0.32021727427687502</v>
      </c>
      <c r="N82" s="20">
        <f t="shared" si="42"/>
        <v>0.31567230564098836</v>
      </c>
    </row>
    <row r="83" spans="2:14" ht="14.25" x14ac:dyDescent="0.45">
      <c r="B83" s="167"/>
      <c r="C83" s="167"/>
      <c r="D83" s="19" t="s">
        <v>46</v>
      </c>
      <c r="E83" s="20">
        <f>10*E81</f>
        <v>0.45503875968992247</v>
      </c>
      <c r="F83" s="20">
        <f t="shared" ref="F83:N83" si="43">10*F81</f>
        <v>0.87522384472087023</v>
      </c>
      <c r="G83" s="20">
        <f t="shared" si="43"/>
        <v>1.2683905773030002</v>
      </c>
      <c r="H83" s="20">
        <f t="shared" si="43"/>
        <v>1.6406128506224806</v>
      </c>
      <c r="I83" s="20">
        <f t="shared" si="43"/>
        <v>1.9965991090096749</v>
      </c>
      <c r="J83" s="20">
        <f t="shared" si="43"/>
        <v>2.3399993093098255</v>
      </c>
      <c r="K83" s="20">
        <f t="shared" si="43"/>
        <v>2.6736428754339729</v>
      </c>
      <c r="L83" s="20">
        <f t="shared" si="43"/>
        <v>2.999723159251142</v>
      </c>
      <c r="M83" s="20">
        <f t="shared" si="43"/>
        <v>3.3199404335280169</v>
      </c>
      <c r="N83" s="20">
        <f t="shared" si="43"/>
        <v>3.6356127391690052</v>
      </c>
    </row>
    <row r="84" spans="2:14" ht="14.25" x14ac:dyDescent="0.45">
      <c r="B84" s="167"/>
      <c r="C84" s="165" t="s">
        <v>36</v>
      </c>
      <c r="D84" s="15" t="s">
        <v>43</v>
      </c>
      <c r="E84" s="16">
        <f>E79*E$15/$E$4</f>
        <v>5.8700000000000002E-2</v>
      </c>
      <c r="F84" s="16">
        <f t="shared" ref="F84:N84" si="44">F79*F$15/$E$4</f>
        <v>6.9922999999999999E-2</v>
      </c>
      <c r="G84" s="16">
        <f t="shared" si="44"/>
        <v>8.4400669999999997E-2</v>
      </c>
      <c r="H84" s="16">
        <f t="shared" si="44"/>
        <v>0.10307686429999997</v>
      </c>
      <c r="I84" s="16">
        <f t="shared" si="44"/>
        <v>0.12716915494699996</v>
      </c>
      <c r="J84" s="16">
        <f t="shared" si="44"/>
        <v>0.15824820988162996</v>
      </c>
      <c r="K84" s="16">
        <f t="shared" si="44"/>
        <v>0.19834019074730264</v>
      </c>
      <c r="L84" s="16">
        <f t="shared" si="44"/>
        <v>0.25005884606402046</v>
      </c>
      <c r="M84" s="16">
        <f t="shared" si="44"/>
        <v>0.31677591142258638</v>
      </c>
      <c r="N84" s="16">
        <f t="shared" si="44"/>
        <v>0.40284092573513636</v>
      </c>
    </row>
    <row r="85" spans="2:14" ht="14.25" x14ac:dyDescent="0.45">
      <c r="B85" s="167"/>
      <c r="C85" s="166"/>
      <c r="D85" s="15" t="s">
        <v>44</v>
      </c>
      <c r="E85" s="16"/>
      <c r="F85" s="16"/>
      <c r="G85" s="16"/>
      <c r="H85" s="16"/>
      <c r="I85" s="17">
        <f>AVERAGE(E84:I84)</f>
        <v>8.8653937849399983E-2</v>
      </c>
      <c r="J85" s="17"/>
      <c r="K85" s="17"/>
      <c r="L85" s="17"/>
      <c r="M85" s="17"/>
      <c r="N85" s="17">
        <f>AVERAGE(E84:N84)</f>
        <v>0.17695337730976757</v>
      </c>
    </row>
    <row r="86" spans="2:14" ht="14.25" x14ac:dyDescent="0.45">
      <c r="B86" s="167"/>
      <c r="C86" s="167"/>
      <c r="D86" s="19" t="s">
        <v>45</v>
      </c>
      <c r="E86" s="23">
        <f t="shared" ref="E86:F86" si="45">E82*E$15</f>
        <v>58700</v>
      </c>
      <c r="F86" s="23">
        <f t="shared" si="45"/>
        <v>69923</v>
      </c>
      <c r="G86" s="23">
        <f>G82*G$15</f>
        <v>84400.67</v>
      </c>
      <c r="H86" s="23">
        <f>H82*H$15</f>
        <v>103076.86429999999</v>
      </c>
      <c r="I86" s="23">
        <f>I82*I$15</f>
        <v>127169.15494699997</v>
      </c>
      <c r="J86" s="23">
        <f t="shared" ref="J86:N86" si="46">J82*J$15</f>
        <v>158248.20988162997</v>
      </c>
      <c r="K86" s="23">
        <f t="shared" si="46"/>
        <v>198340.19074730264</v>
      </c>
      <c r="L86" s="23">
        <f t="shared" si="46"/>
        <v>250058.84606402044</v>
      </c>
      <c r="M86" s="23">
        <f t="shared" si="46"/>
        <v>316775.9114225863</v>
      </c>
      <c r="N86" s="23">
        <f t="shared" si="46"/>
        <v>402840.92573513632</v>
      </c>
    </row>
    <row r="87" spans="2:14" ht="14.25" customHeight="1" x14ac:dyDescent="0.45">
      <c r="B87" s="167"/>
      <c r="C87" s="167"/>
      <c r="D87" s="19" t="s">
        <v>47</v>
      </c>
      <c r="E87" s="24"/>
      <c r="F87" s="24"/>
      <c r="G87" s="24"/>
      <c r="H87" s="24"/>
      <c r="I87" s="23">
        <f>AVERAGE(E86:I86)</f>
        <v>88653.937849399983</v>
      </c>
      <c r="J87" s="23"/>
      <c r="K87" s="23"/>
      <c r="L87" s="23"/>
      <c r="M87" s="23"/>
      <c r="N87" s="23">
        <f>AVERAGE(E86:N86)</f>
        <v>176953.37730976756</v>
      </c>
    </row>
    <row r="88" spans="2:14" ht="14.25" x14ac:dyDescent="0.45">
      <c r="B88" s="167"/>
      <c r="C88" s="167"/>
      <c r="D88" s="19" t="s">
        <v>46</v>
      </c>
      <c r="E88" s="24">
        <f>E86</f>
        <v>58700</v>
      </c>
      <c r="F88" s="24">
        <f t="shared" ref="F88" si="47">E88+F86</f>
        <v>128623</v>
      </c>
      <c r="G88" s="24">
        <f>F88+G86</f>
        <v>213023.66999999998</v>
      </c>
      <c r="H88" s="24">
        <f t="shared" ref="H88:I88" si="48">G88+H86</f>
        <v>316100.53429999994</v>
      </c>
      <c r="I88" s="24">
        <f t="shared" si="48"/>
        <v>443269.68924699991</v>
      </c>
      <c r="J88" s="24">
        <f>I88+J86</f>
        <v>601517.89912862983</v>
      </c>
      <c r="K88" s="24">
        <f t="shared" ref="K88:N88" si="49">J88+K86</f>
        <v>799858.08987593243</v>
      </c>
      <c r="L88" s="24">
        <f t="shared" si="49"/>
        <v>1049916.935939953</v>
      </c>
      <c r="M88" s="24">
        <f t="shared" si="49"/>
        <v>1366692.8473625393</v>
      </c>
      <c r="N88" s="24">
        <f t="shared" si="49"/>
        <v>1769533.7730976755</v>
      </c>
    </row>
    <row r="89" spans="2:14" ht="14.25" x14ac:dyDescent="0.45">
      <c r="B89" s="167"/>
      <c r="C89" s="165" t="s">
        <v>35</v>
      </c>
      <c r="D89" s="15" t="s">
        <v>43</v>
      </c>
      <c r="E89" s="16">
        <f>E81*E$15/$E$4</f>
        <v>5.8700000000000002E-2</v>
      </c>
      <c r="F89" s="16">
        <f>F81*F$15/$E$4-E89</f>
        <v>8.6945999999999996E-2</v>
      </c>
      <c r="G89" s="16">
        <f>G81*G$15/$E$4-F89-E89</f>
        <v>0.12663801000000002</v>
      </c>
      <c r="H89" s="16">
        <f>H81*H$15/$E$4-G89-F89-E89</f>
        <v>0.18203922719999999</v>
      </c>
      <c r="I89" s="16">
        <f>I81*I$15/$E$4-H89-G89-F89-E89</f>
        <v>0.25892289373499977</v>
      </c>
      <c r="J89" s="16">
        <f>J81*J$15/$E$4-I89-H89-G89-F89-E89</f>
        <v>0.36508958785277978</v>
      </c>
      <c r="K89" s="16">
        <f>K81*K$15/$E$4-J89-I89-H89-G89-F89-E89</f>
        <v>0.51105754919575874</v>
      </c>
      <c r="L89" s="16">
        <f>L81*L$15/$E$4-K89-J89-I89-H89-G89-F89-E89</f>
        <v>0.71098289377924684</v>
      </c>
      <c r="M89" s="16">
        <f>M81*M$15/$E$4-L89-K89-J89-I89-H89-G89-F89-E89</f>
        <v>0.98388499833379384</v>
      </c>
      <c r="N89" s="16">
        <f>N81*N$15/$E$4-M89-L89-K89-J89-I89-H89-G89-F89-E89</f>
        <v>1.3552766621631436</v>
      </c>
    </row>
    <row r="90" spans="2:14" ht="14.25" x14ac:dyDescent="0.45">
      <c r="B90" s="167"/>
      <c r="C90" s="166"/>
      <c r="D90" s="15" t="s">
        <v>44</v>
      </c>
      <c r="E90" s="17"/>
      <c r="F90" s="17"/>
      <c r="G90" s="17"/>
      <c r="H90" s="17"/>
      <c r="I90" s="17">
        <f>AVERAGE(E89:I89)</f>
        <v>0.14264922618699996</v>
      </c>
      <c r="J90" s="17"/>
      <c r="K90" s="17"/>
      <c r="L90" s="17"/>
      <c r="M90" s="17"/>
      <c r="N90" s="17">
        <f>AVERAGE(E89:N89)</f>
        <v>0.46395378222597233</v>
      </c>
    </row>
    <row r="91" spans="2:14" ht="14.25" x14ac:dyDescent="0.45">
      <c r="B91" s="167"/>
      <c r="C91" s="167"/>
      <c r="D91" s="19" t="s">
        <v>45</v>
      </c>
      <c r="E91" s="23">
        <f>E93</f>
        <v>58700</v>
      </c>
      <c r="F91" s="23">
        <f>F93-E93</f>
        <v>86946</v>
      </c>
      <c r="G91" s="23">
        <f>G93-F93</f>
        <v>126638.01000000001</v>
      </c>
      <c r="H91" s="23">
        <f>H93-G93</f>
        <v>182039.22719999996</v>
      </c>
      <c r="I91" s="23">
        <f>I93-H93</f>
        <v>258922.89373499993</v>
      </c>
      <c r="J91" s="23">
        <f>J93-I93</f>
        <v>365089.58785277989</v>
      </c>
      <c r="K91" s="23">
        <f t="shared" ref="K91:N91" si="50">K93-J93</f>
        <v>511057.54919575853</v>
      </c>
      <c r="L91" s="23">
        <f t="shared" si="50"/>
        <v>710982.89377924684</v>
      </c>
      <c r="M91" s="23">
        <f t="shared" si="50"/>
        <v>983884.9983337936</v>
      </c>
      <c r="N91" s="23">
        <f t="shared" si="50"/>
        <v>1355276.6621631444</v>
      </c>
    </row>
    <row r="92" spans="2:14" ht="14.25" x14ac:dyDescent="0.45">
      <c r="B92" s="167"/>
      <c r="C92" s="167"/>
      <c r="D92" s="19" t="s">
        <v>47</v>
      </c>
      <c r="E92" s="23"/>
      <c r="F92" s="23"/>
      <c r="G92" s="23"/>
      <c r="H92" s="23"/>
      <c r="I92" s="23">
        <f>AVERAGE(E91:I91)</f>
        <v>142649.22618699999</v>
      </c>
      <c r="J92" s="23"/>
      <c r="K92" s="23"/>
      <c r="L92" s="23"/>
      <c r="M92" s="23"/>
      <c r="N92" s="23">
        <f>AVERAGE(E91:N91)</f>
        <v>463953.78222597233</v>
      </c>
    </row>
    <row r="93" spans="2:14" ht="14.25" x14ac:dyDescent="0.45">
      <c r="B93" s="167"/>
      <c r="C93" s="167"/>
      <c r="D93" s="19" t="s">
        <v>46</v>
      </c>
      <c r="E93" s="24">
        <f t="shared" ref="E93:F93" si="51">E83*E$15</f>
        <v>58700</v>
      </c>
      <c r="F93" s="24">
        <f t="shared" si="51"/>
        <v>145646</v>
      </c>
      <c r="G93" s="24">
        <f>G83*G$15</f>
        <v>272284.01</v>
      </c>
      <c r="H93" s="24">
        <f>H83*H$15</f>
        <v>454323.23719999997</v>
      </c>
      <c r="I93" s="24">
        <f>I83*I$15</f>
        <v>713246.13093499991</v>
      </c>
      <c r="J93" s="24">
        <f t="shared" ref="J93:N93" si="52">J83*J$15</f>
        <v>1078335.7187877798</v>
      </c>
      <c r="K93" s="24">
        <f t="shared" si="52"/>
        <v>1589393.2679835383</v>
      </c>
      <c r="L93" s="24">
        <f t="shared" si="52"/>
        <v>2300376.1617627852</v>
      </c>
      <c r="M93" s="24">
        <f t="shared" si="52"/>
        <v>3284261.1600965788</v>
      </c>
      <c r="N93" s="24">
        <f t="shared" si="52"/>
        <v>4639537.8222597232</v>
      </c>
    </row>
    <row r="94" spans="2:14" ht="14.25" x14ac:dyDescent="0.45">
      <c r="B94" s="167" t="s">
        <v>17</v>
      </c>
      <c r="C94" s="166" t="s">
        <v>32</v>
      </c>
      <c r="D94" s="15" t="s">
        <v>43</v>
      </c>
      <c r="E94" s="16">
        <f>E$28</f>
        <v>2.2751937984496123E-2</v>
      </c>
      <c r="F94" s="16">
        <f t="shared" ref="F94:N94" si="53">F$28</f>
        <v>2.1009254251547382E-2</v>
      </c>
      <c r="G94" s="16">
        <f t="shared" si="53"/>
        <v>1.9658336629106498E-2</v>
      </c>
      <c r="H94" s="16">
        <f t="shared" si="53"/>
        <v>1.8611113665974028E-2</v>
      </c>
      <c r="I94" s="16">
        <f t="shared" si="53"/>
        <v>1.7799312919359711E-2</v>
      </c>
      <c r="J94" s="16">
        <f t="shared" si="53"/>
        <v>1.7170010015007529E-2</v>
      </c>
      <c r="K94" s="16">
        <f t="shared" si="53"/>
        <v>1.6682178306207385E-2</v>
      </c>
      <c r="L94" s="16">
        <f t="shared" si="53"/>
        <v>1.6304014190858439E-2</v>
      </c>
      <c r="M94" s="16">
        <f t="shared" si="53"/>
        <v>1.6010863713843752E-2</v>
      </c>
      <c r="N94" s="16">
        <f t="shared" si="53"/>
        <v>1.5783615282049419E-2</v>
      </c>
    </row>
    <row r="95" spans="2:14" ht="14.25" x14ac:dyDescent="0.45">
      <c r="B95" s="167"/>
      <c r="C95" s="166"/>
      <c r="D95" s="15" t="s">
        <v>44</v>
      </c>
      <c r="E95" s="16"/>
      <c r="F95" s="16"/>
      <c r="G95" s="16"/>
      <c r="H95" s="16"/>
      <c r="I95" s="82">
        <f>AVERAGE(E94:I94)</f>
        <v>1.9965991090096748E-2</v>
      </c>
      <c r="J95" s="17"/>
      <c r="K95" s="17"/>
      <c r="L95" s="17"/>
      <c r="M95" s="17"/>
      <c r="N95" s="17">
        <f>AVERAGE(E94:N94)</f>
        <v>1.8178063695845025E-2</v>
      </c>
    </row>
    <row r="96" spans="2:14" ht="14.25" x14ac:dyDescent="0.45">
      <c r="B96" s="167"/>
      <c r="C96" s="166"/>
      <c r="D96" s="15" t="s">
        <v>42</v>
      </c>
      <c r="E96" s="16">
        <f t="shared" ref="E96:N96" si="54">E$30</f>
        <v>2.2751937984496123E-2</v>
      </c>
      <c r="F96" s="16">
        <f t="shared" si="54"/>
        <v>4.3761192236043508E-2</v>
      </c>
      <c r="G96" s="16">
        <f t="shared" si="54"/>
        <v>6.341952886515001E-2</v>
      </c>
      <c r="H96" s="16">
        <f t="shared" si="54"/>
        <v>8.2030642531124034E-2</v>
      </c>
      <c r="I96" s="16">
        <f t="shared" si="54"/>
        <v>9.9829955450483746E-2</v>
      </c>
      <c r="J96" s="16">
        <f t="shared" si="54"/>
        <v>0.11699996546549127</v>
      </c>
      <c r="K96" s="16">
        <f t="shared" si="54"/>
        <v>0.13368214377169865</v>
      </c>
      <c r="L96" s="16">
        <f t="shared" si="54"/>
        <v>0.1499861579625571</v>
      </c>
      <c r="M96" s="16">
        <f t="shared" si="54"/>
        <v>0.16599702167640085</v>
      </c>
      <c r="N96" s="16">
        <f t="shared" si="54"/>
        <v>0.18178063695845026</v>
      </c>
    </row>
    <row r="97" spans="2:14" ht="14.25" customHeight="1" x14ac:dyDescent="0.45">
      <c r="B97" s="167"/>
      <c r="C97" s="167"/>
      <c r="D97" s="19" t="s">
        <v>45</v>
      </c>
      <c r="E97" s="20">
        <f t="shared" ref="E97:N97" si="55">10*E94</f>
        <v>0.22751937984496123</v>
      </c>
      <c r="F97" s="20">
        <f t="shared" si="55"/>
        <v>0.21009254251547382</v>
      </c>
      <c r="G97" s="20">
        <f t="shared" si="55"/>
        <v>0.19658336629106499</v>
      </c>
      <c r="H97" s="20">
        <f t="shared" si="55"/>
        <v>0.18611113665974027</v>
      </c>
      <c r="I97" s="20">
        <f t="shared" si="55"/>
        <v>0.17799312919359711</v>
      </c>
      <c r="J97" s="20">
        <f t="shared" si="55"/>
        <v>0.17170010015007531</v>
      </c>
      <c r="K97" s="20">
        <f t="shared" si="55"/>
        <v>0.16682178306207385</v>
      </c>
      <c r="L97" s="20">
        <f t="shared" si="55"/>
        <v>0.1630401419085844</v>
      </c>
      <c r="M97" s="20">
        <f t="shared" si="55"/>
        <v>0.16010863713843751</v>
      </c>
      <c r="N97" s="20">
        <f t="shared" si="55"/>
        <v>0.15783615282049418</v>
      </c>
    </row>
    <row r="98" spans="2:14" ht="14.25" x14ac:dyDescent="0.45">
      <c r="B98" s="167"/>
      <c r="C98" s="167"/>
      <c r="D98" s="19" t="s">
        <v>46</v>
      </c>
      <c r="E98" s="20">
        <f>10*E96</f>
        <v>0.22751937984496123</v>
      </c>
      <c r="F98" s="20">
        <f t="shared" ref="F98:N98" si="56">10*F96</f>
        <v>0.43761192236043511</v>
      </c>
      <c r="G98" s="20">
        <f t="shared" si="56"/>
        <v>0.6341952886515001</v>
      </c>
      <c r="H98" s="20">
        <f t="shared" si="56"/>
        <v>0.82030642531124032</v>
      </c>
      <c r="I98" s="20">
        <f t="shared" si="56"/>
        <v>0.99829955450483743</v>
      </c>
      <c r="J98" s="20">
        <f t="shared" si="56"/>
        <v>1.1699996546549127</v>
      </c>
      <c r="K98" s="20">
        <f t="shared" si="56"/>
        <v>1.3368214377169865</v>
      </c>
      <c r="L98" s="20">
        <f t="shared" si="56"/>
        <v>1.499861579625571</v>
      </c>
      <c r="M98" s="20">
        <f t="shared" si="56"/>
        <v>1.6599702167640085</v>
      </c>
      <c r="N98" s="20">
        <f t="shared" si="56"/>
        <v>1.8178063695845026</v>
      </c>
    </row>
    <row r="99" spans="2:14" ht="14.25" x14ac:dyDescent="0.45">
      <c r="B99" s="167"/>
      <c r="C99" s="165" t="s">
        <v>36</v>
      </c>
      <c r="D99" s="15" t="s">
        <v>43</v>
      </c>
      <c r="E99" s="16">
        <f t="shared" ref="E99:N99" si="57">E94*E$15/$E$4</f>
        <v>2.9350000000000001E-2</v>
      </c>
      <c r="F99" s="16">
        <f t="shared" si="57"/>
        <v>3.49615E-2</v>
      </c>
      <c r="G99" s="16">
        <f t="shared" si="57"/>
        <v>4.2200334999999999E-2</v>
      </c>
      <c r="H99" s="16">
        <f t="shared" si="57"/>
        <v>5.1538432149999987E-2</v>
      </c>
      <c r="I99" s="16">
        <f t="shared" si="57"/>
        <v>6.3584577473499979E-2</v>
      </c>
      <c r="J99" s="16">
        <f t="shared" si="57"/>
        <v>7.9124104940814982E-2</v>
      </c>
      <c r="K99" s="16">
        <f t="shared" si="57"/>
        <v>9.9170095373651318E-2</v>
      </c>
      <c r="L99" s="16">
        <f t="shared" si="57"/>
        <v>0.12502942303201023</v>
      </c>
      <c r="M99" s="16">
        <f t="shared" si="57"/>
        <v>0.15838795571129319</v>
      </c>
      <c r="N99" s="16">
        <f t="shared" si="57"/>
        <v>0.20142046286756818</v>
      </c>
    </row>
    <row r="100" spans="2:14" ht="14.25" x14ac:dyDescent="0.45">
      <c r="B100" s="167"/>
      <c r="C100" s="166"/>
      <c r="D100" s="15" t="s">
        <v>44</v>
      </c>
      <c r="E100" s="16"/>
      <c r="F100" s="16"/>
      <c r="G100" s="16"/>
      <c r="H100" s="16"/>
      <c r="I100" s="17">
        <f>AVERAGE(E99:I99)</f>
        <v>4.4326968924699992E-2</v>
      </c>
      <c r="J100" s="17"/>
      <c r="K100" s="17"/>
      <c r="L100" s="17"/>
      <c r="M100" s="17"/>
      <c r="N100" s="17">
        <f>AVERAGE(E99:N99)</f>
        <v>8.8476688654883784E-2</v>
      </c>
    </row>
    <row r="101" spans="2:14" ht="14.25" x14ac:dyDescent="0.45">
      <c r="B101" s="167"/>
      <c r="C101" s="167"/>
      <c r="D101" s="19" t="s">
        <v>45</v>
      </c>
      <c r="E101" s="23">
        <f t="shared" ref="E101:N101" si="58">E97*E$15</f>
        <v>29350</v>
      </c>
      <c r="F101" s="23">
        <f t="shared" si="58"/>
        <v>34961.5</v>
      </c>
      <c r="G101" s="23">
        <f>G97*G$15</f>
        <v>42200.334999999999</v>
      </c>
      <c r="H101" s="23">
        <f>H97*H$15</f>
        <v>51538.432149999993</v>
      </c>
      <c r="I101" s="23">
        <f>I97*I$15</f>
        <v>63584.577473499987</v>
      </c>
      <c r="J101" s="23">
        <f t="shared" si="58"/>
        <v>79124.104940814985</v>
      </c>
      <c r="K101" s="23">
        <f t="shared" si="58"/>
        <v>99170.095373651318</v>
      </c>
      <c r="L101" s="23">
        <f t="shared" si="58"/>
        <v>125029.42303201022</v>
      </c>
      <c r="M101" s="23">
        <f t="shared" si="58"/>
        <v>158387.95571129315</v>
      </c>
      <c r="N101" s="23">
        <f t="shared" si="58"/>
        <v>201420.46286756816</v>
      </c>
    </row>
    <row r="102" spans="2:14" ht="14.25" customHeight="1" x14ac:dyDescent="0.45">
      <c r="B102" s="167"/>
      <c r="C102" s="167"/>
      <c r="D102" s="19" t="s">
        <v>47</v>
      </c>
      <c r="E102" s="24"/>
      <c r="F102" s="24"/>
      <c r="G102" s="24"/>
      <c r="H102" s="24"/>
      <c r="I102" s="23">
        <f>AVERAGE(E101:I101)</f>
        <v>44326.968924699991</v>
      </c>
      <c r="J102" s="23"/>
      <c r="K102" s="23"/>
      <c r="L102" s="23"/>
      <c r="M102" s="23"/>
      <c r="N102" s="23">
        <f>AVERAGE(E101:N101)</f>
        <v>88476.688654883779</v>
      </c>
    </row>
    <row r="103" spans="2:14" ht="14.25" x14ac:dyDescent="0.45">
      <c r="B103" s="167"/>
      <c r="C103" s="167"/>
      <c r="D103" s="19" t="s">
        <v>46</v>
      </c>
      <c r="E103" s="24">
        <f>E101</f>
        <v>29350</v>
      </c>
      <c r="F103" s="24">
        <f t="shared" ref="F103:N103" si="59">E103+F101</f>
        <v>64311.5</v>
      </c>
      <c r="G103" s="24">
        <f>F103+G101</f>
        <v>106511.83499999999</v>
      </c>
      <c r="H103" s="24">
        <f t="shared" si="59"/>
        <v>158050.26714999997</v>
      </c>
      <c r="I103" s="24">
        <f t="shared" si="59"/>
        <v>221634.84462349996</v>
      </c>
      <c r="J103" s="24">
        <f>I103+J101</f>
        <v>300758.94956431491</v>
      </c>
      <c r="K103" s="24">
        <f t="shared" si="59"/>
        <v>399929.04493796622</v>
      </c>
      <c r="L103" s="24">
        <f t="shared" si="59"/>
        <v>524958.46796997648</v>
      </c>
      <c r="M103" s="24">
        <f t="shared" si="59"/>
        <v>683346.42368126963</v>
      </c>
      <c r="N103" s="24">
        <f t="shared" si="59"/>
        <v>884766.88654883776</v>
      </c>
    </row>
    <row r="104" spans="2:14" ht="14.25" x14ac:dyDescent="0.45">
      <c r="B104" s="167"/>
      <c r="C104" s="165" t="s">
        <v>35</v>
      </c>
      <c r="D104" s="15" t="s">
        <v>43</v>
      </c>
      <c r="E104" s="16">
        <f>E96*E$15/$E$4</f>
        <v>2.9350000000000001E-2</v>
      </c>
      <c r="F104" s="16">
        <f>F96*F$15/$E$4-E104</f>
        <v>4.3472999999999998E-2</v>
      </c>
      <c r="G104" s="16">
        <f>G96*G$15/$E$4-F104-E104</f>
        <v>6.3319005000000012E-2</v>
      </c>
      <c r="H104" s="16">
        <f>H96*H$15/$E$4-G104-F104-E104</f>
        <v>9.1019613599999993E-2</v>
      </c>
      <c r="I104" s="16">
        <f>I96*I$15/$E$4-H104-G104-F104-E104</f>
        <v>0.12946144686749989</v>
      </c>
      <c r="J104" s="16">
        <f>J96*J$15/$E$4-I104-H104-G104-F104-E104</f>
        <v>0.18254479392638989</v>
      </c>
      <c r="K104" s="16">
        <f>K96*K$15/$E$4-J104-I104-H104-G104-F104-E104</f>
        <v>0.25552877459787937</v>
      </c>
      <c r="L104" s="16">
        <f>L96*L$15/$E$4-K104-J104-I104-H104-G104-F104-E104</f>
        <v>0.35549144688962342</v>
      </c>
      <c r="M104" s="16">
        <f>M96*M$15/$E$4-L104-K104-J104-I104-H104-G104-F104-E104</f>
        <v>0.49194249916689692</v>
      </c>
      <c r="N104" s="16">
        <f>N96*N$15/$E$4-M104-L104-K104-J104-I104-H104-G104-F104-E104</f>
        <v>0.67763833108157179</v>
      </c>
    </row>
    <row r="105" spans="2:14" ht="14.25" x14ac:dyDescent="0.45">
      <c r="B105" s="167"/>
      <c r="C105" s="166"/>
      <c r="D105" s="15" t="s">
        <v>44</v>
      </c>
      <c r="E105" s="17"/>
      <c r="F105" s="17"/>
      <c r="G105" s="17"/>
      <c r="H105" s="17"/>
      <c r="I105" s="17">
        <f>AVERAGE(E104:I104)</f>
        <v>7.1324613093499981E-2</v>
      </c>
      <c r="J105" s="17"/>
      <c r="K105" s="17"/>
      <c r="L105" s="17"/>
      <c r="M105" s="17"/>
      <c r="N105" s="17">
        <f>AVERAGE(E104:N104)</f>
        <v>0.23197689111298617</v>
      </c>
    </row>
    <row r="106" spans="2:14" ht="14.25" x14ac:dyDescent="0.45">
      <c r="B106" s="167"/>
      <c r="C106" s="167"/>
      <c r="D106" s="19" t="s">
        <v>45</v>
      </c>
      <c r="E106" s="23">
        <f>E108</f>
        <v>29350</v>
      </c>
      <c r="F106" s="23">
        <f>F108-E108</f>
        <v>43473</v>
      </c>
      <c r="G106" s="23">
        <f>G108-F108</f>
        <v>63319.005000000005</v>
      </c>
      <c r="H106" s="23">
        <f>H108-G108</f>
        <v>91019.613599999982</v>
      </c>
      <c r="I106" s="23">
        <f>I108-H108</f>
        <v>129461.44686749997</v>
      </c>
      <c r="J106" s="23">
        <f>J108-I108</f>
        <v>182544.79392638995</v>
      </c>
      <c r="K106" s="23">
        <f t="shared" ref="K106:N106" si="60">K108-J108</f>
        <v>255528.77459787927</v>
      </c>
      <c r="L106" s="23">
        <f t="shared" si="60"/>
        <v>355491.44688962342</v>
      </c>
      <c r="M106" s="23">
        <f t="shared" si="60"/>
        <v>491942.4991668968</v>
      </c>
      <c r="N106" s="23">
        <f t="shared" si="60"/>
        <v>677638.33108157222</v>
      </c>
    </row>
    <row r="107" spans="2:14" ht="15" customHeight="1" x14ac:dyDescent="0.45">
      <c r="B107" s="167"/>
      <c r="C107" s="167"/>
      <c r="D107" s="19" t="s">
        <v>47</v>
      </c>
      <c r="E107" s="23"/>
      <c r="F107" s="23"/>
      <c r="G107" s="23"/>
      <c r="H107" s="23"/>
      <c r="I107" s="23">
        <f>AVERAGE(E106:I106)</f>
        <v>71324.613093499996</v>
      </c>
      <c r="J107" s="23"/>
      <c r="K107" s="23"/>
      <c r="L107" s="23"/>
      <c r="M107" s="23"/>
      <c r="N107" s="23">
        <f>AVERAGE(E106:N106)</f>
        <v>231976.89111298617</v>
      </c>
    </row>
    <row r="108" spans="2:14" ht="14.25" x14ac:dyDescent="0.45">
      <c r="B108" s="167"/>
      <c r="C108" s="167"/>
      <c r="D108" s="19" t="s">
        <v>46</v>
      </c>
      <c r="E108" s="24">
        <f t="shared" ref="E108:N108" si="61">E98*E$15</f>
        <v>29350</v>
      </c>
      <c r="F108" s="24">
        <f t="shared" si="61"/>
        <v>72823</v>
      </c>
      <c r="G108" s="24">
        <f>G98*G$15</f>
        <v>136142.005</v>
      </c>
      <c r="H108" s="24">
        <f>H98*H$15</f>
        <v>227161.61859999999</v>
      </c>
      <c r="I108" s="24">
        <f>I98*I$15</f>
        <v>356623.06546749995</v>
      </c>
      <c r="J108" s="24">
        <f t="shared" si="61"/>
        <v>539167.8593938899</v>
      </c>
      <c r="K108" s="24">
        <f t="shared" si="61"/>
        <v>794696.63399176917</v>
      </c>
      <c r="L108" s="24">
        <f t="shared" si="61"/>
        <v>1150188.0808813926</v>
      </c>
      <c r="M108" s="24">
        <f t="shared" si="61"/>
        <v>1642130.5800482894</v>
      </c>
      <c r="N108" s="24">
        <f t="shared" si="61"/>
        <v>2319768.9111298616</v>
      </c>
    </row>
    <row r="109" spans="2:14" ht="14.25" x14ac:dyDescent="0.45">
      <c r="B109" s="167" t="s">
        <v>18</v>
      </c>
      <c r="C109" s="166" t="s">
        <v>32</v>
      </c>
      <c r="D109" s="15" t="s">
        <v>43</v>
      </c>
      <c r="E109" s="16">
        <f>E66+E79+E94-E34-E50</f>
        <v>0.26011627906976742</v>
      </c>
      <c r="F109" s="16">
        <f t="shared" ref="F109:N109" si="62">F66+F79+F94-F34-F50</f>
        <v>0.21175680548043985</v>
      </c>
      <c r="G109" s="16">
        <f t="shared" si="62"/>
        <v>0.17426884145770527</v>
      </c>
      <c r="H109" s="16">
        <f t="shared" si="62"/>
        <v>0.14520840423077941</v>
      </c>
      <c r="I109" s="16">
        <f t="shared" si="62"/>
        <v>0.12268093351223193</v>
      </c>
      <c r="J109" s="16">
        <f t="shared" si="62"/>
        <v>0.10521777791645896</v>
      </c>
      <c r="K109" s="16">
        <f t="shared" si="62"/>
        <v>9.1680447997255041E-2</v>
      </c>
      <c r="L109" s="16">
        <f t="shared" si="62"/>
        <v>8.1186393796321588E-2</v>
      </c>
      <c r="M109" s="16">
        <f t="shared" si="62"/>
        <v>7.3051468059164196E-2</v>
      </c>
      <c r="N109" s="16">
        <f t="shared" si="62"/>
        <v>6.6745324076871337E-2</v>
      </c>
    </row>
    <row r="110" spans="2:14" ht="14.25" x14ac:dyDescent="0.45">
      <c r="B110" s="167"/>
      <c r="C110" s="166"/>
      <c r="D110" s="15" t="s">
        <v>44</v>
      </c>
      <c r="E110" s="16"/>
      <c r="F110" s="16"/>
      <c r="G110" s="16"/>
      <c r="H110" s="16"/>
      <c r="I110" s="38">
        <f>AVERAGE(E109:I109)</f>
        <v>0.18280625275018478</v>
      </c>
      <c r="J110" s="16"/>
      <c r="K110" s="16"/>
      <c r="L110" s="16"/>
      <c r="M110" s="16"/>
      <c r="N110" s="17">
        <f>AVERAGE(E109:N109)</f>
        <v>0.13319126755969951</v>
      </c>
    </row>
    <row r="111" spans="2:14" ht="14.25" x14ac:dyDescent="0.45">
      <c r="B111" s="167"/>
      <c r="C111" s="166"/>
      <c r="D111" s="15" t="s">
        <v>42</v>
      </c>
      <c r="E111" s="16">
        <f>E68+E81+E96-E36-E52</f>
        <v>0.26011627906976742</v>
      </c>
      <c r="F111" s="16">
        <f t="shared" ref="F111:N111" si="63">F68+F81+F96-F36-F52</f>
        <v>0.47187308455020727</v>
      </c>
      <c r="G111" s="16">
        <f t="shared" si="63"/>
        <v>0.64614192600791243</v>
      </c>
      <c r="H111" s="16">
        <f t="shared" si="63"/>
        <v>0.79135033023869228</v>
      </c>
      <c r="I111" s="16">
        <f t="shared" si="63"/>
        <v>0.91403126375092381</v>
      </c>
      <c r="J111" s="16">
        <f t="shared" si="63"/>
        <v>1.0192490416673827</v>
      </c>
      <c r="K111" s="16">
        <f t="shared" si="63"/>
        <v>1.1109294896646382</v>
      </c>
      <c r="L111" s="16">
        <f t="shared" si="63"/>
        <v>1.1921158834609586</v>
      </c>
      <c r="M111" s="16">
        <f t="shared" si="63"/>
        <v>1.2651673515201249</v>
      </c>
      <c r="N111" s="16">
        <f t="shared" si="63"/>
        <v>1.3319126755969939</v>
      </c>
    </row>
    <row r="112" spans="2:14" ht="14.25" x14ac:dyDescent="0.45">
      <c r="B112" s="167"/>
      <c r="C112" s="167"/>
      <c r="D112" s="19" t="s">
        <v>45</v>
      </c>
      <c r="E112" s="20">
        <f>10*E109</f>
        <v>2.601162790697674</v>
      </c>
      <c r="F112" s="20">
        <f t="shared" ref="F112:N112" si="64">10*F109</f>
        <v>2.1175680548043987</v>
      </c>
      <c r="G112" s="20">
        <f t="shared" si="64"/>
        <v>1.7426884145770527</v>
      </c>
      <c r="H112" s="20">
        <f t="shared" si="64"/>
        <v>1.4520840423077941</v>
      </c>
      <c r="I112" s="20">
        <f t="shared" si="64"/>
        <v>1.2268093351223193</v>
      </c>
      <c r="J112" s="20">
        <f t="shared" si="64"/>
        <v>1.0521777791645897</v>
      </c>
      <c r="K112" s="20">
        <f t="shared" si="64"/>
        <v>0.91680447997255043</v>
      </c>
      <c r="L112" s="20">
        <f t="shared" si="64"/>
        <v>0.81186393796321588</v>
      </c>
      <c r="M112" s="20">
        <f t="shared" si="64"/>
        <v>0.73051468059164193</v>
      </c>
      <c r="N112" s="20">
        <f t="shared" si="64"/>
        <v>0.66745324076871337</v>
      </c>
    </row>
    <row r="113" spans="1:16" ht="14.25" x14ac:dyDescent="0.45">
      <c r="B113" s="167"/>
      <c r="C113" s="167"/>
      <c r="D113" s="19" t="s">
        <v>46</v>
      </c>
      <c r="E113" s="20">
        <f>10*E111</f>
        <v>2.601162790697674</v>
      </c>
      <c r="F113" s="20">
        <f>10*F111</f>
        <v>4.7187308455020727</v>
      </c>
      <c r="G113" s="20">
        <f>10*G111</f>
        <v>6.4614192600791238</v>
      </c>
      <c r="H113" s="20">
        <f t="shared" ref="H113:N113" si="65">10*H111</f>
        <v>7.913503302386923</v>
      </c>
      <c r="I113" s="20">
        <f t="shared" si="65"/>
        <v>9.1403126375092381</v>
      </c>
      <c r="J113" s="20">
        <f t="shared" si="65"/>
        <v>10.192490416673827</v>
      </c>
      <c r="K113" s="20">
        <f t="shared" si="65"/>
        <v>11.109294896646382</v>
      </c>
      <c r="L113" s="20">
        <f t="shared" si="65"/>
        <v>11.921158834609587</v>
      </c>
      <c r="M113" s="20">
        <f t="shared" si="65"/>
        <v>12.651673515201249</v>
      </c>
      <c r="N113" s="20">
        <f t="shared" si="65"/>
        <v>13.31912675596994</v>
      </c>
    </row>
    <row r="114" spans="1:16" ht="14.25" x14ac:dyDescent="0.45">
      <c r="B114" s="167"/>
      <c r="C114" s="165" t="s">
        <v>36</v>
      </c>
      <c r="D114" s="15" t="s">
        <v>43</v>
      </c>
      <c r="E114" s="16">
        <f>E71+E84+E99-E39-E55</f>
        <v>0.33555000000000001</v>
      </c>
      <c r="F114" s="16">
        <f t="shared" ref="F114:N114" si="66">F71+F84+F99-F39-F55</f>
        <v>0.35238449999999999</v>
      </c>
      <c r="G114" s="16">
        <f t="shared" si="66"/>
        <v>0.37410100499999976</v>
      </c>
      <c r="H114" s="16">
        <f t="shared" si="66"/>
        <v>0.40211529645000021</v>
      </c>
      <c r="I114" s="16">
        <f t="shared" si="66"/>
        <v>0.43825373242049959</v>
      </c>
      <c r="J114" s="16">
        <f t="shared" si="66"/>
        <v>0.48487231482244486</v>
      </c>
      <c r="K114" s="16">
        <f t="shared" si="66"/>
        <v>0.54501028612095415</v>
      </c>
      <c r="L114" s="16">
        <f t="shared" si="66"/>
        <v>0.62258826909602971</v>
      </c>
      <c r="M114" s="16">
        <f t="shared" si="66"/>
        <v>0.72266386713388042</v>
      </c>
      <c r="N114" s="16">
        <f t="shared" si="66"/>
        <v>0.85176138860270356</v>
      </c>
    </row>
    <row r="115" spans="1:16" ht="14.25" x14ac:dyDescent="0.45">
      <c r="B115" s="167"/>
      <c r="C115" s="166"/>
      <c r="D115" s="15" t="s">
        <v>44</v>
      </c>
      <c r="E115" s="16"/>
      <c r="F115" s="16"/>
      <c r="G115" s="16"/>
      <c r="H115" s="16"/>
      <c r="I115" s="17">
        <f>AVERAGE(E114:I114)</f>
        <v>0.38048090677409996</v>
      </c>
      <c r="J115" s="17"/>
      <c r="K115" s="17"/>
      <c r="L115" s="17"/>
      <c r="M115" s="17"/>
      <c r="N115" s="17">
        <f>AVERAGE(E114:N114)</f>
        <v>0.51293006596465118</v>
      </c>
    </row>
    <row r="116" spans="1:16" ht="14.25" x14ac:dyDescent="0.45">
      <c r="B116" s="167"/>
      <c r="C116" s="167"/>
      <c r="D116" s="19" t="s">
        <v>45</v>
      </c>
      <c r="E116" s="22">
        <f t="shared" ref="E116:N116" si="67">E112*E$15</f>
        <v>335549.99999999994</v>
      </c>
      <c r="F116" s="22">
        <f t="shared" si="67"/>
        <v>352384.5</v>
      </c>
      <c r="G116" s="22">
        <f>G112*G$15</f>
        <v>374101.00499999983</v>
      </c>
      <c r="H116" s="22">
        <f>H112*H$15</f>
        <v>402115.2964500002</v>
      </c>
      <c r="I116" s="22">
        <f>I112*I$15</f>
        <v>438253.73242049955</v>
      </c>
      <c r="J116" s="22">
        <f t="shared" si="67"/>
        <v>484872.31482244498</v>
      </c>
      <c r="K116" s="22">
        <f t="shared" si="67"/>
        <v>545010.2861209542</v>
      </c>
      <c r="L116" s="22">
        <f t="shared" si="67"/>
        <v>622588.26909602969</v>
      </c>
      <c r="M116" s="22">
        <f t="shared" si="67"/>
        <v>722663.86713388027</v>
      </c>
      <c r="N116" s="22">
        <f t="shared" si="67"/>
        <v>851761.38860270369</v>
      </c>
    </row>
    <row r="117" spans="1:16" ht="14.25" x14ac:dyDescent="0.45">
      <c r="B117" s="167"/>
      <c r="C117" s="167"/>
      <c r="D117" s="19" t="s">
        <v>47</v>
      </c>
      <c r="E117" s="21"/>
      <c r="F117" s="21"/>
      <c r="G117" s="21"/>
      <c r="H117" s="21"/>
      <c r="I117" s="22">
        <f>AVERAGE(E116:I116)</f>
        <v>380480.90677409992</v>
      </c>
      <c r="J117" s="22"/>
      <c r="K117" s="22"/>
      <c r="L117" s="22"/>
      <c r="M117" s="22"/>
      <c r="N117" s="22">
        <f>AVERAGE(E116:N116)</f>
        <v>512930.06596465129</v>
      </c>
    </row>
    <row r="118" spans="1:16" ht="14.25" x14ac:dyDescent="0.45">
      <c r="B118" s="167"/>
      <c r="C118" s="167"/>
      <c r="D118" s="19" t="s">
        <v>46</v>
      </c>
      <c r="E118" s="21">
        <f>E116</f>
        <v>335549.99999999994</v>
      </c>
      <c r="F118" s="21">
        <f t="shared" ref="F118:N118" si="68">E118+F116</f>
        <v>687934.5</v>
      </c>
      <c r="G118" s="21">
        <f>F118+G116</f>
        <v>1062035.5049999999</v>
      </c>
      <c r="H118" s="21">
        <f t="shared" si="68"/>
        <v>1464150.8014500001</v>
      </c>
      <c r="I118" s="21">
        <f t="shared" si="68"/>
        <v>1902404.5338704996</v>
      </c>
      <c r="J118" s="21">
        <f>I118+J116</f>
        <v>2387276.8486929447</v>
      </c>
      <c r="K118" s="21">
        <f t="shared" si="68"/>
        <v>2932287.1348138992</v>
      </c>
      <c r="L118" s="21">
        <f t="shared" si="68"/>
        <v>3554875.4039099291</v>
      </c>
      <c r="M118" s="21">
        <f t="shared" si="68"/>
        <v>4277539.2710438091</v>
      </c>
      <c r="N118" s="21">
        <f t="shared" si="68"/>
        <v>5129300.6596465129</v>
      </c>
    </row>
    <row r="119" spans="1:16" ht="15" customHeight="1" x14ac:dyDescent="0.45">
      <c r="B119" s="167"/>
      <c r="C119" s="165" t="s">
        <v>35</v>
      </c>
      <c r="D119" s="15" t="s">
        <v>43</v>
      </c>
      <c r="E119" s="16">
        <f>E74+E89+E104-E42-E58</f>
        <v>0.33555000000000001</v>
      </c>
      <c r="F119" s="16">
        <f t="shared" ref="F119:N119" si="69">F74+F89+F104-F42-F58</f>
        <v>0.44969399999999982</v>
      </c>
      <c r="G119" s="16">
        <f t="shared" si="69"/>
        <v>0.60182176499999973</v>
      </c>
      <c r="H119" s="16">
        <f t="shared" si="69"/>
        <v>0.80436436830000069</v>
      </c>
      <c r="I119" s="16">
        <f t="shared" si="69"/>
        <v>1.0737684710774977</v>
      </c>
      <c r="J119" s="16">
        <f t="shared" si="69"/>
        <v>1.4317799100919197</v>
      </c>
      <c r="K119" s="16">
        <f t="shared" si="69"/>
        <v>1.9071340553170888</v>
      </c>
      <c r="L119" s="16">
        <f t="shared" si="69"/>
        <v>2.5377809143341064</v>
      </c>
      <c r="M119" s="16">
        <f t="shared" si="69"/>
        <v>3.3738129775288801</v>
      </c>
      <c r="N119" s="16">
        <f t="shared" si="69"/>
        <v>4.4813162624810241</v>
      </c>
    </row>
    <row r="120" spans="1:16" ht="15" customHeight="1" x14ac:dyDescent="0.45">
      <c r="B120" s="167"/>
      <c r="C120" s="166"/>
      <c r="D120" s="15" t="s">
        <v>44</v>
      </c>
      <c r="E120" s="17"/>
      <c r="F120" s="17"/>
      <c r="G120" s="17"/>
      <c r="H120" s="17"/>
      <c r="I120" s="17">
        <f>AVERAGE(E119:I119)</f>
        <v>0.65303972087549966</v>
      </c>
      <c r="J120" s="17"/>
      <c r="K120" s="17"/>
      <c r="L120" s="17"/>
      <c r="M120" s="17"/>
      <c r="N120" s="17">
        <f>AVERAGE(E119:N119)</f>
        <v>1.6997022724130517</v>
      </c>
    </row>
    <row r="121" spans="1:16" ht="15" customHeight="1" x14ac:dyDescent="0.45">
      <c r="B121" s="167"/>
      <c r="C121" s="167"/>
      <c r="D121" s="19" t="s">
        <v>45</v>
      </c>
      <c r="E121" s="22">
        <f>E123</f>
        <v>335549.99999999994</v>
      </c>
      <c r="F121" s="22">
        <f>F123-E123</f>
        <v>449693.99999999994</v>
      </c>
      <c r="G121" s="22">
        <f>G123-F123</f>
        <v>601821.76499999955</v>
      </c>
      <c r="H121" s="22">
        <f t="shared" ref="H121:N121" si="70">H123-G123</f>
        <v>804364.36830000137</v>
      </c>
      <c r="I121" s="22">
        <f t="shared" si="70"/>
        <v>1073768.471077498</v>
      </c>
      <c r="J121" s="22">
        <f>J123-I123</f>
        <v>1431779.9100919189</v>
      </c>
      <c r="K121" s="22">
        <f t="shared" si="70"/>
        <v>1907134.055317088</v>
      </c>
      <c r="L121" s="22">
        <f t="shared" si="70"/>
        <v>2537780.9143341091</v>
      </c>
      <c r="M121" s="22">
        <f t="shared" si="70"/>
        <v>3373812.9775288776</v>
      </c>
      <c r="N121" s="22">
        <f t="shared" si="70"/>
        <v>4481316.2624810264</v>
      </c>
    </row>
    <row r="122" spans="1:16" ht="15" customHeight="1" x14ac:dyDescent="0.45">
      <c r="A122" s="8"/>
      <c r="B122" s="167"/>
      <c r="C122" s="167"/>
      <c r="D122" s="19" t="s">
        <v>47</v>
      </c>
      <c r="E122" s="22"/>
      <c r="F122" s="22"/>
      <c r="G122" s="22"/>
      <c r="H122" s="22"/>
      <c r="I122" s="22">
        <f>AVERAGE(E121:I121)</f>
        <v>653039.72087549977</v>
      </c>
      <c r="J122" s="22"/>
      <c r="K122" s="22"/>
      <c r="L122" s="22"/>
      <c r="M122" s="22"/>
      <c r="N122" s="22">
        <f>AVERAGE(E121:N121)</f>
        <v>1699702.2724130519</v>
      </c>
      <c r="O122" s="8"/>
      <c r="P122" s="8"/>
    </row>
    <row r="123" spans="1:16" ht="15" customHeight="1" x14ac:dyDescent="0.45">
      <c r="B123" s="167"/>
      <c r="C123" s="167"/>
      <c r="D123" s="19" t="s">
        <v>46</v>
      </c>
      <c r="E123" s="21">
        <f t="shared" ref="E123:N123" si="71">E113*E$15</f>
        <v>335549.99999999994</v>
      </c>
      <c r="F123" s="21">
        <f t="shared" si="71"/>
        <v>785243.99999999988</v>
      </c>
      <c r="G123" s="21">
        <f>G113*G$15</f>
        <v>1387065.7649999994</v>
      </c>
      <c r="H123" s="21">
        <f>H113*H$15</f>
        <v>2191430.1333000008</v>
      </c>
      <c r="I123" s="21">
        <f>I113*I$15</f>
        <v>3265198.6043774989</v>
      </c>
      <c r="J123" s="21">
        <f t="shared" si="71"/>
        <v>4696978.5144694177</v>
      </c>
      <c r="K123" s="21">
        <f t="shared" si="71"/>
        <v>6604112.5697865058</v>
      </c>
      <c r="L123" s="21">
        <f t="shared" si="71"/>
        <v>9141893.4841206148</v>
      </c>
      <c r="M123" s="21">
        <f t="shared" si="71"/>
        <v>12515706.461649492</v>
      </c>
      <c r="N123" s="21">
        <f t="shared" si="71"/>
        <v>16997022.724130519</v>
      </c>
    </row>
    <row r="124" spans="1:16" ht="15" customHeight="1" x14ac:dyDescent="0.45">
      <c r="B124" s="1"/>
      <c r="C124" s="1"/>
      <c r="D124" s="40"/>
      <c r="E124" s="10"/>
      <c r="F124" s="10"/>
      <c r="G124" s="10"/>
      <c r="H124" s="10"/>
      <c r="I124" s="10"/>
      <c r="J124" s="10"/>
      <c r="K124" s="10"/>
      <c r="L124" s="10"/>
      <c r="M124" s="10"/>
      <c r="N124" s="10"/>
    </row>
    <row r="125" spans="1:16"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6" ht="15" customHeight="1" x14ac:dyDescent="0.45">
      <c r="B126" s="151"/>
      <c r="C126" s="153"/>
      <c r="D126" s="153"/>
      <c r="E126" s="149"/>
      <c r="F126" s="149"/>
      <c r="G126" s="149"/>
      <c r="H126" s="149"/>
      <c r="I126" s="149"/>
      <c r="J126" s="149"/>
      <c r="K126" s="149"/>
      <c r="L126" s="149"/>
      <c r="M126" s="149"/>
      <c r="N126" s="149"/>
    </row>
    <row r="127" spans="1:16" ht="15" customHeight="1" x14ac:dyDescent="0.45">
      <c r="B127" s="158" t="s">
        <v>141</v>
      </c>
      <c r="C127" s="156">
        <v>20000</v>
      </c>
      <c r="D127" s="44" t="s">
        <v>19</v>
      </c>
      <c r="E127" s="27">
        <f t="shared" ref="E127:N127" si="72">E$53/10*$C127/(2+$E$11)</f>
        <v>542.63565891472865</v>
      </c>
      <c r="F127" s="27">
        <f t="shared" si="72"/>
        <v>420.64779760831681</v>
      </c>
      <c r="G127" s="27">
        <f t="shared" si="72"/>
        <v>326.08356403745495</v>
      </c>
      <c r="H127" s="27">
        <f t="shared" si="72"/>
        <v>252.77795661818209</v>
      </c>
      <c r="I127" s="27">
        <f t="shared" si="72"/>
        <v>195.95190435517995</v>
      </c>
      <c r="J127" s="27">
        <f t="shared" si="72"/>
        <v>151.90070105052712</v>
      </c>
      <c r="K127" s="27">
        <f t="shared" si="72"/>
        <v>117.75248143451714</v>
      </c>
      <c r="L127" s="27">
        <f t="shared" si="72"/>
        <v>91.28099336009079</v>
      </c>
      <c r="M127" s="27">
        <f t="shared" si="72"/>
        <v>70.760459969062623</v>
      </c>
      <c r="N127" s="27">
        <f t="shared" si="72"/>
        <v>54.8530697434594</v>
      </c>
    </row>
    <row r="128" spans="1:16" ht="15" customHeight="1" x14ac:dyDescent="0.45">
      <c r="B128" s="159"/>
      <c r="C128" s="156"/>
      <c r="D128" s="19" t="s">
        <v>22</v>
      </c>
      <c r="E128" s="27"/>
      <c r="F128" s="27"/>
      <c r="G128" s="27"/>
      <c r="H128" s="27"/>
      <c r="I128" s="28">
        <f>AVERAGE(E127:I127)</f>
        <v>347.61937630677249</v>
      </c>
      <c r="J128" s="27"/>
      <c r="K128" s="27"/>
      <c r="L128" s="27"/>
      <c r="M128" s="27"/>
      <c r="N128" s="27">
        <f>AVERAGE(E127:N127)</f>
        <v>222.46445870915196</v>
      </c>
    </row>
    <row r="129" spans="2:14" ht="15" customHeight="1" x14ac:dyDescent="0.45">
      <c r="B129" s="159"/>
      <c r="C129" s="156"/>
      <c r="D129" s="19" t="s">
        <v>41</v>
      </c>
      <c r="E129" s="27">
        <f t="shared" ref="E129:N129" si="73">E$54/10*$C127/(2+$E$11)</f>
        <v>542.63565891472865</v>
      </c>
      <c r="F129" s="27">
        <f t="shared" si="73"/>
        <v>963.28345652304574</v>
      </c>
      <c r="G129" s="27">
        <f t="shared" si="73"/>
        <v>1289.3670205605008</v>
      </c>
      <c r="H129" s="27">
        <f t="shared" si="73"/>
        <v>1542.1449771786815</v>
      </c>
      <c r="I129" s="28">
        <f t="shared" si="73"/>
        <v>1738.0968815338638</v>
      </c>
      <c r="J129" s="27">
        <f t="shared" si="73"/>
        <v>1889.9975825843896</v>
      </c>
      <c r="K129" s="27">
        <f t="shared" si="73"/>
        <v>2007.7500640189051</v>
      </c>
      <c r="L129" s="27">
        <f t="shared" si="73"/>
        <v>2099.0310573790016</v>
      </c>
      <c r="M129" s="27">
        <f t="shared" si="73"/>
        <v>2169.7915173480555</v>
      </c>
      <c r="N129" s="27">
        <f t="shared" si="73"/>
        <v>2224.644587091524</v>
      </c>
    </row>
    <row r="130" spans="2:14" ht="15" customHeight="1" x14ac:dyDescent="0.45">
      <c r="B130" s="159"/>
      <c r="C130" s="156">
        <v>400000</v>
      </c>
      <c r="D130" s="44" t="s">
        <v>19</v>
      </c>
      <c r="E130" s="27">
        <f t="shared" ref="E130:N130" si="74">E$53/10*$C130/(2+$E$11)</f>
        <v>10852.713178294573</v>
      </c>
      <c r="F130" s="27">
        <f t="shared" si="74"/>
        <v>8412.9559521663359</v>
      </c>
      <c r="G130" s="27">
        <f t="shared" si="74"/>
        <v>6521.6712807490985</v>
      </c>
      <c r="H130" s="27">
        <f t="shared" si="74"/>
        <v>5055.5591323636418</v>
      </c>
      <c r="I130" s="27">
        <f t="shared" si="74"/>
        <v>3919.0380871035986</v>
      </c>
      <c r="J130" s="27">
        <f t="shared" si="74"/>
        <v>3038.0140210105424</v>
      </c>
      <c r="K130" s="27">
        <f t="shared" si="74"/>
        <v>2355.0496286903426</v>
      </c>
      <c r="L130" s="27">
        <f t="shared" si="74"/>
        <v>1825.6198672018159</v>
      </c>
      <c r="M130" s="27">
        <f t="shared" si="74"/>
        <v>1415.2091993812526</v>
      </c>
      <c r="N130" s="27">
        <f t="shared" si="74"/>
        <v>1097.061394869188</v>
      </c>
    </row>
    <row r="131" spans="2:14" ht="15" customHeight="1" x14ac:dyDescent="0.45">
      <c r="B131" s="159"/>
      <c r="C131" s="156"/>
      <c r="D131" s="19" t="s">
        <v>22</v>
      </c>
      <c r="E131" s="27"/>
      <c r="F131" s="27"/>
      <c r="G131" s="27"/>
      <c r="H131" s="27"/>
      <c r="I131" s="28">
        <f>AVERAGE(E130:I130)</f>
        <v>6952.3875261354497</v>
      </c>
      <c r="J131" s="27"/>
      <c r="K131" s="27"/>
      <c r="L131" s="27"/>
      <c r="M131" s="27"/>
      <c r="N131" s="27">
        <f>AVERAGE(E130:N130)</f>
        <v>4449.289174183039</v>
      </c>
    </row>
    <row r="132" spans="2:14" ht="15" customHeight="1" x14ac:dyDescent="0.45">
      <c r="B132" s="159"/>
      <c r="C132" s="156"/>
      <c r="D132" s="19" t="s">
        <v>41</v>
      </c>
      <c r="E132" s="27">
        <f t="shared" ref="E132:N132" si="75">E$54/10*$C130/(2+$E$11)</f>
        <v>10852.713178294573</v>
      </c>
      <c r="F132" s="27">
        <f t="shared" si="75"/>
        <v>19265.669130460916</v>
      </c>
      <c r="G132" s="27">
        <f t="shared" si="75"/>
        <v>25787.340411210018</v>
      </c>
      <c r="H132" s="27">
        <f t="shared" si="75"/>
        <v>30842.899543573632</v>
      </c>
      <c r="I132" s="28">
        <f t="shared" si="75"/>
        <v>34761.937630677276</v>
      </c>
      <c r="J132" s="27">
        <f t="shared" si="75"/>
        <v>37799.951651687792</v>
      </c>
      <c r="K132" s="27">
        <f t="shared" si="75"/>
        <v>40155.001280378099</v>
      </c>
      <c r="L132" s="27">
        <f t="shared" si="75"/>
        <v>41980.62114758003</v>
      </c>
      <c r="M132" s="27">
        <f t="shared" si="75"/>
        <v>43395.830346961113</v>
      </c>
      <c r="N132" s="27">
        <f t="shared" si="75"/>
        <v>44492.891741830492</v>
      </c>
    </row>
    <row r="133" spans="2:14" ht="15" customHeight="1" x14ac:dyDescent="0.45">
      <c r="B133" s="159"/>
      <c r="C133" s="157">
        <v>1000000</v>
      </c>
      <c r="D133" s="15" t="s">
        <v>19</v>
      </c>
      <c r="E133" s="29">
        <f t="shared" ref="E133:N133" si="76">E$53/10*$C133/(2+$E$11)</f>
        <v>27131.782945736435</v>
      </c>
      <c r="F133" s="29">
        <f t="shared" si="76"/>
        <v>21032.389880415842</v>
      </c>
      <c r="G133" s="29">
        <f t="shared" si="76"/>
        <v>16304.178201872744</v>
      </c>
      <c r="H133" s="29">
        <f t="shared" si="76"/>
        <v>12638.897830909105</v>
      </c>
      <c r="I133" s="29">
        <f t="shared" si="76"/>
        <v>9797.595217758997</v>
      </c>
      <c r="J133" s="29">
        <f t="shared" si="76"/>
        <v>7595.0350525263548</v>
      </c>
      <c r="K133" s="29">
        <f t="shared" si="76"/>
        <v>5887.624071725857</v>
      </c>
      <c r="L133" s="29">
        <f t="shared" si="76"/>
        <v>4564.0496680045399</v>
      </c>
      <c r="M133" s="29">
        <f t="shared" si="76"/>
        <v>3538.0229984531315</v>
      </c>
      <c r="N133" s="29">
        <f t="shared" si="76"/>
        <v>2742.65348717297</v>
      </c>
    </row>
    <row r="134" spans="2:14" ht="15" customHeight="1" x14ac:dyDescent="0.45">
      <c r="B134" s="159"/>
      <c r="C134" s="157"/>
      <c r="D134" s="15" t="s">
        <v>22</v>
      </c>
      <c r="E134" s="29"/>
      <c r="F134" s="29"/>
      <c r="G134" s="29"/>
      <c r="H134" s="29"/>
      <c r="I134" s="30">
        <f>AVERAGE(E133:I133)</f>
        <v>17380.968815338627</v>
      </c>
      <c r="J134" s="29"/>
      <c r="K134" s="29"/>
      <c r="L134" s="29"/>
      <c r="M134" s="29"/>
      <c r="N134" s="29">
        <f>AVERAGE(E133:N133)</f>
        <v>11123.222935457599</v>
      </c>
    </row>
    <row r="135" spans="2:14" ht="15" customHeight="1" x14ac:dyDescent="0.45">
      <c r="B135" s="160"/>
      <c r="C135" s="157"/>
      <c r="D135" s="15" t="s">
        <v>41</v>
      </c>
      <c r="E135" s="29">
        <f t="shared" ref="E135:N135" si="77">E$54/10*$C133/(2+$E$11)</f>
        <v>27131.782945736435</v>
      </c>
      <c r="F135" s="29">
        <f t="shared" si="77"/>
        <v>48164.17282615228</v>
      </c>
      <c r="G135" s="29">
        <f t="shared" si="77"/>
        <v>64468.351028025034</v>
      </c>
      <c r="H135" s="29">
        <f t="shared" si="77"/>
        <v>77107.248858934079</v>
      </c>
      <c r="I135" s="30">
        <f t="shared" si="77"/>
        <v>86904.844076693189</v>
      </c>
      <c r="J135" s="29">
        <f t="shared" si="77"/>
        <v>94499.87912921948</v>
      </c>
      <c r="K135" s="29">
        <f t="shared" si="77"/>
        <v>100387.50320094524</v>
      </c>
      <c r="L135" s="29">
        <f t="shared" si="77"/>
        <v>104951.55286895009</v>
      </c>
      <c r="M135" s="29">
        <f t="shared" si="77"/>
        <v>108489.57586740279</v>
      </c>
      <c r="N135" s="29">
        <f t="shared" si="77"/>
        <v>111232.22935457621</v>
      </c>
    </row>
    <row r="136" spans="2:14" ht="15" customHeight="1" x14ac:dyDescent="0.45">
      <c r="B136" s="3"/>
      <c r="C136" s="1"/>
      <c r="D136" s="40"/>
      <c r="E136" s="10"/>
      <c r="F136" s="10"/>
      <c r="G136" s="10"/>
      <c r="H136" s="10"/>
      <c r="I136" s="10"/>
      <c r="J136" s="10"/>
      <c r="K136" s="10"/>
      <c r="L136" s="10"/>
      <c r="M136" s="10"/>
      <c r="N136" s="10"/>
    </row>
  </sheetData>
  <mergeCells count="105">
    <mergeCell ref="B13:B14"/>
    <mergeCell ref="C13:C14"/>
    <mergeCell ref="D13:D14"/>
    <mergeCell ref="E13:E14"/>
    <mergeCell ref="F13:F14"/>
    <mergeCell ref="G13:G14"/>
    <mergeCell ref="H13:H14"/>
    <mergeCell ref="I13:I14"/>
    <mergeCell ref="J13:J14"/>
    <mergeCell ref="K13:K14"/>
    <mergeCell ref="L13:L14"/>
    <mergeCell ref="M13:M14"/>
    <mergeCell ref="N13:N14"/>
    <mergeCell ref="B64:B65"/>
    <mergeCell ref="C64:C65"/>
    <mergeCell ref="D64:D65"/>
    <mergeCell ref="E64:E65"/>
    <mergeCell ref="F64:F65"/>
    <mergeCell ref="D2:E3"/>
    <mergeCell ref="G2:I3"/>
    <mergeCell ref="K2:N2"/>
    <mergeCell ref="B2:C11"/>
    <mergeCell ref="B94:B108"/>
    <mergeCell ref="C94:C98"/>
    <mergeCell ref="C99:C103"/>
    <mergeCell ref="C104:C108"/>
    <mergeCell ref="B109:B123"/>
    <mergeCell ref="C109:C113"/>
    <mergeCell ref="C114:C118"/>
    <mergeCell ref="B15:B16"/>
    <mergeCell ref="C15:C16"/>
    <mergeCell ref="B25:B27"/>
    <mergeCell ref="C25:C27"/>
    <mergeCell ref="B17:B24"/>
    <mergeCell ref="C17:C24"/>
    <mergeCell ref="B28:B30"/>
    <mergeCell ref="C28:C30"/>
    <mergeCell ref="B32:B33"/>
    <mergeCell ref="C32:C33"/>
    <mergeCell ref="D32:D33"/>
    <mergeCell ref="E32:E33"/>
    <mergeCell ref="F32:F33"/>
    <mergeCell ref="G32:G33"/>
    <mergeCell ref="H32:H33"/>
    <mergeCell ref="I32:I33"/>
    <mergeCell ref="J32:J33"/>
    <mergeCell ref="K32:K33"/>
    <mergeCell ref="L32:L33"/>
    <mergeCell ref="M32:M33"/>
    <mergeCell ref="N32:N33"/>
    <mergeCell ref="B34:B46"/>
    <mergeCell ref="C34:C38"/>
    <mergeCell ref="C39:C41"/>
    <mergeCell ref="C42:C46"/>
    <mergeCell ref="B48:B49"/>
    <mergeCell ref="C48:C49"/>
    <mergeCell ref="D48:D49"/>
    <mergeCell ref="E48:E49"/>
    <mergeCell ref="F48:F49"/>
    <mergeCell ref="G48:G49"/>
    <mergeCell ref="H48:H49"/>
    <mergeCell ref="I48:I49"/>
    <mergeCell ref="J48:J49"/>
    <mergeCell ref="K48:K49"/>
    <mergeCell ref="L48:L49"/>
    <mergeCell ref="M48:M49"/>
    <mergeCell ref="N48:N49"/>
    <mergeCell ref="B50:B62"/>
    <mergeCell ref="C50:C54"/>
    <mergeCell ref="C55:C57"/>
    <mergeCell ref="C58:C62"/>
    <mergeCell ref="G64:G65"/>
    <mergeCell ref="H64:H65"/>
    <mergeCell ref="I64:I65"/>
    <mergeCell ref="J64:J65"/>
    <mergeCell ref="K64:K65"/>
    <mergeCell ref="L64:L65"/>
    <mergeCell ref="M64:M65"/>
    <mergeCell ref="N64:N65"/>
    <mergeCell ref="B66:B78"/>
    <mergeCell ref="C66:C70"/>
    <mergeCell ref="C71:C73"/>
    <mergeCell ref="C74:C78"/>
    <mergeCell ref="B79:B93"/>
    <mergeCell ref="C79:C83"/>
    <mergeCell ref="C84:C88"/>
    <mergeCell ref="C89:C93"/>
    <mergeCell ref="C119:C123"/>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B127:B135"/>
    <mergeCell ref="C127:C129"/>
    <mergeCell ref="C130:C132"/>
    <mergeCell ref="C133:C135"/>
  </mergeCells>
  <pageMargins left="0.7" right="0.7" top="0.75" bottom="0.75" header="0.3" footer="0.3"/>
  <pageSetup orientation="portrait" r:id="rId1"/>
  <headerFooter>
    <oddHeader>&amp;R&amp;"Aptos"&amp;12&amp;K000000 Unclassified / Non 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A234-FFE3-4BCA-BE51-64E1C0E16C8C}">
  <dimension ref="A1:O136"/>
  <sheetViews>
    <sheetView zoomScaleNormal="100" workbookViewId="0">
      <selection activeCell="B2" sqref="B2:C11"/>
    </sheetView>
  </sheetViews>
  <sheetFormatPr defaultColWidth="9" defaultRowHeight="15" customHeight="1" x14ac:dyDescent="0.45"/>
  <cols>
    <col min="1" max="1" width="1.73046875" style="4" customWidth="1"/>
    <col min="2" max="2" width="43.73046875" style="2" bestFit="1" customWidth="1"/>
    <col min="3" max="3" width="16.73046875" style="2" bestFit="1" customWidth="1"/>
    <col min="4" max="4" width="33.3984375" style="2" bestFit="1" customWidth="1"/>
    <col min="5" max="5" width="10.3984375" style="2" bestFit="1" customWidth="1"/>
    <col min="6" max="6" width="9.3984375" style="2" bestFit="1" customWidth="1"/>
    <col min="7" max="7" width="16.1328125" style="2" bestFit="1" customWidth="1"/>
    <col min="8" max="8" width="15.3984375" style="2" bestFit="1" customWidth="1"/>
    <col min="9" max="9" width="9.3984375" style="2" bestFit="1" customWidth="1"/>
    <col min="10" max="10" width="10.3984375" style="2" bestFit="1" customWidth="1"/>
    <col min="11" max="11" width="12.59765625" style="2" bestFit="1" customWidth="1"/>
    <col min="12" max="12" width="13.1328125" style="2" bestFit="1" customWidth="1"/>
    <col min="13" max="13" width="10.3984375" style="2" bestFit="1" customWidth="1"/>
    <col min="14" max="14" width="10.59765625" style="2" bestFit="1" customWidth="1"/>
    <col min="15" max="15" width="1.73046875" style="4" customWidth="1"/>
    <col min="16" max="16384" width="9" style="2"/>
  </cols>
  <sheetData>
    <row r="1" spans="1:15" ht="15" customHeight="1" x14ac:dyDescent="0.45">
      <c r="A1" s="8"/>
      <c r="B1" s="8"/>
      <c r="C1" s="8"/>
      <c r="D1" s="8"/>
      <c r="E1" s="8"/>
      <c r="F1" s="8"/>
      <c r="G1" s="8"/>
      <c r="H1" s="8"/>
      <c r="I1" s="8"/>
      <c r="J1" s="8"/>
      <c r="K1" s="63"/>
      <c r="L1" s="63"/>
      <c r="M1" s="63"/>
      <c r="N1" s="63"/>
      <c r="O1" s="8"/>
    </row>
    <row r="2" spans="1:15" ht="58.5" customHeight="1" x14ac:dyDescent="0.45">
      <c r="A2" s="8"/>
      <c r="B2" s="179" t="s">
        <v>114</v>
      </c>
      <c r="C2" s="180"/>
      <c r="D2" s="185" t="s">
        <v>139</v>
      </c>
      <c r="E2" s="186"/>
      <c r="F2" s="8"/>
      <c r="G2" s="188" t="s">
        <v>125</v>
      </c>
      <c r="H2" s="185"/>
      <c r="I2" s="185"/>
      <c r="J2" s="4"/>
      <c r="K2" s="191" t="s">
        <v>117</v>
      </c>
      <c r="L2" s="191"/>
      <c r="M2" s="191"/>
      <c r="N2" s="191"/>
      <c r="O2" s="8"/>
    </row>
    <row r="3" spans="1:15" ht="14.25" x14ac:dyDescent="0.45">
      <c r="A3" s="8"/>
      <c r="B3" s="181"/>
      <c r="C3" s="182"/>
      <c r="D3" s="184"/>
      <c r="E3" s="187"/>
      <c r="F3" s="8"/>
      <c r="G3" s="189"/>
      <c r="H3" s="190"/>
      <c r="I3" s="190"/>
      <c r="J3" s="4"/>
      <c r="K3" s="64" t="s">
        <v>53</v>
      </c>
      <c r="L3" s="64" t="s">
        <v>51</v>
      </c>
      <c r="M3" s="64" t="s">
        <v>32</v>
      </c>
      <c r="N3" s="64" t="s">
        <v>33</v>
      </c>
      <c r="O3" s="8"/>
    </row>
    <row r="4" spans="1:15" ht="14.25" customHeight="1" x14ac:dyDescent="0.45">
      <c r="A4" s="9"/>
      <c r="B4" s="181"/>
      <c r="C4" s="182"/>
      <c r="D4" s="32" t="s">
        <v>2</v>
      </c>
      <c r="E4" s="33">
        <v>100000</v>
      </c>
      <c r="F4" s="9"/>
      <c r="G4" s="76" t="s">
        <v>34</v>
      </c>
      <c r="H4" s="75" t="s">
        <v>39</v>
      </c>
      <c r="I4" s="41">
        <f>I43</f>
        <v>0.17740035620000011</v>
      </c>
      <c r="J4" s="9"/>
      <c r="K4" s="68">
        <f>C127</f>
        <v>20000</v>
      </c>
      <c r="L4" s="69" t="s">
        <v>40</v>
      </c>
      <c r="M4" s="42">
        <f>I128</f>
        <v>413.83259084139593</v>
      </c>
      <c r="N4" s="65">
        <f t="shared" ref="N4:N9" si="0">M4*$I$15</f>
        <v>147833630.16666669</v>
      </c>
      <c r="O4" s="9"/>
    </row>
    <row r="5" spans="1:15" ht="14.25" customHeight="1" x14ac:dyDescent="0.45">
      <c r="A5" s="37"/>
      <c r="B5" s="181"/>
      <c r="C5" s="182"/>
      <c r="D5" s="18" t="s">
        <v>127</v>
      </c>
      <c r="E5" s="35">
        <f>SUMMARY!H6</f>
        <v>0.28999999999999998</v>
      </c>
      <c r="F5" s="37"/>
      <c r="G5" s="45" t="s">
        <v>37</v>
      </c>
      <c r="H5" s="66" t="s">
        <v>39</v>
      </c>
      <c r="I5" s="81">
        <f>I67</f>
        <v>0.28802748322561145</v>
      </c>
      <c r="J5" s="37"/>
      <c r="K5" s="68">
        <f>C127</f>
        <v>20000</v>
      </c>
      <c r="L5" s="67" t="s">
        <v>41</v>
      </c>
      <c r="M5" s="42">
        <f>I129</f>
        <v>2069.1629542069804</v>
      </c>
      <c r="N5" s="65">
        <f t="shared" si="0"/>
        <v>739168150.83333373</v>
      </c>
      <c r="O5" s="37"/>
    </row>
    <row r="6" spans="1:15" ht="14.25" customHeight="1" x14ac:dyDescent="0.45">
      <c r="A6" s="37"/>
      <c r="B6" s="181"/>
      <c r="C6" s="182"/>
      <c r="D6" s="18" t="s">
        <v>140</v>
      </c>
      <c r="E6" s="34">
        <f>SUMMARY!L6</f>
        <v>0.02</v>
      </c>
      <c r="F6" s="37"/>
      <c r="G6" s="45" t="s">
        <v>124</v>
      </c>
      <c r="H6" s="66" t="s">
        <v>39</v>
      </c>
      <c r="I6" s="81">
        <f>I80</f>
        <v>4.9931982180193499E-2</v>
      </c>
      <c r="J6" s="37"/>
      <c r="K6" s="68">
        <f>C130</f>
        <v>400000</v>
      </c>
      <c r="L6" s="69" t="s">
        <v>40</v>
      </c>
      <c r="M6" s="42">
        <f>I131</f>
        <v>8276.6518168279181</v>
      </c>
      <c r="N6" s="65">
        <f t="shared" si="0"/>
        <v>2956672603.3333335</v>
      </c>
      <c r="O6" s="37"/>
    </row>
    <row r="7" spans="1:15" ht="14.25" customHeight="1" x14ac:dyDescent="0.45">
      <c r="A7" s="37"/>
      <c r="B7" s="181"/>
      <c r="C7" s="182"/>
      <c r="D7" s="18" t="s">
        <v>126</v>
      </c>
      <c r="E7" s="34">
        <f>SUMMARY!P6</f>
        <v>0.01</v>
      </c>
      <c r="F7" s="37"/>
      <c r="G7" s="45" t="s">
        <v>57</v>
      </c>
      <c r="H7" s="66" t="s">
        <v>39</v>
      </c>
      <c r="I7" s="81">
        <f>I95</f>
        <v>2.4965991090096749E-2</v>
      </c>
      <c r="J7" s="37"/>
      <c r="K7" s="68">
        <f>C130</f>
        <v>400000</v>
      </c>
      <c r="L7" s="67" t="s">
        <v>41</v>
      </c>
      <c r="M7" s="42">
        <f>I132</f>
        <v>41383.259084139609</v>
      </c>
      <c r="N7" s="65">
        <f t="shared" si="0"/>
        <v>14783363016.666676</v>
      </c>
      <c r="O7" s="37"/>
    </row>
    <row r="8" spans="1:15" ht="14.25" customHeight="1" x14ac:dyDescent="0.45">
      <c r="A8" s="9"/>
      <c r="B8" s="181"/>
      <c r="C8" s="182"/>
      <c r="D8" s="32" t="s">
        <v>134</v>
      </c>
      <c r="E8" s="36">
        <f>SUMMARY!J21</f>
        <v>0.1</v>
      </c>
      <c r="F8" s="9"/>
      <c r="G8" s="45" t="s">
        <v>122</v>
      </c>
      <c r="H8" s="66" t="s">
        <v>39</v>
      </c>
      <c r="I8" s="81">
        <f>-I35</f>
        <v>-4.9659910900967504E-2</v>
      </c>
      <c r="J8" s="9"/>
      <c r="K8" s="77">
        <f>C133</f>
        <v>1000000</v>
      </c>
      <c r="L8" s="78" t="s">
        <v>40</v>
      </c>
      <c r="M8" s="42">
        <f>I134</f>
        <v>20691.629542069793</v>
      </c>
      <c r="N8" s="65">
        <f t="shared" si="0"/>
        <v>7391681508.333333</v>
      </c>
      <c r="O8" s="9"/>
    </row>
    <row r="9" spans="1:15" ht="14.25" customHeight="1" x14ac:dyDescent="0.45">
      <c r="A9" s="9"/>
      <c r="B9" s="181"/>
      <c r="C9" s="182"/>
      <c r="D9" s="32" t="s">
        <v>135</v>
      </c>
      <c r="E9" s="36">
        <f>SUMMARY!J22</f>
        <v>0.05</v>
      </c>
      <c r="F9" s="9"/>
      <c r="G9" s="45" t="s">
        <v>121</v>
      </c>
      <c r="H9" s="66" t="s">
        <v>39</v>
      </c>
      <c r="I9" s="81">
        <f>-I51</f>
        <v>-6.2074888626209371E-2</v>
      </c>
      <c r="J9" s="9"/>
      <c r="K9" s="77">
        <f>C133</f>
        <v>1000000</v>
      </c>
      <c r="L9" s="79" t="s">
        <v>41</v>
      </c>
      <c r="M9" s="42">
        <f>I135</f>
        <v>103458.14771034902</v>
      </c>
      <c r="N9" s="65">
        <f t="shared" si="0"/>
        <v>36958407541.666687</v>
      </c>
      <c r="O9" s="9"/>
    </row>
    <row r="10" spans="1:15" ht="14.25" customHeight="1" x14ac:dyDescent="0.45">
      <c r="A10" s="9"/>
      <c r="B10" s="181"/>
      <c r="C10" s="182"/>
      <c r="D10" s="32" t="s">
        <v>136</v>
      </c>
      <c r="E10" s="36">
        <f>SUMMARY!J23</f>
        <v>7.4999999999999997E-2</v>
      </c>
      <c r="F10" s="9"/>
      <c r="G10" s="74" t="s">
        <v>38</v>
      </c>
      <c r="H10" s="75" t="s">
        <v>39</v>
      </c>
      <c r="I10" s="41">
        <f>I110</f>
        <v>0.25119065696872478</v>
      </c>
      <c r="J10" s="8"/>
      <c r="K10" s="10"/>
      <c r="L10" s="10"/>
      <c r="M10" s="3"/>
      <c r="N10" s="8"/>
      <c r="O10" s="9"/>
    </row>
    <row r="11" spans="1:15" ht="15" customHeight="1" x14ac:dyDescent="0.45">
      <c r="A11" s="9"/>
      <c r="B11" s="181"/>
      <c r="C11" s="182"/>
      <c r="D11" s="32" t="s">
        <v>137</v>
      </c>
      <c r="E11" s="36">
        <f>SUMMARY!J10</f>
        <v>1</v>
      </c>
      <c r="F11" s="3"/>
      <c r="G11" s="10"/>
      <c r="H11" s="10"/>
      <c r="I11" s="3"/>
      <c r="J11" s="8"/>
      <c r="K11" s="8"/>
      <c r="L11" s="8"/>
      <c r="M11" s="8"/>
      <c r="N11" s="8"/>
      <c r="O11" s="9"/>
    </row>
    <row r="12" spans="1:15" ht="14.25" x14ac:dyDescent="0.45">
      <c r="A12" s="8"/>
      <c r="B12" s="10"/>
      <c r="C12" s="8"/>
      <c r="D12" s="10"/>
      <c r="E12" s="3"/>
      <c r="F12" s="3"/>
      <c r="G12" s="10"/>
      <c r="H12" s="10"/>
      <c r="I12" s="3"/>
      <c r="J12" s="8"/>
      <c r="K12" s="8"/>
      <c r="L12" s="8"/>
      <c r="M12" s="8"/>
      <c r="N12" s="8"/>
      <c r="O12" s="8"/>
    </row>
    <row r="13" spans="1:15" ht="14.25"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5" ht="14.25" x14ac:dyDescent="0.45">
      <c r="B14" s="184"/>
      <c r="C14" s="184"/>
      <c r="D14" s="184"/>
      <c r="E14" s="149"/>
      <c r="F14" s="149"/>
      <c r="G14" s="149"/>
      <c r="H14" s="149"/>
      <c r="I14" s="149"/>
      <c r="J14" s="149"/>
      <c r="K14" s="149"/>
      <c r="L14" s="149"/>
      <c r="M14" s="149"/>
      <c r="N14" s="149"/>
    </row>
    <row r="15" spans="1:15" ht="14.25" x14ac:dyDescent="0.45">
      <c r="B15" s="158" t="s">
        <v>20</v>
      </c>
      <c r="C15" s="158" t="s">
        <v>33</v>
      </c>
      <c r="D15" s="19" t="s">
        <v>48</v>
      </c>
      <c r="E15" s="21">
        <f>($E$4 * $E$5) + $E$4</f>
        <v>129000</v>
      </c>
      <c r="F15" s="21">
        <f t="shared" ref="F15:N15" si="1">(E15 * $E$5) + E15</f>
        <v>166410</v>
      </c>
      <c r="G15" s="21">
        <f t="shared" si="1"/>
        <v>214668.9</v>
      </c>
      <c r="H15" s="21">
        <f t="shared" si="1"/>
        <v>276922.88099999999</v>
      </c>
      <c r="I15" s="21">
        <f t="shared" si="1"/>
        <v>357230.51648999995</v>
      </c>
      <c r="J15" s="21">
        <f t="shared" si="1"/>
        <v>460827.3662720999</v>
      </c>
      <c r="K15" s="21">
        <f t="shared" si="1"/>
        <v>594467.30249100889</v>
      </c>
      <c r="L15" s="21">
        <f t="shared" si="1"/>
        <v>766862.82021340146</v>
      </c>
      <c r="M15" s="21">
        <f t="shared" si="1"/>
        <v>989253.03807528783</v>
      </c>
      <c r="N15" s="21">
        <f t="shared" si="1"/>
        <v>1276136.4191171213</v>
      </c>
    </row>
    <row r="16" spans="1:15" ht="14.25" x14ac:dyDescent="0.45">
      <c r="B16" s="160"/>
      <c r="C16" s="160"/>
      <c r="D16" s="19" t="s">
        <v>49</v>
      </c>
      <c r="E16" s="25">
        <f>E15*21000000</f>
        <v>2709000000000</v>
      </c>
      <c r="F16" s="25">
        <f t="shared" ref="F16:N16" si="2">F15*21000000</f>
        <v>3494610000000</v>
      </c>
      <c r="G16" s="25">
        <f t="shared" si="2"/>
        <v>4508046900000</v>
      </c>
      <c r="H16" s="25">
        <f t="shared" si="2"/>
        <v>5815380501000</v>
      </c>
      <c r="I16" s="25">
        <f t="shared" si="2"/>
        <v>7501840846289.999</v>
      </c>
      <c r="J16" s="25">
        <f t="shared" si="2"/>
        <v>9677374691714.0977</v>
      </c>
      <c r="K16" s="25">
        <f t="shared" si="2"/>
        <v>12483813352311.188</v>
      </c>
      <c r="L16" s="25">
        <f t="shared" si="2"/>
        <v>16104119224481.43</v>
      </c>
      <c r="M16" s="25">
        <f t="shared" si="2"/>
        <v>20774313799581.043</v>
      </c>
      <c r="N16" s="25">
        <f t="shared" si="2"/>
        <v>26798864801459.547</v>
      </c>
    </row>
    <row r="17" spans="1:15" ht="14.25" x14ac:dyDescent="0.45">
      <c r="B17" s="158" t="s">
        <v>16</v>
      </c>
      <c r="C17" s="176" t="s">
        <v>32</v>
      </c>
      <c r="D17" s="19" t="s">
        <v>128</v>
      </c>
      <c r="E17" s="26">
        <f>(E15-$E4)/E15</f>
        <v>0.22480620155038761</v>
      </c>
      <c r="F17" s="26">
        <f t="shared" ref="F17:N17" si="3">(F15-$E4)/F15</f>
        <v>0.39907457484526171</v>
      </c>
      <c r="G17" s="26">
        <f t="shared" si="3"/>
        <v>0.53416633708935013</v>
      </c>
      <c r="H17" s="26">
        <f t="shared" si="3"/>
        <v>0.63888863340259705</v>
      </c>
      <c r="I17" s="26">
        <f t="shared" si="3"/>
        <v>0.72006870806402867</v>
      </c>
      <c r="J17" s="26">
        <f t="shared" si="3"/>
        <v>0.78299899849924703</v>
      </c>
      <c r="K17" s="26">
        <f t="shared" si="3"/>
        <v>0.8317821693792613</v>
      </c>
      <c r="L17" s="26">
        <f t="shared" si="3"/>
        <v>0.86959858091415598</v>
      </c>
      <c r="M17" s="26">
        <f t="shared" si="3"/>
        <v>0.89891362861562485</v>
      </c>
      <c r="N17" s="26">
        <f t="shared" si="3"/>
        <v>0.92163847179505798</v>
      </c>
    </row>
    <row r="18" spans="1:15" ht="14.25" x14ac:dyDescent="0.45">
      <c r="B18" s="159"/>
      <c r="C18" s="177"/>
      <c r="D18" s="19" t="s">
        <v>129</v>
      </c>
      <c r="E18" s="26">
        <f>1-E17</f>
        <v>0.77519379844961245</v>
      </c>
      <c r="F18" s="26">
        <f t="shared" ref="F18:N18" si="4">1-F17</f>
        <v>0.60092542515473824</v>
      </c>
      <c r="G18" s="26">
        <f t="shared" si="4"/>
        <v>0.46583366291064987</v>
      </c>
      <c r="H18" s="26">
        <f t="shared" si="4"/>
        <v>0.36111136659740295</v>
      </c>
      <c r="I18" s="26">
        <f t="shared" si="4"/>
        <v>0.27993129193597133</v>
      </c>
      <c r="J18" s="26">
        <f t="shared" si="4"/>
        <v>0.21700100150075297</v>
      </c>
      <c r="K18" s="26">
        <f t="shared" si="4"/>
        <v>0.1682178306207387</v>
      </c>
      <c r="L18" s="26">
        <f t="shared" si="4"/>
        <v>0.13040141908584402</v>
      </c>
      <c r="M18" s="26">
        <f t="shared" si="4"/>
        <v>0.10108637138437515</v>
      </c>
      <c r="N18" s="26">
        <f t="shared" si="4"/>
        <v>7.8361528204942021E-2</v>
      </c>
    </row>
    <row r="19" spans="1:15" ht="14.25" x14ac:dyDescent="0.45">
      <c r="B19" s="159"/>
      <c r="C19" s="177"/>
      <c r="D19" s="19" t="s">
        <v>130</v>
      </c>
      <c r="E19" s="80">
        <f>E17</f>
        <v>0.22480620155038761</v>
      </c>
      <c r="F19" s="80">
        <f t="shared" ref="F19:N19" si="5">F17-E17</f>
        <v>0.1742683732948741</v>
      </c>
      <c r="G19" s="80">
        <f>G17-F17</f>
        <v>0.13509176224408842</v>
      </c>
      <c r="H19" s="80">
        <f t="shared" si="5"/>
        <v>0.10472229631324692</v>
      </c>
      <c r="I19" s="80">
        <f t="shared" si="5"/>
        <v>8.1180074661431623E-2</v>
      </c>
      <c r="J19" s="80">
        <f>J17-I17</f>
        <v>6.2930290435218361E-2</v>
      </c>
      <c r="K19" s="80">
        <f t="shared" si="5"/>
        <v>4.878317088001427E-2</v>
      </c>
      <c r="L19" s="80">
        <f t="shared" si="5"/>
        <v>3.7816411534894678E-2</v>
      </c>
      <c r="M19" s="80">
        <f t="shared" si="5"/>
        <v>2.9315047701468866E-2</v>
      </c>
      <c r="N19" s="80">
        <f t="shared" si="5"/>
        <v>2.272484317943313E-2</v>
      </c>
    </row>
    <row r="20" spans="1:15" ht="14.25" x14ac:dyDescent="0.45">
      <c r="B20" s="159"/>
      <c r="C20" s="177"/>
      <c r="D20" s="19" t="s">
        <v>131</v>
      </c>
      <c r="E20" s="80"/>
      <c r="F20" s="80"/>
      <c r="G20" s="80"/>
      <c r="H20" s="80"/>
      <c r="I20" s="80">
        <f>AVERAGE(E19:I19)</f>
        <v>0.14401374161280572</v>
      </c>
      <c r="J20" s="26"/>
      <c r="K20" s="26"/>
      <c r="L20" s="26"/>
      <c r="M20" s="26"/>
      <c r="N20" s="80">
        <f>AVERAGE(E19:N19)</f>
        <v>9.2163847179505792E-2</v>
      </c>
    </row>
    <row r="21" spans="1:15" ht="14.25" x14ac:dyDescent="0.45">
      <c r="B21" s="159"/>
      <c r="C21" s="177"/>
      <c r="D21" s="19" t="s">
        <v>132</v>
      </c>
      <c r="E21" s="80">
        <f>$E$11*E19</f>
        <v>0.22480620155038761</v>
      </c>
      <c r="F21" s="80">
        <f t="shared" ref="F21:N21" si="6">$E$11*F19</f>
        <v>0.1742683732948741</v>
      </c>
      <c r="G21" s="80">
        <f t="shared" si="6"/>
        <v>0.13509176224408842</v>
      </c>
      <c r="H21" s="80">
        <f t="shared" si="6"/>
        <v>0.10472229631324692</v>
      </c>
      <c r="I21" s="80">
        <f t="shared" si="6"/>
        <v>8.1180074661431623E-2</v>
      </c>
      <c r="J21" s="80">
        <f t="shared" si="6"/>
        <v>6.2930290435218361E-2</v>
      </c>
      <c r="K21" s="80">
        <f t="shared" si="6"/>
        <v>4.878317088001427E-2</v>
      </c>
      <c r="L21" s="80">
        <f t="shared" si="6"/>
        <v>3.7816411534894678E-2</v>
      </c>
      <c r="M21" s="80">
        <f t="shared" si="6"/>
        <v>2.9315047701468866E-2</v>
      </c>
      <c r="N21" s="80">
        <f t="shared" si="6"/>
        <v>2.272484317943313E-2</v>
      </c>
    </row>
    <row r="22" spans="1:15" ht="14.25" x14ac:dyDescent="0.45">
      <c r="B22" s="159"/>
      <c r="C22" s="177"/>
      <c r="D22" s="19" t="s">
        <v>133</v>
      </c>
      <c r="E22" s="80"/>
      <c r="F22" s="80"/>
      <c r="G22" s="80"/>
      <c r="H22" s="80"/>
      <c r="I22" s="80">
        <f>AVERAGE(E21:I21)</f>
        <v>0.14401374161280572</v>
      </c>
      <c r="J22" s="26"/>
      <c r="K22" s="26"/>
      <c r="L22" s="26"/>
      <c r="M22" s="26"/>
      <c r="N22" s="80">
        <f>AVERAGE(E21:N21)</f>
        <v>9.2163847179505792E-2</v>
      </c>
    </row>
    <row r="23" spans="1:15" ht="14.25" x14ac:dyDescent="0.45">
      <c r="B23" s="159"/>
      <c r="C23" s="177"/>
      <c r="D23" s="15" t="s">
        <v>58</v>
      </c>
      <c r="E23" s="17">
        <f>E19+E21</f>
        <v>0.44961240310077522</v>
      </c>
      <c r="F23" s="17">
        <f t="shared" ref="F23:N23" si="7">F19+F21</f>
        <v>0.3485367465897482</v>
      </c>
      <c r="G23" s="17">
        <f t="shared" si="7"/>
        <v>0.27018352448817684</v>
      </c>
      <c r="H23" s="17">
        <f t="shared" si="7"/>
        <v>0.20944459262649384</v>
      </c>
      <c r="I23" s="17">
        <f t="shared" si="7"/>
        <v>0.16236014932286325</v>
      </c>
      <c r="J23" s="17">
        <f t="shared" si="7"/>
        <v>0.12586058087043672</v>
      </c>
      <c r="K23" s="17">
        <f t="shared" si="7"/>
        <v>9.7566341760028541E-2</v>
      </c>
      <c r="L23" s="17">
        <f t="shared" si="7"/>
        <v>7.5632823069789357E-2</v>
      </c>
      <c r="M23" s="17">
        <f t="shared" si="7"/>
        <v>5.8630095402937732E-2</v>
      </c>
      <c r="N23" s="17">
        <f t="shared" si="7"/>
        <v>4.5449686358866259E-2</v>
      </c>
    </row>
    <row r="24" spans="1:15" ht="14.25" x14ac:dyDescent="0.45">
      <c r="B24" s="160"/>
      <c r="C24" s="178"/>
      <c r="D24" s="15" t="s">
        <v>59</v>
      </c>
      <c r="E24" s="17"/>
      <c r="F24" s="17"/>
      <c r="G24" s="17"/>
      <c r="H24" s="17"/>
      <c r="I24" s="17">
        <f>AVERAGE(E23:I23)</f>
        <v>0.28802748322561145</v>
      </c>
      <c r="J24" s="16"/>
      <c r="K24" s="16"/>
      <c r="L24" s="16"/>
      <c r="M24" s="16"/>
      <c r="N24" s="17">
        <f>AVERAGE(E23:N23)</f>
        <v>0.18432769435901158</v>
      </c>
    </row>
    <row r="25" spans="1:15" ht="14.25" x14ac:dyDescent="0.45">
      <c r="B25" s="158" t="s">
        <v>141</v>
      </c>
      <c r="C25" s="176" t="s">
        <v>32</v>
      </c>
      <c r="D25" s="15" t="s">
        <v>43</v>
      </c>
      <c r="E25" s="17">
        <f>((1+$E$11)*$E$6)+($E$6*E18)</f>
        <v>5.5503875968992249E-2</v>
      </c>
      <c r="F25" s="17">
        <f t="shared" ref="F25:N25" si="8">((1+$E$11)*$E$6)+($E$6*F18)</f>
        <v>5.2018508503094765E-2</v>
      </c>
      <c r="G25" s="17">
        <f t="shared" si="8"/>
        <v>4.9316673258212998E-2</v>
      </c>
      <c r="H25" s="17">
        <f t="shared" si="8"/>
        <v>4.7222227331948058E-2</v>
      </c>
      <c r="I25" s="17">
        <f>((1+$E$11)*$E$6)+($E$6*I18)</f>
        <v>4.5598625838719431E-2</v>
      </c>
      <c r="J25" s="17">
        <f t="shared" si="8"/>
        <v>4.4340020030015061E-2</v>
      </c>
      <c r="K25" s="17">
        <f t="shared" si="8"/>
        <v>4.3364356612414778E-2</v>
      </c>
      <c r="L25" s="17">
        <f t="shared" si="8"/>
        <v>4.260802838171688E-2</v>
      </c>
      <c r="M25" s="17">
        <f t="shared" si="8"/>
        <v>4.2021727427687505E-2</v>
      </c>
      <c r="N25" s="17">
        <f t="shared" si="8"/>
        <v>4.1567230564098841E-2</v>
      </c>
    </row>
    <row r="26" spans="1:15" ht="14.25" x14ac:dyDescent="0.45">
      <c r="B26" s="159"/>
      <c r="C26" s="177"/>
      <c r="D26" s="15" t="s">
        <v>44</v>
      </c>
      <c r="E26" s="17"/>
      <c r="F26" s="17"/>
      <c r="G26" s="17"/>
      <c r="H26" s="17"/>
      <c r="I26" s="17">
        <f>AVERAGE(E25:I25)</f>
        <v>4.9931982180193499E-2</v>
      </c>
      <c r="J26" s="16"/>
      <c r="K26" s="16"/>
      <c r="L26" s="16"/>
      <c r="M26" s="16"/>
      <c r="N26" s="17">
        <f>AVERAGE(E25:N25)</f>
        <v>4.6356127391690052E-2</v>
      </c>
    </row>
    <row r="27" spans="1:15" ht="14.25" x14ac:dyDescent="0.45">
      <c r="B27" s="159"/>
      <c r="C27" s="177"/>
      <c r="D27" s="19" t="s">
        <v>42</v>
      </c>
      <c r="E27" s="80">
        <f>E25</f>
        <v>5.5503875968992249E-2</v>
      </c>
      <c r="F27" s="80">
        <f>E27+F25</f>
        <v>0.10752238447208701</v>
      </c>
      <c r="G27" s="80">
        <f>F27+G25</f>
        <v>0.15683905773029999</v>
      </c>
      <c r="H27" s="80">
        <f t="shared" ref="H27:I27" si="9">G27+H25</f>
        <v>0.20406128506224805</v>
      </c>
      <c r="I27" s="80">
        <f t="shared" si="9"/>
        <v>0.24965991090096748</v>
      </c>
      <c r="J27" s="80">
        <f>I27+J25</f>
        <v>0.29399993093098253</v>
      </c>
      <c r="K27" s="80">
        <f t="shared" ref="K27:N27" si="10">J27+K25</f>
        <v>0.33736428754339731</v>
      </c>
      <c r="L27" s="80">
        <f t="shared" si="10"/>
        <v>0.37997231592511421</v>
      </c>
      <c r="M27" s="80">
        <f t="shared" si="10"/>
        <v>0.42199404335280172</v>
      </c>
      <c r="N27" s="80">
        <f t="shared" si="10"/>
        <v>0.46356127391690055</v>
      </c>
    </row>
    <row r="28" spans="1:15" ht="14.25" x14ac:dyDescent="0.45">
      <c r="B28" s="158" t="s">
        <v>17</v>
      </c>
      <c r="C28" s="176" t="s">
        <v>32</v>
      </c>
      <c r="D28" s="15" t="s">
        <v>43</v>
      </c>
      <c r="E28" s="17">
        <f t="shared" ref="E28:N28" si="11">((1+$E$11)*$E$7)+($E$7*E18)</f>
        <v>2.7751937984496124E-2</v>
      </c>
      <c r="F28" s="17">
        <f t="shared" si="11"/>
        <v>2.6009254251547383E-2</v>
      </c>
      <c r="G28" s="17">
        <f t="shared" si="11"/>
        <v>2.4658336629106499E-2</v>
      </c>
      <c r="H28" s="17">
        <f t="shared" si="11"/>
        <v>2.3611113665974029E-2</v>
      </c>
      <c r="I28" s="17">
        <f t="shared" si="11"/>
        <v>2.2799312919359715E-2</v>
      </c>
      <c r="J28" s="17">
        <f t="shared" si="11"/>
        <v>2.217001001500753E-2</v>
      </c>
      <c r="K28" s="17">
        <f t="shared" si="11"/>
        <v>2.1682178306207389E-2</v>
      </c>
      <c r="L28" s="17">
        <f t="shared" si="11"/>
        <v>2.130401419085844E-2</v>
      </c>
      <c r="M28" s="17">
        <f t="shared" si="11"/>
        <v>2.1010863713843753E-2</v>
      </c>
      <c r="N28" s="17">
        <f t="shared" si="11"/>
        <v>2.078361528204942E-2</v>
      </c>
    </row>
    <row r="29" spans="1:15" ht="15" customHeight="1" x14ac:dyDescent="0.45">
      <c r="B29" s="159"/>
      <c r="C29" s="177"/>
      <c r="D29" s="15" t="s">
        <v>44</v>
      </c>
      <c r="E29" s="17"/>
      <c r="F29" s="17"/>
      <c r="G29" s="17"/>
      <c r="H29" s="17"/>
      <c r="I29" s="17">
        <f>AVERAGE(E28:I28)</f>
        <v>2.4965991090096749E-2</v>
      </c>
      <c r="J29" s="16"/>
      <c r="K29" s="16"/>
      <c r="L29" s="16"/>
      <c r="M29" s="16"/>
      <c r="N29" s="17">
        <f>AVERAGE(E28:N28)</f>
        <v>2.3178063695845026E-2</v>
      </c>
    </row>
    <row r="30" spans="1:15" ht="14.25" x14ac:dyDescent="0.45">
      <c r="B30" s="159"/>
      <c r="C30" s="177"/>
      <c r="D30" s="19" t="s">
        <v>42</v>
      </c>
      <c r="E30" s="80">
        <f>E28</f>
        <v>2.7751937984496124E-2</v>
      </c>
      <c r="F30" s="80">
        <f t="shared" ref="F30:N30" si="12">E30+F28</f>
        <v>5.3761192236043504E-2</v>
      </c>
      <c r="G30" s="80">
        <f>F30+G28</f>
        <v>7.8419528865149996E-2</v>
      </c>
      <c r="H30" s="80">
        <f t="shared" si="12"/>
        <v>0.10203064253112402</v>
      </c>
      <c r="I30" s="80">
        <f t="shared" si="12"/>
        <v>0.12482995545048374</v>
      </c>
      <c r="J30" s="80">
        <f>I30+J28</f>
        <v>0.14699996546549127</v>
      </c>
      <c r="K30" s="80">
        <f t="shared" si="12"/>
        <v>0.16868214377169866</v>
      </c>
      <c r="L30" s="80">
        <f t="shared" si="12"/>
        <v>0.18998615796255711</v>
      </c>
      <c r="M30" s="80">
        <f t="shared" si="12"/>
        <v>0.21099702167640086</v>
      </c>
      <c r="N30" s="80">
        <f t="shared" si="12"/>
        <v>0.23178063695845028</v>
      </c>
    </row>
    <row r="31" spans="1:15" ht="14.25" x14ac:dyDescent="0.45">
      <c r="B31" s="3"/>
      <c r="C31" s="1"/>
      <c r="D31" s="43"/>
      <c r="E31" s="31"/>
      <c r="F31" s="31"/>
      <c r="G31" s="31"/>
      <c r="H31" s="31"/>
      <c r="I31" s="31"/>
      <c r="J31" s="31"/>
      <c r="K31" s="31"/>
      <c r="L31" s="31"/>
      <c r="M31" s="31"/>
      <c r="N31" s="31"/>
    </row>
    <row r="32" spans="1:15" ht="14.25"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row>
    <row r="33" spans="2:14" ht="14.25" x14ac:dyDescent="0.45">
      <c r="B33" s="169"/>
      <c r="C33" s="171"/>
      <c r="D33" s="173"/>
      <c r="E33" s="149"/>
      <c r="F33" s="149"/>
      <c r="G33" s="149"/>
      <c r="H33" s="149"/>
      <c r="I33" s="149"/>
      <c r="J33" s="149"/>
      <c r="K33" s="149"/>
      <c r="L33" s="149"/>
      <c r="M33" s="149"/>
      <c r="N33" s="149"/>
    </row>
    <row r="34" spans="2:14" ht="14.25" x14ac:dyDescent="0.45">
      <c r="B34" s="158" t="s">
        <v>141</v>
      </c>
      <c r="C34" s="166" t="s">
        <v>32</v>
      </c>
      <c r="D34" s="15" t="s">
        <v>58</v>
      </c>
      <c r="E34" s="16">
        <f>E39*$E$4/E$15</f>
        <v>7.7519379844961239E-2</v>
      </c>
      <c r="F34" s="16">
        <f t="shared" ref="F34:N34" si="13">F39*$E$4/F$15</f>
        <v>6.0092542515473829E-2</v>
      </c>
      <c r="G34" s="16">
        <f t="shared" si="13"/>
        <v>4.6583366291064986E-2</v>
      </c>
      <c r="H34" s="16">
        <f t="shared" si="13"/>
        <v>3.6111136659740299E-2</v>
      </c>
      <c r="I34" s="16">
        <f t="shared" si="13"/>
        <v>2.7993129193597133E-2</v>
      </c>
      <c r="J34" s="16">
        <f t="shared" si="13"/>
        <v>2.1700100150075299E-2</v>
      </c>
      <c r="K34" s="16">
        <f t="shared" si="13"/>
        <v>1.6821783062073874E-2</v>
      </c>
      <c r="L34" s="16">
        <f t="shared" si="13"/>
        <v>1.3040141908584399E-2</v>
      </c>
      <c r="M34" s="16">
        <f t="shared" si="13"/>
        <v>1.010863713843752E-2</v>
      </c>
      <c r="N34" s="16">
        <f t="shared" si="13"/>
        <v>7.8361528204942011E-3</v>
      </c>
    </row>
    <row r="35" spans="2:14" ht="14.25" x14ac:dyDescent="0.45">
      <c r="B35" s="159"/>
      <c r="C35" s="166"/>
      <c r="D35" s="15" t="s">
        <v>59</v>
      </c>
      <c r="E35" s="16"/>
      <c r="F35" s="16"/>
      <c r="G35" s="16"/>
      <c r="H35" s="16"/>
      <c r="I35" s="82">
        <f>AVERAGE(E34:I34)</f>
        <v>4.9659910900967504E-2</v>
      </c>
      <c r="J35" s="16"/>
      <c r="K35" s="16"/>
      <c r="L35" s="16"/>
      <c r="M35" s="16"/>
      <c r="N35" s="17">
        <f>AVERAGE(E34:N34)</f>
        <v>3.1780636958450278E-2</v>
      </c>
    </row>
    <row r="36" spans="2:14" ht="14.25" x14ac:dyDescent="0.45">
      <c r="B36" s="159"/>
      <c r="C36" s="166"/>
      <c r="D36" s="15" t="s">
        <v>42</v>
      </c>
      <c r="E36" s="16">
        <f t="shared" ref="E36:N36" si="14">E$17*(E34/E$19)</f>
        <v>7.7519379844961239E-2</v>
      </c>
      <c r="F36" s="16">
        <f t="shared" si="14"/>
        <v>0.13761192236043507</v>
      </c>
      <c r="G36" s="16">
        <f>G$17*(G34/G$19)</f>
        <v>0.18419528865150009</v>
      </c>
      <c r="H36" s="16">
        <f>H$17*(H34/H$19)</f>
        <v>0.22030642531124023</v>
      </c>
      <c r="I36" s="16">
        <f>I$17*(I34/I$19)</f>
        <v>0.24829955450483765</v>
      </c>
      <c r="J36" s="16">
        <f t="shared" si="14"/>
        <v>0.26999965465491277</v>
      </c>
      <c r="K36" s="16">
        <f t="shared" si="14"/>
        <v>0.28682143771698643</v>
      </c>
      <c r="L36" s="16">
        <f t="shared" si="14"/>
        <v>0.29986157962557164</v>
      </c>
      <c r="M36" s="16">
        <f t="shared" si="14"/>
        <v>0.30997021676400793</v>
      </c>
      <c r="N36" s="16">
        <f t="shared" si="14"/>
        <v>0.31780636958450348</v>
      </c>
    </row>
    <row r="37" spans="2:14" ht="14.25" customHeight="1" x14ac:dyDescent="0.45">
      <c r="B37" s="159"/>
      <c r="C37" s="167"/>
      <c r="D37" s="19" t="s">
        <v>45</v>
      </c>
      <c r="E37" s="20">
        <f t="shared" ref="E37:N37" si="15">10*E34</f>
        <v>0.77519379844961245</v>
      </c>
      <c r="F37" s="20">
        <f t="shared" si="15"/>
        <v>0.60092542515473824</v>
      </c>
      <c r="G37" s="20">
        <f t="shared" si="15"/>
        <v>0.46583366291064987</v>
      </c>
      <c r="H37" s="20">
        <f t="shared" si="15"/>
        <v>0.36111136659740301</v>
      </c>
      <c r="I37" s="20">
        <f t="shared" si="15"/>
        <v>0.27993129193597133</v>
      </c>
      <c r="J37" s="20">
        <f t="shared" si="15"/>
        <v>0.21700100150075299</v>
      </c>
      <c r="K37" s="20">
        <f t="shared" si="15"/>
        <v>0.16821783062073875</v>
      </c>
      <c r="L37" s="20">
        <f t="shared" si="15"/>
        <v>0.13040141908584399</v>
      </c>
      <c r="M37" s="20">
        <f t="shared" si="15"/>
        <v>0.10108637138437521</v>
      </c>
      <c r="N37" s="20">
        <f t="shared" si="15"/>
        <v>7.8361528204942008E-2</v>
      </c>
    </row>
    <row r="38" spans="2:14" ht="14.25" x14ac:dyDescent="0.45">
      <c r="B38" s="159"/>
      <c r="C38" s="167"/>
      <c r="D38" s="19" t="s">
        <v>46</v>
      </c>
      <c r="E38" s="20">
        <f>10*E36</f>
        <v>0.77519379844961245</v>
      </c>
      <c r="F38" s="20">
        <f>10*F36</f>
        <v>1.3761192236043507</v>
      </c>
      <c r="G38" s="20">
        <f>10*G36</f>
        <v>1.841952886515001</v>
      </c>
      <c r="H38" s="20">
        <f t="shared" ref="H38:N38" si="16">10*H36</f>
        <v>2.2030642531124025</v>
      </c>
      <c r="I38" s="20">
        <f t="shared" si="16"/>
        <v>2.4829955450483765</v>
      </c>
      <c r="J38" s="20">
        <f t="shared" si="16"/>
        <v>2.6999965465491278</v>
      </c>
      <c r="K38" s="20">
        <f t="shared" si="16"/>
        <v>2.8682143771698643</v>
      </c>
      <c r="L38" s="20">
        <f t="shared" si="16"/>
        <v>2.9986157962557165</v>
      </c>
      <c r="M38" s="20">
        <f t="shared" si="16"/>
        <v>3.0997021676400793</v>
      </c>
      <c r="N38" s="20">
        <f t="shared" si="16"/>
        <v>3.1780636958450348</v>
      </c>
    </row>
    <row r="39" spans="2:14" ht="14.25" x14ac:dyDescent="0.45">
      <c r="B39" s="159"/>
      <c r="C39" s="165" t="s">
        <v>36</v>
      </c>
      <c r="D39" s="15" t="s">
        <v>43</v>
      </c>
      <c r="E39" s="16">
        <f>E8</f>
        <v>0.1</v>
      </c>
      <c r="F39" s="16">
        <f>E39</f>
        <v>0.1</v>
      </c>
      <c r="G39" s="16">
        <f t="shared" ref="G39:N39" si="17">F39</f>
        <v>0.1</v>
      </c>
      <c r="H39" s="16">
        <f t="shared" si="17"/>
        <v>0.1</v>
      </c>
      <c r="I39" s="16">
        <f t="shared" si="17"/>
        <v>0.1</v>
      </c>
      <c r="J39" s="16">
        <f t="shared" si="17"/>
        <v>0.1</v>
      </c>
      <c r="K39" s="16">
        <f t="shared" si="17"/>
        <v>0.1</v>
      </c>
      <c r="L39" s="16">
        <f t="shared" si="17"/>
        <v>0.1</v>
      </c>
      <c r="M39" s="16">
        <f t="shared" si="17"/>
        <v>0.1</v>
      </c>
      <c r="N39" s="16">
        <f t="shared" si="17"/>
        <v>0.1</v>
      </c>
    </row>
    <row r="40" spans="2:14" ht="14.25" customHeight="1" x14ac:dyDescent="0.45">
      <c r="B40" s="159"/>
      <c r="C40" s="167"/>
      <c r="D40" s="19" t="s">
        <v>45</v>
      </c>
      <c r="E40" s="21">
        <f>E37*E$15</f>
        <v>100000</v>
      </c>
      <c r="F40" s="21">
        <f t="shared" ref="F40:N40" si="18">F37*F$15</f>
        <v>99999.999999999985</v>
      </c>
      <c r="G40" s="21">
        <f>G37*G$15</f>
        <v>100000</v>
      </c>
      <c r="H40" s="21">
        <f>H37*H$15</f>
        <v>100000</v>
      </c>
      <c r="I40" s="21">
        <f>I37*I$15</f>
        <v>100000</v>
      </c>
      <c r="J40" s="21">
        <f t="shared" si="18"/>
        <v>100000</v>
      </c>
      <c r="K40" s="21">
        <f t="shared" si="18"/>
        <v>100000</v>
      </c>
      <c r="L40" s="21">
        <f t="shared" si="18"/>
        <v>100000</v>
      </c>
      <c r="M40" s="21">
        <f t="shared" si="18"/>
        <v>100000.00000000001</v>
      </c>
      <c r="N40" s="21">
        <f t="shared" si="18"/>
        <v>99999.999999999985</v>
      </c>
    </row>
    <row r="41" spans="2:14" ht="14.25" x14ac:dyDescent="0.45">
      <c r="B41" s="159"/>
      <c r="C41" s="167"/>
      <c r="D41" s="19" t="s">
        <v>46</v>
      </c>
      <c r="E41" s="21">
        <f>E40</f>
        <v>100000</v>
      </c>
      <c r="F41" s="21">
        <f>E41+F40</f>
        <v>200000</v>
      </c>
      <c r="G41" s="21">
        <f>F41+G40</f>
        <v>300000</v>
      </c>
      <c r="H41" s="21">
        <f t="shared" ref="H41:N41" si="19">G41+H40</f>
        <v>400000</v>
      </c>
      <c r="I41" s="21">
        <f t="shared" si="19"/>
        <v>500000</v>
      </c>
      <c r="J41" s="21">
        <f>I41+J40</f>
        <v>600000</v>
      </c>
      <c r="K41" s="21">
        <f t="shared" si="19"/>
        <v>700000</v>
      </c>
      <c r="L41" s="21">
        <f t="shared" si="19"/>
        <v>800000</v>
      </c>
      <c r="M41" s="21">
        <f t="shared" si="19"/>
        <v>900000</v>
      </c>
      <c r="N41" s="21">
        <f t="shared" si="19"/>
        <v>1000000</v>
      </c>
    </row>
    <row r="42" spans="2:14" ht="14.25" x14ac:dyDescent="0.45">
      <c r="B42" s="159"/>
      <c r="C42" s="165" t="s">
        <v>35</v>
      </c>
      <c r="D42" s="15" t="s">
        <v>43</v>
      </c>
      <c r="E42" s="16">
        <f>E36*E$15/$E$4</f>
        <v>0.1</v>
      </c>
      <c r="F42" s="16">
        <f>F36*F$15/$E$4-E42</f>
        <v>0.129</v>
      </c>
      <c r="G42" s="16">
        <f>G36*G$15/$E$4-F42-E42</f>
        <v>0.16641000000000009</v>
      </c>
      <c r="H42" s="16">
        <f>H36*H$15/$E$4-G42-F42-E42</f>
        <v>0.21466889999999958</v>
      </c>
      <c r="I42" s="16">
        <f>I36*I$15/$E$4-H42-G42-F42-E42</f>
        <v>0.27692288100000084</v>
      </c>
      <c r="J42" s="16">
        <f>J36*J$15/$E$4-I42-H42-G42-F42-E42</f>
        <v>0.35723051648999904</v>
      </c>
      <c r="K42" s="16">
        <f>K36*K$15/$E$4-J42-I42-H42-G42-F42-E42</f>
        <v>0.46082736627209886</v>
      </c>
      <c r="L42" s="16">
        <f>L36*L$15/$E$4-K42-J42-I42-H42-G42-F42-E42</f>
        <v>0.59446730249101465</v>
      </c>
      <c r="M42" s="16">
        <f>M36*M$15/$E$4-L42-K42-J42-I42-H42-G42-F42-E42</f>
        <v>0.76686282021339069</v>
      </c>
      <c r="N42" s="16">
        <f>N36*N$15/$E$4-M42-L42-K42-J42-I42-H42-G42-F42-E42</f>
        <v>0.98925303807530207</v>
      </c>
    </row>
    <row r="43" spans="2:14" ht="14.25" x14ac:dyDescent="0.45">
      <c r="B43" s="159"/>
      <c r="C43" s="166"/>
      <c r="D43" s="15" t="s">
        <v>44</v>
      </c>
      <c r="E43" s="17"/>
      <c r="F43" s="17"/>
      <c r="G43" s="17"/>
      <c r="H43" s="17"/>
      <c r="I43" s="38">
        <f>AVERAGE(E42:I42)</f>
        <v>0.17740035620000011</v>
      </c>
      <c r="J43" s="17"/>
      <c r="K43" s="17"/>
      <c r="L43" s="17"/>
      <c r="M43" s="17"/>
      <c r="N43" s="17">
        <f>AVERAGE(E42:N42)</f>
        <v>0.40556428245418064</v>
      </c>
    </row>
    <row r="44" spans="2:14" ht="14.25" x14ac:dyDescent="0.45">
      <c r="B44" s="159"/>
      <c r="C44" s="167"/>
      <c r="D44" s="19" t="s">
        <v>45</v>
      </c>
      <c r="E44" s="22">
        <f>E46</f>
        <v>100000</v>
      </c>
      <c r="F44" s="22">
        <f>F46-E46</f>
        <v>129000</v>
      </c>
      <c r="G44" s="22">
        <f>G46-F46</f>
        <v>166410.00000000006</v>
      </c>
      <c r="H44" s="22">
        <f t="shared" ref="H44:N44" si="20">H46-G46</f>
        <v>214668.89999999962</v>
      </c>
      <c r="I44" s="22">
        <f t="shared" si="20"/>
        <v>276922.88100000075</v>
      </c>
      <c r="J44" s="22">
        <f>J46-I46</f>
        <v>357230.51648999937</v>
      </c>
      <c r="K44" s="22">
        <f t="shared" si="20"/>
        <v>460827.36627209862</v>
      </c>
      <c r="L44" s="22">
        <f t="shared" si="20"/>
        <v>594467.30249101459</v>
      </c>
      <c r="M44" s="22">
        <f t="shared" si="20"/>
        <v>766862.82021339051</v>
      </c>
      <c r="N44" s="22">
        <f t="shared" si="20"/>
        <v>989253.03807530319</v>
      </c>
    </row>
    <row r="45" spans="2:14" ht="15" customHeight="1" x14ac:dyDescent="0.45">
      <c r="B45" s="159"/>
      <c r="C45" s="167"/>
      <c r="D45" s="19" t="s">
        <v>47</v>
      </c>
      <c r="E45" s="22"/>
      <c r="F45" s="22"/>
      <c r="G45" s="22"/>
      <c r="H45" s="22"/>
      <c r="I45" s="22">
        <f>AVERAGE(E44:I44)</f>
        <v>177400.3562000001</v>
      </c>
      <c r="J45" s="22"/>
      <c r="K45" s="22"/>
      <c r="L45" s="22"/>
      <c r="M45" s="22"/>
      <c r="N45" s="22">
        <f>AVERAGE(E44:N44)</f>
        <v>405564.28245418065</v>
      </c>
    </row>
    <row r="46" spans="2:14" ht="14.25" x14ac:dyDescent="0.45">
      <c r="B46" s="160"/>
      <c r="C46" s="167"/>
      <c r="D46" s="19" t="s">
        <v>46</v>
      </c>
      <c r="E46" s="21">
        <f t="shared" ref="E46:N46" si="21">E38*E$15</f>
        <v>100000</v>
      </c>
      <c r="F46" s="21">
        <f t="shared" si="21"/>
        <v>229000</v>
      </c>
      <c r="G46" s="21">
        <f>G38*G$15</f>
        <v>395410.00000000006</v>
      </c>
      <c r="H46" s="21">
        <f>H38*H$15</f>
        <v>610078.89999999967</v>
      </c>
      <c r="I46" s="21">
        <f>I38*I$15</f>
        <v>887001.78100000042</v>
      </c>
      <c r="J46" s="21">
        <f t="shared" si="21"/>
        <v>1244232.2974899998</v>
      </c>
      <c r="K46" s="21">
        <f t="shared" si="21"/>
        <v>1705059.6637620984</v>
      </c>
      <c r="L46" s="21">
        <f t="shared" si="21"/>
        <v>2299526.966253113</v>
      </c>
      <c r="M46" s="21">
        <f t="shared" si="21"/>
        <v>3066389.7864665035</v>
      </c>
      <c r="N46" s="21">
        <f t="shared" si="21"/>
        <v>4055642.8245418067</v>
      </c>
    </row>
    <row r="47" spans="2:14" ht="14.25" x14ac:dyDescent="0.45">
      <c r="B47" s="3"/>
      <c r="C47" s="1"/>
      <c r="D47" s="43"/>
      <c r="E47" s="31"/>
      <c r="F47" s="31"/>
      <c r="G47" s="31"/>
      <c r="H47" s="31"/>
      <c r="I47" s="31"/>
      <c r="J47" s="31"/>
      <c r="K47" s="31"/>
      <c r="L47" s="31"/>
      <c r="M47" s="31"/>
      <c r="N47" s="31"/>
    </row>
    <row r="48" spans="2:14" ht="14.25"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5" ht="14.25" x14ac:dyDescent="0.45">
      <c r="B49" s="151"/>
      <c r="C49" s="175"/>
      <c r="D49" s="153"/>
      <c r="E49" s="149"/>
      <c r="F49" s="149"/>
      <c r="G49" s="149"/>
      <c r="H49" s="149"/>
      <c r="I49" s="149"/>
      <c r="J49" s="149"/>
      <c r="K49" s="149"/>
      <c r="L49" s="149"/>
      <c r="M49" s="149"/>
      <c r="N49" s="149"/>
    </row>
    <row r="50" spans="1:15" ht="14.25" x14ac:dyDescent="0.45">
      <c r="B50" s="158" t="s">
        <v>141</v>
      </c>
      <c r="C50" s="166" t="s">
        <v>32</v>
      </c>
      <c r="D50" s="15" t="s">
        <v>43</v>
      </c>
      <c r="E50" s="16">
        <f>E55*$E$4/E$15</f>
        <v>9.6899224806201556E-2</v>
      </c>
      <c r="F50" s="16">
        <f t="shared" ref="F50:N50" si="22">F55*$E$4/F$15</f>
        <v>7.5115678144342293E-2</v>
      </c>
      <c r="G50" s="16">
        <f t="shared" si="22"/>
        <v>5.8229207863831234E-2</v>
      </c>
      <c r="H50" s="16">
        <f t="shared" si="22"/>
        <v>4.5138920824675376E-2</v>
      </c>
      <c r="I50" s="16">
        <f t="shared" si="22"/>
        <v>3.4991411491996416E-2</v>
      </c>
      <c r="J50" s="16">
        <f t="shared" si="22"/>
        <v>2.7125125187594124E-2</v>
      </c>
      <c r="K50" s="16">
        <f t="shared" si="22"/>
        <v>2.1027228827592344E-2</v>
      </c>
      <c r="L50" s="16">
        <f t="shared" si="22"/>
        <v>1.6300177385730499E-2</v>
      </c>
      <c r="M50" s="16">
        <f t="shared" si="22"/>
        <v>1.2635796423046899E-2</v>
      </c>
      <c r="N50" s="16">
        <f t="shared" si="22"/>
        <v>9.7951910256177509E-3</v>
      </c>
    </row>
    <row r="51" spans="1:15" ht="14.25" x14ac:dyDescent="0.45">
      <c r="B51" s="159"/>
      <c r="C51" s="166"/>
      <c r="D51" s="15" t="s">
        <v>44</v>
      </c>
      <c r="E51" s="16"/>
      <c r="F51" s="16"/>
      <c r="G51" s="16"/>
      <c r="H51" s="16"/>
      <c r="I51" s="127">
        <f>AVERAGE(E50:I50)</f>
        <v>6.2074888626209371E-2</v>
      </c>
      <c r="J51" s="16"/>
      <c r="K51" s="16"/>
      <c r="L51" s="16"/>
      <c r="M51" s="16"/>
      <c r="N51" s="17">
        <f>AVERAGE(E50:N50)</f>
        <v>3.9725796198062845E-2</v>
      </c>
    </row>
    <row r="52" spans="1:15" ht="14.25" x14ac:dyDescent="0.45">
      <c r="B52" s="159"/>
      <c r="C52" s="166"/>
      <c r="D52" s="15" t="s">
        <v>42</v>
      </c>
      <c r="E52" s="16">
        <f t="shared" ref="E52:N52" si="23">E$17*(E50/E$19)</f>
        <v>9.6899224806201556E-2</v>
      </c>
      <c r="F52" s="16">
        <f t="shared" si="23"/>
        <v>0.17201490295054386</v>
      </c>
      <c r="G52" s="16">
        <f t="shared" si="23"/>
        <v>0.23024411081437512</v>
      </c>
      <c r="H52" s="16">
        <f t="shared" si="23"/>
        <v>0.27538303163905031</v>
      </c>
      <c r="I52" s="16">
        <f t="shared" si="23"/>
        <v>0.31037444313104706</v>
      </c>
      <c r="J52" s="16">
        <f t="shared" si="23"/>
        <v>0.33749956831864097</v>
      </c>
      <c r="K52" s="16">
        <f t="shared" si="23"/>
        <v>0.35852679714623309</v>
      </c>
      <c r="L52" s="16">
        <f t="shared" si="23"/>
        <v>0.37482697453196456</v>
      </c>
      <c r="M52" s="16">
        <f t="shared" si="23"/>
        <v>0.38746277095500992</v>
      </c>
      <c r="N52" s="16">
        <f t="shared" si="23"/>
        <v>0.39725796198062935</v>
      </c>
    </row>
    <row r="53" spans="1:15" ht="14.25" customHeight="1" x14ac:dyDescent="0.45">
      <c r="B53" s="159"/>
      <c r="C53" s="167"/>
      <c r="D53" s="19" t="s">
        <v>45</v>
      </c>
      <c r="E53" s="20">
        <f>10*E50</f>
        <v>0.96899224806201556</v>
      </c>
      <c r="F53" s="20">
        <f t="shared" ref="F53:N53" si="24">10*F50</f>
        <v>0.75115678144342291</v>
      </c>
      <c r="G53" s="20">
        <f t="shared" si="24"/>
        <v>0.58229207863831234</v>
      </c>
      <c r="H53" s="20">
        <f t="shared" si="24"/>
        <v>0.45138920824675377</v>
      </c>
      <c r="I53" s="20">
        <f t="shared" si="24"/>
        <v>0.34991411491996416</v>
      </c>
      <c r="J53" s="20">
        <f t="shared" si="24"/>
        <v>0.27125125187594123</v>
      </c>
      <c r="K53" s="20">
        <f t="shared" si="24"/>
        <v>0.21027228827592342</v>
      </c>
      <c r="L53" s="20">
        <f t="shared" si="24"/>
        <v>0.16300177385730499</v>
      </c>
      <c r="M53" s="20">
        <f t="shared" si="24"/>
        <v>0.12635796423046899</v>
      </c>
      <c r="N53" s="20">
        <f t="shared" si="24"/>
        <v>9.7951910256177513E-2</v>
      </c>
    </row>
    <row r="54" spans="1:15" ht="14.25" x14ac:dyDescent="0.45">
      <c r="B54" s="159"/>
      <c r="C54" s="167"/>
      <c r="D54" s="19" t="s">
        <v>46</v>
      </c>
      <c r="E54" s="20">
        <f>10*E52</f>
        <v>0.96899224806201556</v>
      </c>
      <c r="F54" s="20">
        <f>10*F52</f>
        <v>1.7201490295054387</v>
      </c>
      <c r="G54" s="20">
        <f>10*G52</f>
        <v>2.3024411081437512</v>
      </c>
      <c r="H54" s="20">
        <f t="shared" ref="H54:N54" si="25">10*H52</f>
        <v>2.7538303163905029</v>
      </c>
      <c r="I54" s="20">
        <f t="shared" si="25"/>
        <v>3.1037444313104707</v>
      </c>
      <c r="J54" s="20">
        <f t="shared" si="25"/>
        <v>3.3749956831864099</v>
      </c>
      <c r="K54" s="20">
        <f t="shared" si="25"/>
        <v>3.585267971462331</v>
      </c>
      <c r="L54" s="20">
        <f t="shared" si="25"/>
        <v>3.7482697453196456</v>
      </c>
      <c r="M54" s="20">
        <f t="shared" si="25"/>
        <v>3.8746277095500989</v>
      </c>
      <c r="N54" s="20">
        <f t="shared" si="25"/>
        <v>3.9725796198062935</v>
      </c>
    </row>
    <row r="55" spans="1:15" ht="14.25" x14ac:dyDescent="0.45">
      <c r="B55" s="159"/>
      <c r="C55" s="165" t="s">
        <v>36</v>
      </c>
      <c r="D55" s="15" t="s">
        <v>43</v>
      </c>
      <c r="E55" s="16">
        <f t="shared" ref="E55:N55" si="26">$E9+($E$10*$E$11)</f>
        <v>0.125</v>
      </c>
      <c r="F55" s="16">
        <f t="shared" si="26"/>
        <v>0.125</v>
      </c>
      <c r="G55" s="16">
        <f t="shared" si="26"/>
        <v>0.125</v>
      </c>
      <c r="H55" s="16">
        <f t="shared" si="26"/>
        <v>0.125</v>
      </c>
      <c r="I55" s="16">
        <f t="shared" si="26"/>
        <v>0.125</v>
      </c>
      <c r="J55" s="16">
        <f t="shared" si="26"/>
        <v>0.125</v>
      </c>
      <c r="K55" s="16">
        <f t="shared" si="26"/>
        <v>0.125</v>
      </c>
      <c r="L55" s="16">
        <f t="shared" si="26"/>
        <v>0.125</v>
      </c>
      <c r="M55" s="16">
        <f t="shared" si="26"/>
        <v>0.125</v>
      </c>
      <c r="N55" s="16">
        <f t="shared" si="26"/>
        <v>0.125</v>
      </c>
    </row>
    <row r="56" spans="1:15" ht="14.25" customHeight="1" x14ac:dyDescent="0.45">
      <c r="B56" s="159"/>
      <c r="C56" s="167"/>
      <c r="D56" s="19" t="s">
        <v>45</v>
      </c>
      <c r="E56" s="21">
        <f t="shared" ref="E56:N56" si="27">E53*E$15</f>
        <v>125000</v>
      </c>
      <c r="F56" s="21">
        <f t="shared" si="27"/>
        <v>125000</v>
      </c>
      <c r="G56" s="21">
        <f t="shared" si="27"/>
        <v>125000</v>
      </c>
      <c r="H56" s="21">
        <f t="shared" si="27"/>
        <v>125000.00000000001</v>
      </c>
      <c r="I56" s="21">
        <f t="shared" si="27"/>
        <v>125000</v>
      </c>
      <c r="J56" s="21">
        <f t="shared" si="27"/>
        <v>125000</v>
      </c>
      <c r="K56" s="21">
        <f t="shared" si="27"/>
        <v>124999.99999999999</v>
      </c>
      <c r="L56" s="21">
        <f t="shared" si="27"/>
        <v>125000</v>
      </c>
      <c r="M56" s="21">
        <f t="shared" si="27"/>
        <v>125000</v>
      </c>
      <c r="N56" s="21">
        <f t="shared" si="27"/>
        <v>125000</v>
      </c>
    </row>
    <row r="57" spans="1:15" ht="14.25" x14ac:dyDescent="0.45">
      <c r="B57" s="159"/>
      <c r="C57" s="167"/>
      <c r="D57" s="19" t="s">
        <v>46</v>
      </c>
      <c r="E57" s="21">
        <f>E56</f>
        <v>125000</v>
      </c>
      <c r="F57" s="21">
        <f>E57+F56</f>
        <v>250000</v>
      </c>
      <c r="G57" s="21">
        <f>F57+G56</f>
        <v>375000</v>
      </c>
      <c r="H57" s="21">
        <f t="shared" ref="H57:N57" si="28">G57+H56</f>
        <v>500000</v>
      </c>
      <c r="I57" s="21">
        <f t="shared" si="28"/>
        <v>625000</v>
      </c>
      <c r="J57" s="21">
        <f>I57+J56</f>
        <v>750000</v>
      </c>
      <c r="K57" s="21">
        <f t="shared" si="28"/>
        <v>875000</v>
      </c>
      <c r="L57" s="21">
        <f t="shared" si="28"/>
        <v>1000000</v>
      </c>
      <c r="M57" s="21">
        <f t="shared" si="28"/>
        <v>1125000</v>
      </c>
      <c r="N57" s="21">
        <f t="shared" si="28"/>
        <v>1250000</v>
      </c>
    </row>
    <row r="58" spans="1:15" ht="14.25" x14ac:dyDescent="0.45">
      <c r="B58" s="159"/>
      <c r="C58" s="165" t="s">
        <v>35</v>
      </c>
      <c r="D58" s="15" t="s">
        <v>43</v>
      </c>
      <c r="E58" s="16">
        <f>E52*E$15/$E$4</f>
        <v>0.125</v>
      </c>
      <c r="F58" s="16">
        <f>F52*F$15/$E$4-E58</f>
        <v>0.16125000000000006</v>
      </c>
      <c r="G58" s="16">
        <f>G52*G$15/$E$4-F58-E58</f>
        <v>0.20801249999999999</v>
      </c>
      <c r="H58" s="16">
        <f>H52*H$15/$E$4-G58-F58-E58</f>
        <v>0.26833612499999965</v>
      </c>
      <c r="I58" s="16">
        <f>I52*I$15/$E$4-H58-G58-F58-E58</f>
        <v>0.34615360125000089</v>
      </c>
      <c r="J58" s="16">
        <f>J52*J$15/$E$4-I58-H58-G58-F58-E58</f>
        <v>0.44653814561249927</v>
      </c>
      <c r="K58" s="16">
        <f>K52*K$15/$E$4-J58-I58-H58-G58-F58-E58</f>
        <v>0.57603420784012371</v>
      </c>
      <c r="L58" s="16">
        <f>L52*L$15/$E$4-K58-J58-I58-H58-G58-F58-E58</f>
        <v>0.74308412811376767</v>
      </c>
      <c r="M58" s="16">
        <f>M52*M$15/$E$4-L58-K58-J58-I58-H58-G58-F58-E58</f>
        <v>0.95857852526673826</v>
      </c>
      <c r="N58" s="16">
        <f>N52*N$15/$E$4-M58-L58-K58-J58-I58-H58-G58-F58-E58</f>
        <v>1.2365662975941287</v>
      </c>
    </row>
    <row r="59" spans="1:15" ht="14.25" x14ac:dyDescent="0.45">
      <c r="B59" s="159"/>
      <c r="C59" s="166"/>
      <c r="D59" s="15" t="s">
        <v>44</v>
      </c>
      <c r="E59" s="17"/>
      <c r="F59" s="17"/>
      <c r="G59" s="17"/>
      <c r="H59" s="17"/>
      <c r="I59" s="17">
        <f>AVERAGE(E58:I58)</f>
        <v>0.22175044525000009</v>
      </c>
      <c r="J59" s="17"/>
      <c r="K59" s="17"/>
      <c r="L59" s="17"/>
      <c r="M59" s="17"/>
      <c r="N59" s="17">
        <f>AVERAGE(E58:N58)</f>
        <v>0.50695535306772577</v>
      </c>
    </row>
    <row r="60" spans="1:15" ht="14.25" x14ac:dyDescent="0.45">
      <c r="B60" s="159"/>
      <c r="C60" s="167"/>
      <c r="D60" s="19" t="s">
        <v>45</v>
      </c>
      <c r="E60" s="22">
        <f>E62</f>
        <v>125000</v>
      </c>
      <c r="F60" s="22">
        <f>F62-E62</f>
        <v>161250.00000000006</v>
      </c>
      <c r="G60" s="22">
        <f>G62-F62</f>
        <v>208012.50000000006</v>
      </c>
      <c r="H60" s="22">
        <f t="shared" ref="H60:N60" si="29">H62-G62</f>
        <v>268336.12499999942</v>
      </c>
      <c r="I60" s="22">
        <f t="shared" si="29"/>
        <v>346153.601250001</v>
      </c>
      <c r="J60" s="22">
        <f>J62-I62</f>
        <v>446538.14561249921</v>
      </c>
      <c r="K60" s="22">
        <f t="shared" si="29"/>
        <v>576034.20784012345</v>
      </c>
      <c r="L60" s="22">
        <f t="shared" si="29"/>
        <v>743084.12811376806</v>
      </c>
      <c r="M60" s="22">
        <f t="shared" si="29"/>
        <v>958578.52526673814</v>
      </c>
      <c r="N60" s="22">
        <f t="shared" si="29"/>
        <v>1236566.2975941286</v>
      </c>
    </row>
    <row r="61" spans="1:15" ht="15" customHeight="1" x14ac:dyDescent="0.45">
      <c r="B61" s="159"/>
      <c r="C61" s="167"/>
      <c r="D61" s="19" t="s">
        <v>47</v>
      </c>
      <c r="E61" s="22"/>
      <c r="F61" s="22"/>
      <c r="G61" s="22"/>
      <c r="H61" s="22"/>
      <c r="I61" s="22">
        <f>AVERAGE(E60:I60)</f>
        <v>221750.44525000011</v>
      </c>
      <c r="J61" s="22"/>
      <c r="K61" s="22"/>
      <c r="L61" s="22"/>
      <c r="M61" s="22"/>
      <c r="N61" s="22">
        <f>AVERAGE(E60:N60)</f>
        <v>506955.35306772578</v>
      </c>
    </row>
    <row r="62" spans="1:15" ht="14.25" x14ac:dyDescent="0.45">
      <c r="B62" s="160"/>
      <c r="C62" s="167"/>
      <c r="D62" s="19" t="s">
        <v>46</v>
      </c>
      <c r="E62" s="21">
        <f t="shared" ref="E62:N62" si="30">E54*E$15</f>
        <v>125000</v>
      </c>
      <c r="F62" s="21">
        <f t="shared" si="30"/>
        <v>286250.00000000006</v>
      </c>
      <c r="G62" s="21">
        <f t="shared" si="30"/>
        <v>494262.50000000012</v>
      </c>
      <c r="H62" s="21">
        <f t="shared" si="30"/>
        <v>762598.62499999953</v>
      </c>
      <c r="I62" s="21">
        <f t="shared" si="30"/>
        <v>1108752.2262500005</v>
      </c>
      <c r="J62" s="21">
        <f t="shared" si="30"/>
        <v>1555290.3718624997</v>
      </c>
      <c r="K62" s="21">
        <f t="shared" si="30"/>
        <v>2131324.5797026232</v>
      </c>
      <c r="L62" s="21">
        <f t="shared" si="30"/>
        <v>2874408.7078163913</v>
      </c>
      <c r="M62" s="21">
        <f t="shared" si="30"/>
        <v>3832987.2330831294</v>
      </c>
      <c r="N62" s="21">
        <f t="shared" si="30"/>
        <v>5069553.530677258</v>
      </c>
    </row>
    <row r="63" spans="1:15" ht="14.25" x14ac:dyDescent="0.45">
      <c r="A63" s="8"/>
      <c r="B63" s="3"/>
      <c r="C63" s="1"/>
      <c r="D63" s="43"/>
      <c r="E63" s="31"/>
      <c r="F63" s="31"/>
      <c r="G63" s="31"/>
      <c r="H63" s="31"/>
      <c r="I63" s="31"/>
      <c r="J63" s="31"/>
      <c r="K63" s="31"/>
      <c r="L63" s="31"/>
      <c r="M63" s="31"/>
      <c r="N63" s="31"/>
      <c r="O63" s="8"/>
    </row>
    <row r="64" spans="1:15" ht="14.25"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4.25" x14ac:dyDescent="0.45">
      <c r="B65" s="164"/>
      <c r="C65" s="162"/>
      <c r="D65" s="155"/>
      <c r="E65" s="149"/>
      <c r="F65" s="149"/>
      <c r="G65" s="149"/>
      <c r="H65" s="149"/>
      <c r="I65" s="149"/>
      <c r="J65" s="149"/>
      <c r="K65" s="149"/>
      <c r="L65" s="149"/>
      <c r="M65" s="149"/>
      <c r="N65" s="149"/>
    </row>
    <row r="66" spans="2:14" ht="14.25" x14ac:dyDescent="0.45">
      <c r="B66" s="167" t="s">
        <v>16</v>
      </c>
      <c r="C66" s="166" t="s">
        <v>32</v>
      </c>
      <c r="D66" s="15" t="s">
        <v>58</v>
      </c>
      <c r="E66" s="16">
        <f>E$23</f>
        <v>0.44961240310077522</v>
      </c>
      <c r="F66" s="16">
        <f t="shared" ref="F66:N66" si="31">F$23</f>
        <v>0.3485367465897482</v>
      </c>
      <c r="G66" s="16">
        <f t="shared" si="31"/>
        <v>0.27018352448817684</v>
      </c>
      <c r="H66" s="16">
        <f t="shared" si="31"/>
        <v>0.20944459262649384</v>
      </c>
      <c r="I66" s="16">
        <f t="shared" si="31"/>
        <v>0.16236014932286325</v>
      </c>
      <c r="J66" s="16">
        <f t="shared" si="31"/>
        <v>0.12586058087043672</v>
      </c>
      <c r="K66" s="16">
        <f t="shared" si="31"/>
        <v>9.7566341760028541E-2</v>
      </c>
      <c r="L66" s="16">
        <f t="shared" si="31"/>
        <v>7.5632823069789357E-2</v>
      </c>
      <c r="M66" s="16">
        <f t="shared" si="31"/>
        <v>5.8630095402937732E-2</v>
      </c>
      <c r="N66" s="16">
        <f t="shared" si="31"/>
        <v>4.5449686358866259E-2</v>
      </c>
    </row>
    <row r="67" spans="2:14" ht="14.25" x14ac:dyDescent="0.45">
      <c r="B67" s="167"/>
      <c r="C67" s="166"/>
      <c r="D67" s="15" t="s">
        <v>59</v>
      </c>
      <c r="E67" s="16"/>
      <c r="F67" s="16"/>
      <c r="G67" s="16"/>
      <c r="H67" s="16"/>
      <c r="I67" s="82">
        <f>AVERAGE(E66:I66)</f>
        <v>0.28802748322561145</v>
      </c>
      <c r="J67" s="16"/>
      <c r="K67" s="16"/>
      <c r="L67" s="16"/>
      <c r="M67" s="16"/>
      <c r="N67" s="17">
        <f>AVERAGE(E66:N66)</f>
        <v>0.18432769435901158</v>
      </c>
    </row>
    <row r="68" spans="2:14" ht="14.25" x14ac:dyDescent="0.45">
      <c r="B68" s="167"/>
      <c r="C68" s="166"/>
      <c r="D68" s="15" t="s">
        <v>42</v>
      </c>
      <c r="E68" s="16">
        <f>E$17*(E66/E$19)</f>
        <v>0.44961240310077522</v>
      </c>
      <c r="F68" s="16">
        <f t="shared" ref="F68:N68" si="32">F$17*(F66/F$19)</f>
        <v>0.79814914969052342</v>
      </c>
      <c r="G68" s="16">
        <f>G$17*(G66/G$19)</f>
        <v>1.0683326741787003</v>
      </c>
      <c r="H68" s="16">
        <f>H$17*(H66/H$19)</f>
        <v>1.2777772668051941</v>
      </c>
      <c r="I68" s="16">
        <f>I$17*(I66/I$19)</f>
        <v>1.4401374161280573</v>
      </c>
      <c r="J68" s="16">
        <f t="shared" si="32"/>
        <v>1.5659979969984941</v>
      </c>
      <c r="K68" s="16">
        <f t="shared" si="32"/>
        <v>1.6635643387585226</v>
      </c>
      <c r="L68" s="16">
        <f t="shared" si="32"/>
        <v>1.739197161828312</v>
      </c>
      <c r="M68" s="16">
        <f t="shared" si="32"/>
        <v>1.7978272572312497</v>
      </c>
      <c r="N68" s="16">
        <f t="shared" si="32"/>
        <v>1.843276943590116</v>
      </c>
    </row>
    <row r="69" spans="2:14" ht="14.25" customHeight="1" x14ac:dyDescent="0.45">
      <c r="B69" s="167"/>
      <c r="C69" s="167"/>
      <c r="D69" s="19" t="s">
        <v>45</v>
      </c>
      <c r="E69" s="20">
        <f>10*E66</f>
        <v>4.4961240310077519</v>
      </c>
      <c r="F69" s="20">
        <f t="shared" ref="F69:N69" si="33">10*F66</f>
        <v>3.485367465897482</v>
      </c>
      <c r="G69" s="20">
        <f t="shared" si="33"/>
        <v>2.7018352448817682</v>
      </c>
      <c r="H69" s="20">
        <f t="shared" si="33"/>
        <v>2.0944459262649384</v>
      </c>
      <c r="I69" s="20">
        <f t="shared" si="33"/>
        <v>1.6236014932286325</v>
      </c>
      <c r="J69" s="20">
        <f t="shared" si="33"/>
        <v>1.2586058087043672</v>
      </c>
      <c r="K69" s="20">
        <f t="shared" si="33"/>
        <v>0.97566341760028541</v>
      </c>
      <c r="L69" s="20">
        <f t="shared" si="33"/>
        <v>0.75632823069789357</v>
      </c>
      <c r="M69" s="20">
        <f t="shared" si="33"/>
        <v>0.58630095402937732</v>
      </c>
      <c r="N69" s="20">
        <f t="shared" si="33"/>
        <v>0.45449686358866259</v>
      </c>
    </row>
    <row r="70" spans="2:14" ht="14.25" x14ac:dyDescent="0.45">
      <c r="B70" s="167"/>
      <c r="C70" s="167"/>
      <c r="D70" s="19" t="s">
        <v>46</v>
      </c>
      <c r="E70" s="20">
        <f>10*E68</f>
        <v>4.4961240310077519</v>
      </c>
      <c r="F70" s="20">
        <f>10*F68</f>
        <v>7.9814914969052344</v>
      </c>
      <c r="G70" s="20">
        <f>10*G68</f>
        <v>10.683326741787003</v>
      </c>
      <c r="H70" s="20">
        <f t="shared" ref="H70:N70" si="34">10*H68</f>
        <v>12.777772668051941</v>
      </c>
      <c r="I70" s="20">
        <f t="shared" si="34"/>
        <v>14.401374161280573</v>
      </c>
      <c r="J70" s="20">
        <f t="shared" si="34"/>
        <v>15.65997996998494</v>
      </c>
      <c r="K70" s="20">
        <f t="shared" si="34"/>
        <v>16.635643387585226</v>
      </c>
      <c r="L70" s="20">
        <f t="shared" si="34"/>
        <v>17.391971618283119</v>
      </c>
      <c r="M70" s="20">
        <f t="shared" si="34"/>
        <v>17.978272572312498</v>
      </c>
      <c r="N70" s="20">
        <f t="shared" si="34"/>
        <v>18.432769435901161</v>
      </c>
    </row>
    <row r="71" spans="2:14" ht="14.25" x14ac:dyDescent="0.45">
      <c r="B71" s="167"/>
      <c r="C71" s="165" t="s">
        <v>36</v>
      </c>
      <c r="D71" s="15" t="s">
        <v>43</v>
      </c>
      <c r="E71" s="16">
        <f t="shared" ref="E71:N71" si="35">E66*E$15/$E$4</f>
        <v>0.57999999999999996</v>
      </c>
      <c r="F71" s="16">
        <f t="shared" si="35"/>
        <v>0.57999999999999996</v>
      </c>
      <c r="G71" s="16">
        <f t="shared" si="35"/>
        <v>0.57999999999999985</v>
      </c>
      <c r="H71" s="16">
        <f t="shared" si="35"/>
        <v>0.58000000000000029</v>
      </c>
      <c r="I71" s="16">
        <f t="shared" si="35"/>
        <v>0.57999999999999952</v>
      </c>
      <c r="J71" s="16">
        <f t="shared" si="35"/>
        <v>0.57999999999999996</v>
      </c>
      <c r="K71" s="16">
        <f t="shared" si="35"/>
        <v>0.5800000000000004</v>
      </c>
      <c r="L71" s="16">
        <f t="shared" si="35"/>
        <v>0.57999999999999874</v>
      </c>
      <c r="M71" s="16">
        <f t="shared" si="35"/>
        <v>0.58000000000000118</v>
      </c>
      <c r="N71" s="16">
        <f t="shared" si="35"/>
        <v>0.57999999999999863</v>
      </c>
    </row>
    <row r="72" spans="2:14" ht="14.25" customHeight="1" x14ac:dyDescent="0.45">
      <c r="B72" s="167"/>
      <c r="C72" s="167"/>
      <c r="D72" s="19" t="s">
        <v>45</v>
      </c>
      <c r="E72" s="21">
        <f t="shared" ref="E72:N72" si="36">E69*E$15</f>
        <v>580000</v>
      </c>
      <c r="F72" s="21">
        <f t="shared" si="36"/>
        <v>580000</v>
      </c>
      <c r="G72" s="21">
        <f>G69*G$15</f>
        <v>579999.99999999977</v>
      </c>
      <c r="H72" s="21">
        <f>H69*H$15</f>
        <v>580000.00000000035</v>
      </c>
      <c r="I72" s="21">
        <f>I69*I$15</f>
        <v>579999.99999999953</v>
      </c>
      <c r="J72" s="21">
        <f t="shared" si="36"/>
        <v>579999.99999999988</v>
      </c>
      <c r="K72" s="21">
        <f t="shared" si="36"/>
        <v>580000.00000000035</v>
      </c>
      <c r="L72" s="21">
        <f t="shared" si="36"/>
        <v>579999.99999999872</v>
      </c>
      <c r="M72" s="21">
        <f t="shared" si="36"/>
        <v>580000.00000000116</v>
      </c>
      <c r="N72" s="21">
        <f t="shared" si="36"/>
        <v>579999.9999999986</v>
      </c>
    </row>
    <row r="73" spans="2:14" ht="14.25" x14ac:dyDescent="0.45">
      <c r="B73" s="167"/>
      <c r="C73" s="167"/>
      <c r="D73" s="19" t="s">
        <v>46</v>
      </c>
      <c r="E73" s="21">
        <f>E72</f>
        <v>580000</v>
      </c>
      <c r="F73" s="21">
        <f>E73+F72</f>
        <v>1160000</v>
      </c>
      <c r="G73" s="21">
        <f>F73+G72</f>
        <v>1739999.9999999998</v>
      </c>
      <c r="H73" s="21">
        <f t="shared" ref="H73:N73" si="37">G73+H72</f>
        <v>2320000</v>
      </c>
      <c r="I73" s="21">
        <f t="shared" si="37"/>
        <v>2899999.9999999995</v>
      </c>
      <c r="J73" s="21">
        <f>I73+J72</f>
        <v>3479999.9999999995</v>
      </c>
      <c r="K73" s="21">
        <f t="shared" si="37"/>
        <v>4060000</v>
      </c>
      <c r="L73" s="21">
        <f t="shared" si="37"/>
        <v>4639999.9999999991</v>
      </c>
      <c r="M73" s="21">
        <f t="shared" si="37"/>
        <v>5220000</v>
      </c>
      <c r="N73" s="21">
        <f t="shared" si="37"/>
        <v>5799999.9999999981</v>
      </c>
    </row>
    <row r="74" spans="2:14" ht="14.25" x14ac:dyDescent="0.45">
      <c r="B74" s="167"/>
      <c r="C74" s="165" t="s">
        <v>35</v>
      </c>
      <c r="D74" s="15" t="s">
        <v>43</v>
      </c>
      <c r="E74" s="16">
        <f>E68*E$15/$E$4</f>
        <v>0.57999999999999996</v>
      </c>
      <c r="F74" s="16">
        <f>F68*F$15/$E$4-E74</f>
        <v>0.74820000000000009</v>
      </c>
      <c r="G74" s="16">
        <f>G68*G$15/$E$4-F74-E74</f>
        <v>0.96517799999999954</v>
      </c>
      <c r="H74" s="16">
        <f>H68*H$15/$E$4-G74-F74-E74</f>
        <v>1.2450796200000003</v>
      </c>
      <c r="I74" s="16">
        <f>I68*I$15/$E$4-H74-G74-F74-E74</f>
        <v>1.606152709799999</v>
      </c>
      <c r="J74" s="16">
        <f>J68*J$15/$E$4-I74-H74-G74-F74-E74</f>
        <v>2.0719369956419991</v>
      </c>
      <c r="K74" s="16">
        <f>K68*K$15/$E$4-J74-I74-H74-G74-F74-E74</f>
        <v>2.6727987243781812</v>
      </c>
      <c r="L74" s="16">
        <f>L68*L$15/$E$4-K74-J74-I74-H74-G74-F74-E74</f>
        <v>3.4479103544478491</v>
      </c>
      <c r="M74" s="16">
        <f>M68*M$15/$E$4-L74-K74-J74-I74-H74-G74-F74-E74</f>
        <v>4.4478043572377288</v>
      </c>
      <c r="N74" s="16">
        <f>N68*N$15/$E$4-M74-L74-K74-J74-I74-H74-G74-F74-E74</f>
        <v>5.7376676208366666</v>
      </c>
    </row>
    <row r="75" spans="2:14" ht="14.25" x14ac:dyDescent="0.45">
      <c r="B75" s="167"/>
      <c r="C75" s="166"/>
      <c r="D75" s="15" t="s">
        <v>44</v>
      </c>
      <c r="E75" s="17"/>
      <c r="F75" s="17"/>
      <c r="G75" s="17"/>
      <c r="H75" s="17"/>
      <c r="I75" s="17">
        <f>AVERAGE(E74:I74)</f>
        <v>1.0289220659599998</v>
      </c>
      <c r="J75" s="17"/>
      <c r="K75" s="17"/>
      <c r="L75" s="17"/>
      <c r="M75" s="17"/>
      <c r="N75" s="17">
        <f>AVERAGE(E74:N74)</f>
        <v>2.3522728382342426</v>
      </c>
    </row>
    <row r="76" spans="2:14" ht="14.25" x14ac:dyDescent="0.45">
      <c r="B76" s="167"/>
      <c r="C76" s="167"/>
      <c r="D76" s="19" t="s">
        <v>45</v>
      </c>
      <c r="E76" s="22">
        <f>E78</f>
        <v>580000</v>
      </c>
      <c r="F76" s="22">
        <f>F78-E78</f>
        <v>748200</v>
      </c>
      <c r="G76" s="22">
        <f>G78-F78</f>
        <v>965178</v>
      </c>
      <c r="H76" s="22">
        <f t="shared" ref="H76:N76" si="38">H78-G78</f>
        <v>1245079.6200000001</v>
      </c>
      <c r="I76" s="22">
        <f t="shared" si="38"/>
        <v>1606152.7097999994</v>
      </c>
      <c r="J76" s="22">
        <f>J78-I78</f>
        <v>2071936.9956419989</v>
      </c>
      <c r="K76" s="22">
        <f t="shared" si="38"/>
        <v>2672798.7243781807</v>
      </c>
      <c r="L76" s="22">
        <f t="shared" si="38"/>
        <v>3447910.3544478491</v>
      </c>
      <c r="M76" s="22">
        <f t="shared" si="38"/>
        <v>4447804.357237732</v>
      </c>
      <c r="N76" s="22">
        <f t="shared" si="38"/>
        <v>5737667.6208366677</v>
      </c>
    </row>
    <row r="77" spans="2:14" ht="14.25" x14ac:dyDescent="0.45">
      <c r="B77" s="167"/>
      <c r="C77" s="167"/>
      <c r="D77" s="19" t="s">
        <v>47</v>
      </c>
      <c r="E77" s="22"/>
      <c r="F77" s="22"/>
      <c r="G77" s="22"/>
      <c r="H77" s="22"/>
      <c r="I77" s="22">
        <f>AVERAGE(E76:I76)</f>
        <v>1028922.0659599999</v>
      </c>
      <c r="J77" s="22"/>
      <c r="K77" s="22"/>
      <c r="L77" s="22"/>
      <c r="M77" s="22"/>
      <c r="N77" s="22">
        <f>AVERAGE(E76:N76)</f>
        <v>2352272.838234243</v>
      </c>
    </row>
    <row r="78" spans="2:14" ht="14.25" x14ac:dyDescent="0.45">
      <c r="B78" s="167"/>
      <c r="C78" s="167"/>
      <c r="D78" s="19" t="s">
        <v>46</v>
      </c>
      <c r="E78" s="21">
        <f t="shared" ref="E78:N78" si="39">E70*E$15</f>
        <v>580000</v>
      </c>
      <c r="F78" s="21">
        <f t="shared" si="39"/>
        <v>1328200</v>
      </c>
      <c r="G78" s="21">
        <f>G70*G$15</f>
        <v>2293378</v>
      </c>
      <c r="H78" s="21">
        <f>H70*H$15</f>
        <v>3538457.62</v>
      </c>
      <c r="I78" s="21">
        <f>I70*I$15</f>
        <v>5144610.3297999995</v>
      </c>
      <c r="J78" s="21">
        <f t="shared" si="39"/>
        <v>7216547.3254419984</v>
      </c>
      <c r="K78" s="21">
        <f t="shared" si="39"/>
        <v>9889346.0498201791</v>
      </c>
      <c r="L78" s="21">
        <f t="shared" si="39"/>
        <v>13337256.404268028</v>
      </c>
      <c r="M78" s="21">
        <f t="shared" si="39"/>
        <v>17785060.76150576</v>
      </c>
      <c r="N78" s="21">
        <f t="shared" si="39"/>
        <v>23522728.382342428</v>
      </c>
    </row>
    <row r="79" spans="2:14" ht="14.25" x14ac:dyDescent="0.45">
      <c r="B79" s="167" t="s">
        <v>141</v>
      </c>
      <c r="C79" s="166" t="s">
        <v>32</v>
      </c>
      <c r="D79" s="15" t="s">
        <v>43</v>
      </c>
      <c r="E79" s="16">
        <f>E$25</f>
        <v>5.5503875968992249E-2</v>
      </c>
      <c r="F79" s="16">
        <f t="shared" ref="F79:N79" si="40">F$25</f>
        <v>5.2018508503094765E-2</v>
      </c>
      <c r="G79" s="16">
        <f t="shared" si="40"/>
        <v>4.9316673258212998E-2</v>
      </c>
      <c r="H79" s="16">
        <f t="shared" si="40"/>
        <v>4.7222227331948058E-2</v>
      </c>
      <c r="I79" s="16">
        <f t="shared" si="40"/>
        <v>4.5598625838719431E-2</v>
      </c>
      <c r="J79" s="16">
        <f t="shared" si="40"/>
        <v>4.4340020030015061E-2</v>
      </c>
      <c r="K79" s="16">
        <f t="shared" si="40"/>
        <v>4.3364356612414778E-2</v>
      </c>
      <c r="L79" s="16">
        <f t="shared" si="40"/>
        <v>4.260802838171688E-2</v>
      </c>
      <c r="M79" s="16">
        <f t="shared" si="40"/>
        <v>4.2021727427687505E-2</v>
      </c>
      <c r="N79" s="16">
        <f t="shared" si="40"/>
        <v>4.1567230564098841E-2</v>
      </c>
    </row>
    <row r="80" spans="2:14" ht="14.25" x14ac:dyDescent="0.45">
      <c r="B80" s="167"/>
      <c r="C80" s="166"/>
      <c r="D80" s="15" t="s">
        <v>44</v>
      </c>
      <c r="E80" s="16"/>
      <c r="F80" s="16"/>
      <c r="G80" s="16"/>
      <c r="H80" s="16"/>
      <c r="I80" s="82">
        <f>AVERAGE(E79:I79)</f>
        <v>4.9931982180193499E-2</v>
      </c>
      <c r="J80" s="17"/>
      <c r="K80" s="17"/>
      <c r="L80" s="17"/>
      <c r="M80" s="17"/>
      <c r="N80" s="17">
        <f>AVERAGE(E79:N79)</f>
        <v>4.6356127391690052E-2</v>
      </c>
    </row>
    <row r="81" spans="2:14" ht="14.25" x14ac:dyDescent="0.45">
      <c r="B81" s="167"/>
      <c r="C81" s="166"/>
      <c r="D81" s="15" t="s">
        <v>42</v>
      </c>
      <c r="E81" s="16">
        <f>E$27</f>
        <v>5.5503875968992249E-2</v>
      </c>
      <c r="F81" s="16">
        <f t="shared" ref="F81:N81" si="41">F$27</f>
        <v>0.10752238447208701</v>
      </c>
      <c r="G81" s="16">
        <f t="shared" si="41"/>
        <v>0.15683905773029999</v>
      </c>
      <c r="H81" s="16">
        <f t="shared" si="41"/>
        <v>0.20406128506224805</v>
      </c>
      <c r="I81" s="16">
        <f t="shared" si="41"/>
        <v>0.24965991090096748</v>
      </c>
      <c r="J81" s="16">
        <f t="shared" si="41"/>
        <v>0.29399993093098253</v>
      </c>
      <c r="K81" s="16">
        <f t="shared" si="41"/>
        <v>0.33736428754339731</v>
      </c>
      <c r="L81" s="16">
        <f t="shared" si="41"/>
        <v>0.37997231592511421</v>
      </c>
      <c r="M81" s="16">
        <f t="shared" si="41"/>
        <v>0.42199404335280172</v>
      </c>
      <c r="N81" s="16">
        <f t="shared" si="41"/>
        <v>0.46356127391690055</v>
      </c>
    </row>
    <row r="82" spans="2:14" ht="14.25" customHeight="1" x14ac:dyDescent="0.45">
      <c r="B82" s="167"/>
      <c r="C82" s="167"/>
      <c r="D82" s="19" t="s">
        <v>45</v>
      </c>
      <c r="E82" s="20">
        <f t="shared" ref="E82:N82" si="42">10*E79</f>
        <v>0.55503875968992245</v>
      </c>
      <c r="F82" s="20">
        <f t="shared" si="42"/>
        <v>0.52018508503094762</v>
      </c>
      <c r="G82" s="20">
        <f t="shared" si="42"/>
        <v>0.49316673258212995</v>
      </c>
      <c r="H82" s="20">
        <f t="shared" si="42"/>
        <v>0.47222227331948058</v>
      </c>
      <c r="I82" s="20">
        <f t="shared" si="42"/>
        <v>0.45598625838719431</v>
      </c>
      <c r="J82" s="20">
        <f t="shared" si="42"/>
        <v>0.44340020030015059</v>
      </c>
      <c r="K82" s="20">
        <f t="shared" si="42"/>
        <v>0.43364356612414778</v>
      </c>
      <c r="L82" s="20">
        <f t="shared" si="42"/>
        <v>0.42608028381716878</v>
      </c>
      <c r="M82" s="20">
        <f t="shared" si="42"/>
        <v>0.42021727427687505</v>
      </c>
      <c r="N82" s="20">
        <f t="shared" si="42"/>
        <v>0.41567230564098839</v>
      </c>
    </row>
    <row r="83" spans="2:14" ht="14.25" x14ac:dyDescent="0.45">
      <c r="B83" s="167"/>
      <c r="C83" s="167"/>
      <c r="D83" s="19" t="s">
        <v>46</v>
      </c>
      <c r="E83" s="20">
        <f>10*E81</f>
        <v>0.55503875968992245</v>
      </c>
      <c r="F83" s="20">
        <f t="shared" ref="F83:N83" si="43">10*F81</f>
        <v>1.07522384472087</v>
      </c>
      <c r="G83" s="20">
        <f t="shared" si="43"/>
        <v>1.568390577303</v>
      </c>
      <c r="H83" s="20">
        <f t="shared" si="43"/>
        <v>2.0406128506224803</v>
      </c>
      <c r="I83" s="20">
        <f t="shared" si="43"/>
        <v>2.4965991090096749</v>
      </c>
      <c r="J83" s="20">
        <f t="shared" si="43"/>
        <v>2.9399993093098251</v>
      </c>
      <c r="K83" s="20">
        <f t="shared" si="43"/>
        <v>3.3736428754339731</v>
      </c>
      <c r="L83" s="20">
        <f t="shared" si="43"/>
        <v>3.7997231592511422</v>
      </c>
      <c r="M83" s="20">
        <f t="shared" si="43"/>
        <v>4.2199404335280173</v>
      </c>
      <c r="N83" s="20">
        <f t="shared" si="43"/>
        <v>4.6356127391690052</v>
      </c>
    </row>
    <row r="84" spans="2:14" ht="14.25" x14ac:dyDescent="0.45">
      <c r="B84" s="167"/>
      <c r="C84" s="165" t="s">
        <v>36</v>
      </c>
      <c r="D84" s="15" t="s">
        <v>43</v>
      </c>
      <c r="E84" s="16">
        <f>E79*E$15/$E$4</f>
        <v>7.1599999999999997E-2</v>
      </c>
      <c r="F84" s="16">
        <f t="shared" ref="F84:N84" si="44">F79*F$15/$E$4</f>
        <v>8.6564000000000002E-2</v>
      </c>
      <c r="G84" s="16">
        <f t="shared" si="44"/>
        <v>0.10586756</v>
      </c>
      <c r="H84" s="16">
        <f t="shared" si="44"/>
        <v>0.13076915239999998</v>
      </c>
      <c r="I84" s="16">
        <f t="shared" si="44"/>
        <v>0.16289220659599998</v>
      </c>
      <c r="J84" s="16">
        <f t="shared" si="44"/>
        <v>0.20433094650883996</v>
      </c>
      <c r="K84" s="16">
        <f t="shared" si="44"/>
        <v>0.25778692099640355</v>
      </c>
      <c r="L84" s="16">
        <f t="shared" si="44"/>
        <v>0.3267451280853606</v>
      </c>
      <c r="M84" s="16">
        <f t="shared" si="44"/>
        <v>0.41570121523011511</v>
      </c>
      <c r="N84" s="16">
        <f t="shared" si="44"/>
        <v>0.53045456764684851</v>
      </c>
    </row>
    <row r="85" spans="2:14" ht="14.25" x14ac:dyDescent="0.45">
      <c r="B85" s="167"/>
      <c r="C85" s="166"/>
      <c r="D85" s="15" t="s">
        <v>44</v>
      </c>
      <c r="E85" s="16"/>
      <c r="F85" s="16"/>
      <c r="G85" s="16"/>
      <c r="H85" s="16"/>
      <c r="I85" s="17">
        <f>AVERAGE(E84:I84)</f>
        <v>0.11153858379919998</v>
      </c>
      <c r="J85" s="17"/>
      <c r="K85" s="17"/>
      <c r="L85" s="17"/>
      <c r="M85" s="17"/>
      <c r="N85" s="17">
        <f>AVERAGE(E84:N84)</f>
        <v>0.22927116974635675</v>
      </c>
    </row>
    <row r="86" spans="2:14" ht="14.25" x14ac:dyDescent="0.45">
      <c r="B86" s="167"/>
      <c r="C86" s="167"/>
      <c r="D86" s="19" t="s">
        <v>45</v>
      </c>
      <c r="E86" s="23">
        <f t="shared" ref="E86:F86" si="45">E82*E$15</f>
        <v>71600</v>
      </c>
      <c r="F86" s="23">
        <f t="shared" si="45"/>
        <v>86564</v>
      </c>
      <c r="G86" s="23">
        <f>G82*G$15</f>
        <v>105867.56</v>
      </c>
      <c r="H86" s="23">
        <f>H82*H$15</f>
        <v>130769.15239999999</v>
      </c>
      <c r="I86" s="23">
        <f>I82*I$15</f>
        <v>162892.206596</v>
      </c>
      <c r="J86" s="23">
        <f t="shared" ref="J86:N86" si="46">J82*J$15</f>
        <v>204330.94650883996</v>
      </c>
      <c r="K86" s="23">
        <f t="shared" si="46"/>
        <v>257786.92099640358</v>
      </c>
      <c r="L86" s="23">
        <f t="shared" si="46"/>
        <v>326745.12808536057</v>
      </c>
      <c r="M86" s="23">
        <f t="shared" si="46"/>
        <v>415701.21523011517</v>
      </c>
      <c r="N86" s="23">
        <f t="shared" si="46"/>
        <v>530454.5676468485</v>
      </c>
    </row>
    <row r="87" spans="2:14" ht="14.25" customHeight="1" x14ac:dyDescent="0.45">
      <c r="B87" s="167"/>
      <c r="C87" s="167"/>
      <c r="D87" s="19" t="s">
        <v>47</v>
      </c>
      <c r="E87" s="24"/>
      <c r="F87" s="24"/>
      <c r="G87" s="24"/>
      <c r="H87" s="24"/>
      <c r="I87" s="23">
        <f>AVERAGE(E86:I86)</f>
        <v>111538.58379919999</v>
      </c>
      <c r="J87" s="23"/>
      <c r="K87" s="23"/>
      <c r="L87" s="23"/>
      <c r="M87" s="23"/>
      <c r="N87" s="23">
        <f>AVERAGE(E86:N86)</f>
        <v>229271.16974635678</v>
      </c>
    </row>
    <row r="88" spans="2:14" ht="14.25" x14ac:dyDescent="0.45">
      <c r="B88" s="167"/>
      <c r="C88" s="167"/>
      <c r="D88" s="19" t="s">
        <v>46</v>
      </c>
      <c r="E88" s="24">
        <f>E86</f>
        <v>71600</v>
      </c>
      <c r="F88" s="24">
        <f t="shared" ref="F88" si="47">E88+F86</f>
        <v>158164</v>
      </c>
      <c r="G88" s="24">
        <f>F88+G86</f>
        <v>264031.56</v>
      </c>
      <c r="H88" s="24">
        <f t="shared" ref="H88:I88" si="48">G88+H86</f>
        <v>394800.71239999996</v>
      </c>
      <c r="I88" s="24">
        <f t="shared" si="48"/>
        <v>557692.91899599996</v>
      </c>
      <c r="J88" s="24">
        <f>I88+J86</f>
        <v>762023.86550483992</v>
      </c>
      <c r="K88" s="24">
        <f t="shared" ref="K88:N88" si="49">J88+K86</f>
        <v>1019810.7865012435</v>
      </c>
      <c r="L88" s="24">
        <f t="shared" si="49"/>
        <v>1346555.9145866041</v>
      </c>
      <c r="M88" s="24">
        <f t="shared" si="49"/>
        <v>1762257.1298167193</v>
      </c>
      <c r="N88" s="24">
        <f t="shared" si="49"/>
        <v>2292711.6974635678</v>
      </c>
    </row>
    <row r="89" spans="2:14" ht="14.25" x14ac:dyDescent="0.45">
      <c r="B89" s="167"/>
      <c r="C89" s="165" t="s">
        <v>35</v>
      </c>
      <c r="D89" s="15" t="s">
        <v>43</v>
      </c>
      <c r="E89" s="16">
        <f>E81*E$15/$E$4</f>
        <v>7.1599999999999997E-2</v>
      </c>
      <c r="F89" s="16">
        <f>F81*F$15/$E$4-E89</f>
        <v>0.10732800000000001</v>
      </c>
      <c r="G89" s="16">
        <f>G81*G$15/$E$4-F89-E89</f>
        <v>0.15775667999999995</v>
      </c>
      <c r="H89" s="16">
        <f>H81*H$15/$E$4-G89-F89-E89</f>
        <v>0.22840770960000001</v>
      </c>
      <c r="I89" s="16">
        <f>I81*I$15/$E$4-H89-G89-F89-E89</f>
        <v>0.32676899957999983</v>
      </c>
      <c r="J89" s="16">
        <f>J81*J$15/$E$4-I89-H89-G89-F89-E89</f>
        <v>0.46297074937103999</v>
      </c>
      <c r="K89" s="16">
        <f>K81*K$15/$E$4-J89-I89-H89-G89-F89-E89</f>
        <v>0.65068824117620472</v>
      </c>
      <c r="L89" s="16">
        <f>L81*L$15/$E$4-K89-J89-I89-H89-G89-F89-E89</f>
        <v>0.90834603820626159</v>
      </c>
      <c r="M89" s="16">
        <f>M81*M$15/$E$4-L89-K89-J89-I89-H89-G89-F89-E89</f>
        <v>1.260722476430832</v>
      </c>
      <c r="N89" s="16">
        <f>N81*N$15/$E$4-M89-L89-K89-J89-I89-H89-G89-F89-E89</f>
        <v>1.7410853470125063</v>
      </c>
    </row>
    <row r="90" spans="2:14" ht="14.25" x14ac:dyDescent="0.45">
      <c r="B90" s="167"/>
      <c r="C90" s="166"/>
      <c r="D90" s="15" t="s">
        <v>44</v>
      </c>
      <c r="E90" s="17"/>
      <c r="F90" s="17"/>
      <c r="G90" s="17"/>
      <c r="H90" s="17"/>
      <c r="I90" s="17">
        <f>AVERAGE(E89:I89)</f>
        <v>0.17837227783599996</v>
      </c>
      <c r="J90" s="17"/>
      <c r="K90" s="17"/>
      <c r="L90" s="17"/>
      <c r="M90" s="17"/>
      <c r="N90" s="17">
        <f>AVERAGE(E89:N89)</f>
        <v>0.59156742413768448</v>
      </c>
    </row>
    <row r="91" spans="2:14" ht="14.25" x14ac:dyDescent="0.45">
      <c r="B91" s="167"/>
      <c r="C91" s="167"/>
      <c r="D91" s="19" t="s">
        <v>45</v>
      </c>
      <c r="E91" s="23">
        <f>E93</f>
        <v>71600</v>
      </c>
      <c r="F91" s="23">
        <f>F93-E93</f>
        <v>107327.99999999997</v>
      </c>
      <c r="G91" s="23">
        <f>G93-F93</f>
        <v>157756.68000000002</v>
      </c>
      <c r="H91" s="23">
        <f>H93-G93</f>
        <v>228407.70959999989</v>
      </c>
      <c r="I91" s="23">
        <f>I93-H93</f>
        <v>326768.99957999995</v>
      </c>
      <c r="J91" s="23">
        <f>J93-I93</f>
        <v>462970.74937103956</v>
      </c>
      <c r="K91" s="23">
        <f t="shared" ref="K91:N91" si="50">K93-J93</f>
        <v>650688.24117620522</v>
      </c>
      <c r="L91" s="23">
        <f t="shared" si="50"/>
        <v>908346.03820626182</v>
      </c>
      <c r="M91" s="23">
        <f t="shared" si="50"/>
        <v>1260722.4764308319</v>
      </c>
      <c r="N91" s="23">
        <f t="shared" si="50"/>
        <v>1741085.3470125059</v>
      </c>
    </row>
    <row r="92" spans="2:14" ht="14.25" x14ac:dyDescent="0.45">
      <c r="B92" s="167"/>
      <c r="C92" s="167"/>
      <c r="D92" s="19" t="s">
        <v>47</v>
      </c>
      <c r="E92" s="23"/>
      <c r="F92" s="23"/>
      <c r="G92" s="23"/>
      <c r="H92" s="23"/>
      <c r="I92" s="23">
        <f>AVERAGE(E91:I91)</f>
        <v>178372.27783599996</v>
      </c>
      <c r="J92" s="23"/>
      <c r="K92" s="23"/>
      <c r="L92" s="23"/>
      <c r="M92" s="23"/>
      <c r="N92" s="23">
        <f>AVERAGE(E91:N91)</f>
        <v>591567.4241376844</v>
      </c>
    </row>
    <row r="93" spans="2:14" ht="14.25" x14ac:dyDescent="0.45">
      <c r="B93" s="167"/>
      <c r="C93" s="167"/>
      <c r="D93" s="19" t="s">
        <v>46</v>
      </c>
      <c r="E93" s="24">
        <f t="shared" ref="E93:F93" si="51">E83*E$15</f>
        <v>71600</v>
      </c>
      <c r="F93" s="24">
        <f t="shared" si="51"/>
        <v>178927.99999999997</v>
      </c>
      <c r="G93" s="24">
        <f>G83*G$15</f>
        <v>336684.68</v>
      </c>
      <c r="H93" s="24">
        <f>H83*H$15</f>
        <v>565092.38959999988</v>
      </c>
      <c r="I93" s="24">
        <f>I83*I$15</f>
        <v>891861.38917999982</v>
      </c>
      <c r="J93" s="24">
        <f t="shared" ref="J93:N93" si="52">J83*J$15</f>
        <v>1354832.1385510394</v>
      </c>
      <c r="K93" s="24">
        <f t="shared" si="52"/>
        <v>2005520.3797272446</v>
      </c>
      <c r="L93" s="24">
        <f t="shared" si="52"/>
        <v>2913866.4179335064</v>
      </c>
      <c r="M93" s="24">
        <f t="shared" si="52"/>
        <v>4174588.8943643384</v>
      </c>
      <c r="N93" s="24">
        <f t="shared" si="52"/>
        <v>5915674.2413768442</v>
      </c>
    </row>
    <row r="94" spans="2:14" ht="14.25" x14ac:dyDescent="0.45">
      <c r="B94" s="167" t="s">
        <v>17</v>
      </c>
      <c r="C94" s="166" t="s">
        <v>32</v>
      </c>
      <c r="D94" s="15" t="s">
        <v>43</v>
      </c>
      <c r="E94" s="16">
        <f>E$28</f>
        <v>2.7751937984496124E-2</v>
      </c>
      <c r="F94" s="16">
        <f t="shared" ref="F94:N94" si="53">F$28</f>
        <v>2.6009254251547383E-2</v>
      </c>
      <c r="G94" s="16">
        <f t="shared" si="53"/>
        <v>2.4658336629106499E-2</v>
      </c>
      <c r="H94" s="16">
        <f t="shared" si="53"/>
        <v>2.3611113665974029E-2</v>
      </c>
      <c r="I94" s="16">
        <f t="shared" si="53"/>
        <v>2.2799312919359715E-2</v>
      </c>
      <c r="J94" s="16">
        <f t="shared" si="53"/>
        <v>2.217001001500753E-2</v>
      </c>
      <c r="K94" s="16">
        <f t="shared" si="53"/>
        <v>2.1682178306207389E-2</v>
      </c>
      <c r="L94" s="16">
        <f t="shared" si="53"/>
        <v>2.130401419085844E-2</v>
      </c>
      <c r="M94" s="16">
        <f t="shared" si="53"/>
        <v>2.1010863713843753E-2</v>
      </c>
      <c r="N94" s="16">
        <f t="shared" si="53"/>
        <v>2.078361528204942E-2</v>
      </c>
    </row>
    <row r="95" spans="2:14" ht="14.25" x14ac:dyDescent="0.45">
      <c r="B95" s="167"/>
      <c r="C95" s="166"/>
      <c r="D95" s="15" t="s">
        <v>44</v>
      </c>
      <c r="E95" s="16"/>
      <c r="F95" s="16"/>
      <c r="G95" s="16"/>
      <c r="H95" s="16"/>
      <c r="I95" s="82">
        <f>AVERAGE(E94:I94)</f>
        <v>2.4965991090096749E-2</v>
      </c>
      <c r="J95" s="17"/>
      <c r="K95" s="17"/>
      <c r="L95" s="17"/>
      <c r="M95" s="17"/>
      <c r="N95" s="17">
        <f>AVERAGE(E94:N94)</f>
        <v>2.3178063695845026E-2</v>
      </c>
    </row>
    <row r="96" spans="2:14" ht="14.25" x14ac:dyDescent="0.45">
      <c r="B96" s="167"/>
      <c r="C96" s="166"/>
      <c r="D96" s="15" t="s">
        <v>42</v>
      </c>
      <c r="E96" s="16">
        <f t="shared" ref="E96:N96" si="54">E$30</f>
        <v>2.7751937984496124E-2</v>
      </c>
      <c r="F96" s="16">
        <f t="shared" si="54"/>
        <v>5.3761192236043504E-2</v>
      </c>
      <c r="G96" s="16">
        <f t="shared" si="54"/>
        <v>7.8419528865149996E-2</v>
      </c>
      <c r="H96" s="16">
        <f t="shared" si="54"/>
        <v>0.10203064253112402</v>
      </c>
      <c r="I96" s="16">
        <f t="shared" si="54"/>
        <v>0.12482995545048374</v>
      </c>
      <c r="J96" s="16">
        <f t="shared" si="54"/>
        <v>0.14699996546549127</v>
      </c>
      <c r="K96" s="16">
        <f t="shared" si="54"/>
        <v>0.16868214377169866</v>
      </c>
      <c r="L96" s="16">
        <f t="shared" si="54"/>
        <v>0.18998615796255711</v>
      </c>
      <c r="M96" s="16">
        <f t="shared" si="54"/>
        <v>0.21099702167640086</v>
      </c>
      <c r="N96" s="16">
        <f t="shared" si="54"/>
        <v>0.23178063695845028</v>
      </c>
    </row>
    <row r="97" spans="2:14" ht="14.25" customHeight="1" x14ac:dyDescent="0.45">
      <c r="B97" s="167"/>
      <c r="C97" s="167"/>
      <c r="D97" s="19" t="s">
        <v>45</v>
      </c>
      <c r="E97" s="20">
        <f t="shared" ref="E97:N97" si="55">10*E94</f>
        <v>0.27751937984496122</v>
      </c>
      <c r="F97" s="20">
        <f t="shared" si="55"/>
        <v>0.26009254251547381</v>
      </c>
      <c r="G97" s="20">
        <f t="shared" si="55"/>
        <v>0.24658336629106498</v>
      </c>
      <c r="H97" s="20">
        <f t="shared" si="55"/>
        <v>0.23611113665974029</v>
      </c>
      <c r="I97" s="20">
        <f t="shared" si="55"/>
        <v>0.22799312919359715</v>
      </c>
      <c r="J97" s="20">
        <f t="shared" si="55"/>
        <v>0.2217001001500753</v>
      </c>
      <c r="K97" s="20">
        <f t="shared" si="55"/>
        <v>0.21682178306207389</v>
      </c>
      <c r="L97" s="20">
        <f t="shared" si="55"/>
        <v>0.21304014190858439</v>
      </c>
      <c r="M97" s="20">
        <f t="shared" si="55"/>
        <v>0.21010863713843753</v>
      </c>
      <c r="N97" s="20">
        <f t="shared" si="55"/>
        <v>0.2078361528204942</v>
      </c>
    </row>
    <row r="98" spans="2:14" ht="14.25" x14ac:dyDescent="0.45">
      <c r="B98" s="167"/>
      <c r="C98" s="167"/>
      <c r="D98" s="19" t="s">
        <v>46</v>
      </c>
      <c r="E98" s="20">
        <f>10*E96</f>
        <v>0.27751937984496122</v>
      </c>
      <c r="F98" s="20">
        <f t="shared" ref="F98:N98" si="56">10*F96</f>
        <v>0.53761192236043498</v>
      </c>
      <c r="G98" s="20">
        <f t="shared" si="56"/>
        <v>0.78419528865150001</v>
      </c>
      <c r="H98" s="20">
        <f t="shared" si="56"/>
        <v>1.0203064253112402</v>
      </c>
      <c r="I98" s="20">
        <f t="shared" si="56"/>
        <v>1.2482995545048374</v>
      </c>
      <c r="J98" s="20">
        <f t="shared" si="56"/>
        <v>1.4699996546549126</v>
      </c>
      <c r="K98" s="20">
        <f t="shared" si="56"/>
        <v>1.6868214377169866</v>
      </c>
      <c r="L98" s="20">
        <f t="shared" si="56"/>
        <v>1.8998615796255711</v>
      </c>
      <c r="M98" s="20">
        <f t="shared" si="56"/>
        <v>2.1099702167640086</v>
      </c>
      <c r="N98" s="20">
        <f t="shared" si="56"/>
        <v>2.3178063695845026</v>
      </c>
    </row>
    <row r="99" spans="2:14" ht="14.25" x14ac:dyDescent="0.45">
      <c r="B99" s="167"/>
      <c r="C99" s="165" t="s">
        <v>36</v>
      </c>
      <c r="D99" s="15" t="s">
        <v>43</v>
      </c>
      <c r="E99" s="16">
        <f t="shared" ref="E99:N99" si="57">E94*E$15/$E$4</f>
        <v>3.5799999999999998E-2</v>
      </c>
      <c r="F99" s="16">
        <f t="shared" si="57"/>
        <v>4.3282000000000001E-2</v>
      </c>
      <c r="G99" s="16">
        <f t="shared" si="57"/>
        <v>5.293378E-2</v>
      </c>
      <c r="H99" s="16">
        <f t="shared" si="57"/>
        <v>6.5384576199999989E-2</v>
      </c>
      <c r="I99" s="16">
        <f t="shared" si="57"/>
        <v>8.1446103297999992E-2</v>
      </c>
      <c r="J99" s="16">
        <f t="shared" si="57"/>
        <v>0.10216547325441998</v>
      </c>
      <c r="K99" s="16">
        <f t="shared" si="57"/>
        <v>0.12889346049820177</v>
      </c>
      <c r="L99" s="16">
        <f t="shared" si="57"/>
        <v>0.1633725640426803</v>
      </c>
      <c r="M99" s="16">
        <f t="shared" si="57"/>
        <v>0.20785060761505755</v>
      </c>
      <c r="N99" s="16">
        <f t="shared" si="57"/>
        <v>0.26522728382342425</v>
      </c>
    </row>
    <row r="100" spans="2:14" ht="14.25" x14ac:dyDescent="0.45">
      <c r="B100" s="167"/>
      <c r="C100" s="166"/>
      <c r="D100" s="15" t="s">
        <v>44</v>
      </c>
      <c r="E100" s="16"/>
      <c r="F100" s="16"/>
      <c r="G100" s="16"/>
      <c r="H100" s="16"/>
      <c r="I100" s="17">
        <f>AVERAGE(E99:I99)</f>
        <v>5.576929189959999E-2</v>
      </c>
      <c r="J100" s="17"/>
      <c r="K100" s="17"/>
      <c r="L100" s="17"/>
      <c r="M100" s="17"/>
      <c r="N100" s="17">
        <f>AVERAGE(E99:N99)</f>
        <v>0.11463558487317838</v>
      </c>
    </row>
    <row r="101" spans="2:14" ht="14.25" x14ac:dyDescent="0.45">
      <c r="B101" s="167"/>
      <c r="C101" s="167"/>
      <c r="D101" s="19" t="s">
        <v>45</v>
      </c>
      <c r="E101" s="23">
        <f t="shared" ref="E101:N101" si="58">E97*E$15</f>
        <v>35800</v>
      </c>
      <c r="F101" s="23">
        <f t="shared" si="58"/>
        <v>43282</v>
      </c>
      <c r="G101" s="23">
        <f>G97*G$15</f>
        <v>52933.78</v>
      </c>
      <c r="H101" s="23">
        <f>H97*H$15</f>
        <v>65384.576199999996</v>
      </c>
      <c r="I101" s="23">
        <f>I97*I$15</f>
        <v>81446.103298000002</v>
      </c>
      <c r="J101" s="23">
        <f t="shared" si="58"/>
        <v>102165.47325441998</v>
      </c>
      <c r="K101" s="23">
        <f t="shared" si="58"/>
        <v>128893.46049820179</v>
      </c>
      <c r="L101" s="23">
        <f t="shared" si="58"/>
        <v>163372.56404268029</v>
      </c>
      <c r="M101" s="23">
        <f t="shared" si="58"/>
        <v>207850.60761505758</v>
      </c>
      <c r="N101" s="23">
        <f t="shared" si="58"/>
        <v>265227.28382342425</v>
      </c>
    </row>
    <row r="102" spans="2:14" ht="14.25" customHeight="1" x14ac:dyDescent="0.45">
      <c r="B102" s="167"/>
      <c r="C102" s="167"/>
      <c r="D102" s="19" t="s">
        <v>47</v>
      </c>
      <c r="E102" s="24"/>
      <c r="F102" s="24"/>
      <c r="G102" s="24"/>
      <c r="H102" s="24"/>
      <c r="I102" s="23">
        <f>AVERAGE(E101:I101)</f>
        <v>55769.291899599993</v>
      </c>
      <c r="J102" s="23"/>
      <c r="K102" s="23"/>
      <c r="L102" s="23"/>
      <c r="M102" s="23"/>
      <c r="N102" s="23">
        <f>AVERAGE(E101:N101)</f>
        <v>114635.58487317839</v>
      </c>
    </row>
    <row r="103" spans="2:14" ht="14.25" x14ac:dyDescent="0.45">
      <c r="B103" s="167"/>
      <c r="C103" s="167"/>
      <c r="D103" s="19" t="s">
        <v>46</v>
      </c>
      <c r="E103" s="24">
        <f>E101</f>
        <v>35800</v>
      </c>
      <c r="F103" s="24">
        <f t="shared" ref="F103:N103" si="59">E103+F101</f>
        <v>79082</v>
      </c>
      <c r="G103" s="24">
        <f>F103+G101</f>
        <v>132015.78</v>
      </c>
      <c r="H103" s="24">
        <f t="shared" si="59"/>
        <v>197400.35619999998</v>
      </c>
      <c r="I103" s="24">
        <f t="shared" si="59"/>
        <v>278846.45949799998</v>
      </c>
      <c r="J103" s="24">
        <f>I103+J101</f>
        <v>381011.93275241996</v>
      </c>
      <c r="K103" s="24">
        <f t="shared" si="59"/>
        <v>509905.39325062174</v>
      </c>
      <c r="L103" s="24">
        <f t="shared" si="59"/>
        <v>673277.95729330205</v>
      </c>
      <c r="M103" s="24">
        <f t="shared" si="59"/>
        <v>881128.56490835967</v>
      </c>
      <c r="N103" s="24">
        <f t="shared" si="59"/>
        <v>1146355.8487317839</v>
      </c>
    </row>
    <row r="104" spans="2:14" ht="14.25" x14ac:dyDescent="0.45">
      <c r="B104" s="167"/>
      <c r="C104" s="165" t="s">
        <v>35</v>
      </c>
      <c r="D104" s="15" t="s">
        <v>43</v>
      </c>
      <c r="E104" s="16">
        <f>E96*E$15/$E$4</f>
        <v>3.5799999999999998E-2</v>
      </c>
      <c r="F104" s="16">
        <f>F96*F$15/$E$4-E104</f>
        <v>5.3664000000000003E-2</v>
      </c>
      <c r="G104" s="16">
        <f>G96*G$15/$E$4-F104-E104</f>
        <v>7.8878339999999977E-2</v>
      </c>
      <c r="H104" s="16">
        <f>H96*H$15/$E$4-G104-F104-E104</f>
        <v>0.1142038548</v>
      </c>
      <c r="I104" s="16">
        <f>I96*I$15/$E$4-H104-G104-F104-E104</f>
        <v>0.16338449978999992</v>
      </c>
      <c r="J104" s="16">
        <f>J96*J$15/$E$4-I104-H104-G104-F104-E104</f>
        <v>0.23148537468552</v>
      </c>
      <c r="K104" s="16">
        <f>K96*K$15/$E$4-J104-I104-H104-G104-F104-E104</f>
        <v>0.32534412058810236</v>
      </c>
      <c r="L104" s="16">
        <f>L96*L$15/$E$4-K104-J104-I104-H104-G104-F104-E104</f>
        <v>0.45417301910313079</v>
      </c>
      <c r="M104" s="16">
        <f>M96*M$15/$E$4-L104-K104-J104-I104-H104-G104-F104-E104</f>
        <v>0.63036123821541601</v>
      </c>
      <c r="N104" s="16">
        <f>N96*N$15/$E$4-M104-L104-K104-J104-I104-H104-G104-F104-E104</f>
        <v>0.87054267350625314</v>
      </c>
    </row>
    <row r="105" spans="2:14" ht="14.25" x14ac:dyDescent="0.45">
      <c r="B105" s="167"/>
      <c r="C105" s="166"/>
      <c r="D105" s="15" t="s">
        <v>44</v>
      </c>
      <c r="E105" s="17"/>
      <c r="F105" s="17"/>
      <c r="G105" s="17"/>
      <c r="H105" s="17"/>
      <c r="I105" s="17">
        <f>AVERAGE(E104:I104)</f>
        <v>8.918613891799998E-2</v>
      </c>
      <c r="J105" s="17"/>
      <c r="K105" s="17"/>
      <c r="L105" s="17"/>
      <c r="M105" s="17"/>
      <c r="N105" s="17">
        <f>AVERAGE(E104:N104)</f>
        <v>0.29578371206884224</v>
      </c>
    </row>
    <row r="106" spans="2:14" ht="14.25" x14ac:dyDescent="0.45">
      <c r="B106" s="167"/>
      <c r="C106" s="167"/>
      <c r="D106" s="19" t="s">
        <v>45</v>
      </c>
      <c r="E106" s="23">
        <f>E108</f>
        <v>35800</v>
      </c>
      <c r="F106" s="23">
        <f>F108-E108</f>
        <v>53663.999999999985</v>
      </c>
      <c r="G106" s="23">
        <f>G108-F108</f>
        <v>78878.340000000011</v>
      </c>
      <c r="H106" s="23">
        <f>H108-G108</f>
        <v>114203.85479999994</v>
      </c>
      <c r="I106" s="23">
        <f>I108-H108</f>
        <v>163384.49978999997</v>
      </c>
      <c r="J106" s="23">
        <f>J108-I108</f>
        <v>231485.37468551978</v>
      </c>
      <c r="K106" s="23">
        <f t="shared" ref="K106:N106" si="60">K108-J108</f>
        <v>325344.12058810261</v>
      </c>
      <c r="L106" s="23">
        <f t="shared" si="60"/>
        <v>454173.01910313091</v>
      </c>
      <c r="M106" s="23">
        <f t="shared" si="60"/>
        <v>630361.23821541597</v>
      </c>
      <c r="N106" s="23">
        <f t="shared" si="60"/>
        <v>870542.67350625293</v>
      </c>
    </row>
    <row r="107" spans="2:14" ht="15" customHeight="1" x14ac:dyDescent="0.45">
      <c r="B107" s="167"/>
      <c r="C107" s="167"/>
      <c r="D107" s="19" t="s">
        <v>47</v>
      </c>
      <c r="E107" s="23"/>
      <c r="F107" s="23"/>
      <c r="G107" s="23"/>
      <c r="H107" s="23"/>
      <c r="I107" s="23">
        <f>AVERAGE(E106:I106)</f>
        <v>89186.138917999982</v>
      </c>
      <c r="J107" s="23"/>
      <c r="K107" s="23"/>
      <c r="L107" s="23"/>
      <c r="M107" s="23"/>
      <c r="N107" s="23">
        <f>AVERAGE(E106:N106)</f>
        <v>295783.7120688422</v>
      </c>
    </row>
    <row r="108" spans="2:14" ht="14.25" x14ac:dyDescent="0.45">
      <c r="B108" s="167"/>
      <c r="C108" s="167"/>
      <c r="D108" s="19" t="s">
        <v>46</v>
      </c>
      <c r="E108" s="24">
        <f t="shared" ref="E108:N108" si="61">E98*E$15</f>
        <v>35800</v>
      </c>
      <c r="F108" s="24">
        <f t="shared" si="61"/>
        <v>89463.999999999985</v>
      </c>
      <c r="G108" s="24">
        <f>G98*G$15</f>
        <v>168342.34</v>
      </c>
      <c r="H108" s="24">
        <f>H98*H$15</f>
        <v>282546.19479999994</v>
      </c>
      <c r="I108" s="24">
        <f>I98*I$15</f>
        <v>445930.69458999991</v>
      </c>
      <c r="J108" s="24">
        <f t="shared" si="61"/>
        <v>677416.06927551969</v>
      </c>
      <c r="K108" s="24">
        <f t="shared" si="61"/>
        <v>1002760.1898636223</v>
      </c>
      <c r="L108" s="24">
        <f t="shared" si="61"/>
        <v>1456933.2089667532</v>
      </c>
      <c r="M108" s="24">
        <f t="shared" si="61"/>
        <v>2087294.4471821692</v>
      </c>
      <c r="N108" s="24">
        <f t="shared" si="61"/>
        <v>2957837.1206884221</v>
      </c>
    </row>
    <row r="109" spans="2:14" ht="14.25" x14ac:dyDescent="0.45">
      <c r="B109" s="167" t="s">
        <v>18</v>
      </c>
      <c r="C109" s="166" t="s">
        <v>32</v>
      </c>
      <c r="D109" s="15" t="s">
        <v>43</v>
      </c>
      <c r="E109" s="16">
        <f>E66+E79+E94-E34-E50</f>
        <v>0.35844961240310075</v>
      </c>
      <c r="F109" s="16">
        <f t="shared" ref="F109:N109" si="62">F66+F79+F94-F34-F50</f>
        <v>0.29135628868457419</v>
      </c>
      <c r="G109" s="16">
        <f t="shared" si="62"/>
        <v>0.23934596022060012</v>
      </c>
      <c r="H109" s="16">
        <f t="shared" si="62"/>
        <v>0.1990278761400002</v>
      </c>
      <c r="I109" s="16">
        <f t="shared" si="62"/>
        <v>0.16777354739534883</v>
      </c>
      <c r="J109" s="16">
        <f t="shared" si="62"/>
        <v>0.1435453855777899</v>
      </c>
      <c r="K109" s="16">
        <f t="shared" si="62"/>
        <v>0.12476386478898449</v>
      </c>
      <c r="L109" s="16">
        <f t="shared" si="62"/>
        <v>0.11020454634804977</v>
      </c>
      <c r="M109" s="16">
        <f t="shared" si="62"/>
        <v>9.8918252982984581E-2</v>
      </c>
      <c r="N109" s="16">
        <f t="shared" si="62"/>
        <v>9.0169188358902558E-2</v>
      </c>
    </row>
    <row r="110" spans="2:14" ht="14.25" x14ac:dyDescent="0.45">
      <c r="B110" s="167"/>
      <c r="C110" s="166"/>
      <c r="D110" s="15" t="s">
        <v>44</v>
      </c>
      <c r="E110" s="16"/>
      <c r="F110" s="16"/>
      <c r="G110" s="16"/>
      <c r="H110" s="16"/>
      <c r="I110" s="38">
        <f>AVERAGE(E109:I109)</f>
        <v>0.25119065696872478</v>
      </c>
      <c r="J110" s="16"/>
      <c r="K110" s="16"/>
      <c r="L110" s="16"/>
      <c r="M110" s="16"/>
      <c r="N110" s="17">
        <f>AVERAGE(E109:N109)</f>
        <v>0.18235545229003355</v>
      </c>
    </row>
    <row r="111" spans="2:14" ht="14.25" x14ac:dyDescent="0.45">
      <c r="B111" s="167"/>
      <c r="C111" s="166"/>
      <c r="D111" s="15" t="s">
        <v>42</v>
      </c>
      <c r="E111" s="16">
        <f>E68+E81+E96-E36-E52</f>
        <v>0.35844961240310075</v>
      </c>
      <c r="F111" s="16">
        <f t="shared" ref="F111:N111" si="63">F68+F81+F96-F36-F52</f>
        <v>0.649805901087675</v>
      </c>
      <c r="G111" s="16">
        <f t="shared" si="63"/>
        <v>0.88915186130827495</v>
      </c>
      <c r="H111" s="16">
        <f t="shared" si="63"/>
        <v>1.0881797374482756</v>
      </c>
      <c r="I111" s="16">
        <f t="shared" si="63"/>
        <v>1.2559532848436237</v>
      </c>
      <c r="J111" s="16">
        <f t="shared" si="63"/>
        <v>1.3994986704214141</v>
      </c>
      <c r="K111" s="16">
        <f t="shared" si="63"/>
        <v>1.5242625352103987</v>
      </c>
      <c r="L111" s="16">
        <f t="shared" si="63"/>
        <v>1.634467081558447</v>
      </c>
      <c r="M111" s="16">
        <f t="shared" si="63"/>
        <v>1.7333853345414347</v>
      </c>
      <c r="N111" s="16">
        <f t="shared" si="63"/>
        <v>1.8235545229003336</v>
      </c>
    </row>
    <row r="112" spans="2:14" ht="14.25" x14ac:dyDescent="0.45">
      <c r="B112" s="167"/>
      <c r="C112" s="167"/>
      <c r="D112" s="19" t="s">
        <v>45</v>
      </c>
      <c r="E112" s="20">
        <f>10*E109</f>
        <v>3.5844961240310074</v>
      </c>
      <c r="F112" s="20">
        <f t="shared" ref="F112:N112" si="64">10*F109</f>
        <v>2.9135628868457419</v>
      </c>
      <c r="G112" s="20">
        <f t="shared" si="64"/>
        <v>2.3934596022060011</v>
      </c>
      <c r="H112" s="20">
        <f t="shared" si="64"/>
        <v>1.9902787614000019</v>
      </c>
      <c r="I112" s="20">
        <f t="shared" si="64"/>
        <v>1.6777354739534882</v>
      </c>
      <c r="J112" s="20">
        <f t="shared" si="64"/>
        <v>1.4354538557778991</v>
      </c>
      <c r="K112" s="20">
        <f t="shared" si="64"/>
        <v>1.2476386478898449</v>
      </c>
      <c r="L112" s="20">
        <f t="shared" si="64"/>
        <v>1.1020454634804977</v>
      </c>
      <c r="M112" s="20">
        <f t="shared" si="64"/>
        <v>0.98918252982984578</v>
      </c>
      <c r="N112" s="20">
        <f t="shared" si="64"/>
        <v>0.90169188358902552</v>
      </c>
    </row>
    <row r="113" spans="1:15" ht="14.25" x14ac:dyDescent="0.45">
      <c r="B113" s="167"/>
      <c r="C113" s="167"/>
      <c r="D113" s="19" t="s">
        <v>46</v>
      </c>
      <c r="E113" s="20">
        <f>10*E111</f>
        <v>3.5844961240310074</v>
      </c>
      <c r="F113" s="20">
        <f>10*F111</f>
        <v>6.4980590108767498</v>
      </c>
      <c r="G113" s="20">
        <f>10*G111</f>
        <v>8.8915186130827486</v>
      </c>
      <c r="H113" s="20">
        <f t="shared" ref="H113:N113" si="65">10*H111</f>
        <v>10.881797374482755</v>
      </c>
      <c r="I113" s="20">
        <f t="shared" si="65"/>
        <v>12.559532848436238</v>
      </c>
      <c r="J113" s="20">
        <f t="shared" si="65"/>
        <v>13.99498670421414</v>
      </c>
      <c r="K113" s="20">
        <f t="shared" si="65"/>
        <v>15.242625352103987</v>
      </c>
      <c r="L113" s="20">
        <f t="shared" si="65"/>
        <v>16.344670815584472</v>
      </c>
      <c r="M113" s="20">
        <f t="shared" si="65"/>
        <v>17.333853345414347</v>
      </c>
      <c r="N113" s="20">
        <f t="shared" si="65"/>
        <v>18.235545229003336</v>
      </c>
    </row>
    <row r="114" spans="1:15" ht="14.25" x14ac:dyDescent="0.45">
      <c r="B114" s="167"/>
      <c r="C114" s="165" t="s">
        <v>36</v>
      </c>
      <c r="D114" s="15" t="s">
        <v>43</v>
      </c>
      <c r="E114" s="16">
        <f>E71+E84+E99-E39-E55</f>
        <v>0.46240000000000003</v>
      </c>
      <c r="F114" s="16">
        <f t="shared" ref="F114:N114" si="66">F71+F84+F99-F39-F55</f>
        <v>0.484846</v>
      </c>
      <c r="G114" s="16">
        <f t="shared" si="66"/>
        <v>0.51380133999999988</v>
      </c>
      <c r="H114" s="16">
        <f t="shared" si="66"/>
        <v>0.55115372860000023</v>
      </c>
      <c r="I114" s="16">
        <f t="shared" si="66"/>
        <v>0.5993383098939995</v>
      </c>
      <c r="J114" s="16">
        <f t="shared" si="66"/>
        <v>0.6614964197632599</v>
      </c>
      <c r="K114" s="16">
        <f t="shared" si="66"/>
        <v>0.74168038149460569</v>
      </c>
      <c r="L114" s="16">
        <f t="shared" si="66"/>
        <v>0.84511769212803955</v>
      </c>
      <c r="M114" s="16">
        <f t="shared" si="66"/>
        <v>0.97855182284517372</v>
      </c>
      <c r="N114" s="16">
        <f t="shared" si="66"/>
        <v>1.1506818514702712</v>
      </c>
    </row>
    <row r="115" spans="1:15" ht="14.25" x14ac:dyDescent="0.45">
      <c r="B115" s="167"/>
      <c r="C115" s="166"/>
      <c r="D115" s="15" t="s">
        <v>44</v>
      </c>
      <c r="E115" s="16"/>
      <c r="F115" s="16"/>
      <c r="G115" s="16"/>
      <c r="H115" s="16"/>
      <c r="I115" s="17">
        <f>AVERAGE(E114:I114)</f>
        <v>0.52230787569879988</v>
      </c>
      <c r="J115" s="17"/>
      <c r="K115" s="17"/>
      <c r="L115" s="17"/>
      <c r="M115" s="17"/>
      <c r="N115" s="17">
        <f>AVERAGE(E114:N114)</f>
        <v>0.69890675461953489</v>
      </c>
    </row>
    <row r="116" spans="1:15" ht="14.25" x14ac:dyDescent="0.45">
      <c r="B116" s="167"/>
      <c r="C116" s="167"/>
      <c r="D116" s="19" t="s">
        <v>45</v>
      </c>
      <c r="E116" s="22">
        <f t="shared" ref="E116:N116" si="67">E112*E$15</f>
        <v>462399.99999999994</v>
      </c>
      <c r="F116" s="22">
        <f t="shared" si="67"/>
        <v>484845.99999999994</v>
      </c>
      <c r="G116" s="22">
        <f>G112*G$15</f>
        <v>513801.33999999979</v>
      </c>
      <c r="H116" s="22">
        <f>H112*H$15</f>
        <v>551153.72860000015</v>
      </c>
      <c r="I116" s="22">
        <f>I112*I$15</f>
        <v>599338.30989399948</v>
      </c>
      <c r="J116" s="22">
        <f t="shared" si="67"/>
        <v>661496.41976325994</v>
      </c>
      <c r="K116" s="22">
        <f t="shared" si="67"/>
        <v>741680.3814946058</v>
      </c>
      <c r="L116" s="22">
        <f t="shared" si="67"/>
        <v>845117.69212803955</v>
      </c>
      <c r="M116" s="22">
        <f t="shared" si="67"/>
        <v>978551.822845174</v>
      </c>
      <c r="N116" s="22">
        <f t="shared" si="67"/>
        <v>1150681.8514702711</v>
      </c>
    </row>
    <row r="117" spans="1:15" ht="14.25" x14ac:dyDescent="0.45">
      <c r="B117" s="167"/>
      <c r="C117" s="167"/>
      <c r="D117" s="19" t="s">
        <v>47</v>
      </c>
      <c r="E117" s="21"/>
      <c r="F117" s="21"/>
      <c r="G117" s="21"/>
      <c r="H117" s="21"/>
      <c r="I117" s="22">
        <f>AVERAGE(E116:I116)</f>
        <v>522307.87569879985</v>
      </c>
      <c r="J117" s="22"/>
      <c r="K117" s="22"/>
      <c r="L117" s="22"/>
      <c r="M117" s="22"/>
      <c r="N117" s="22">
        <f>AVERAGE(E116:N116)</f>
        <v>698906.75461953494</v>
      </c>
    </row>
    <row r="118" spans="1:15" ht="14.25" x14ac:dyDescent="0.45">
      <c r="B118" s="167"/>
      <c r="C118" s="167"/>
      <c r="D118" s="19" t="s">
        <v>46</v>
      </c>
      <c r="E118" s="21">
        <f>E116</f>
        <v>462399.99999999994</v>
      </c>
      <c r="F118" s="21">
        <f t="shared" ref="F118:N118" si="68">E118+F116</f>
        <v>947245.99999999988</v>
      </c>
      <c r="G118" s="21">
        <f>F118+G116</f>
        <v>1461047.3399999996</v>
      </c>
      <c r="H118" s="21">
        <f t="shared" si="68"/>
        <v>2012201.0685999999</v>
      </c>
      <c r="I118" s="21">
        <f t="shared" si="68"/>
        <v>2611539.3784939991</v>
      </c>
      <c r="J118" s="21">
        <f>I118+J116</f>
        <v>3273035.7982572592</v>
      </c>
      <c r="K118" s="21">
        <f t="shared" si="68"/>
        <v>4014716.1797518651</v>
      </c>
      <c r="L118" s="21">
        <f t="shared" si="68"/>
        <v>4859833.8718799045</v>
      </c>
      <c r="M118" s="21">
        <f t="shared" si="68"/>
        <v>5838385.6947250785</v>
      </c>
      <c r="N118" s="21">
        <f t="shared" si="68"/>
        <v>6989067.5461953497</v>
      </c>
    </row>
    <row r="119" spans="1:15" ht="15" customHeight="1" x14ac:dyDescent="0.45">
      <c r="B119" s="167"/>
      <c r="C119" s="165" t="s">
        <v>35</v>
      </c>
      <c r="D119" s="15" t="s">
        <v>43</v>
      </c>
      <c r="E119" s="16">
        <f>E74+E89+E104-E42-E58</f>
        <v>0.46240000000000003</v>
      </c>
      <c r="F119" s="16">
        <f t="shared" ref="F119:N119" si="69">F74+F89+F104-F42-F58</f>
        <v>0.6189420000000001</v>
      </c>
      <c r="G119" s="16">
        <f t="shared" si="69"/>
        <v>0.82739051999999935</v>
      </c>
      <c r="H119" s="16">
        <f t="shared" si="69"/>
        <v>1.104686159400001</v>
      </c>
      <c r="I119" s="16">
        <f t="shared" si="69"/>
        <v>1.4732297269199972</v>
      </c>
      <c r="J119" s="16">
        <f t="shared" si="69"/>
        <v>1.962624457596061</v>
      </c>
      <c r="K119" s="16">
        <f t="shared" si="69"/>
        <v>2.6119695120302655</v>
      </c>
      <c r="L119" s="16">
        <f t="shared" si="69"/>
        <v>3.4728779811524588</v>
      </c>
      <c r="M119" s="16">
        <f t="shared" si="69"/>
        <v>4.6134467264038488</v>
      </c>
      <c r="N119" s="16">
        <f t="shared" si="69"/>
        <v>6.1234763056859967</v>
      </c>
    </row>
    <row r="120" spans="1:15" ht="15" customHeight="1" x14ac:dyDescent="0.45">
      <c r="B120" s="167"/>
      <c r="C120" s="166"/>
      <c r="D120" s="15" t="s">
        <v>44</v>
      </c>
      <c r="E120" s="17"/>
      <c r="F120" s="17"/>
      <c r="G120" s="17"/>
      <c r="H120" s="17"/>
      <c r="I120" s="17">
        <f>AVERAGE(E119:I119)</f>
        <v>0.89732968126399959</v>
      </c>
      <c r="J120" s="17"/>
      <c r="K120" s="17"/>
      <c r="L120" s="17"/>
      <c r="M120" s="17"/>
      <c r="N120" s="17">
        <f>AVERAGE(E119:N119)</f>
        <v>2.327104338918863</v>
      </c>
    </row>
    <row r="121" spans="1:15" ht="15" customHeight="1" x14ac:dyDescent="0.45">
      <c r="B121" s="167"/>
      <c r="C121" s="167"/>
      <c r="D121" s="19" t="s">
        <v>45</v>
      </c>
      <c r="E121" s="22">
        <f>E123</f>
        <v>462399.99999999994</v>
      </c>
      <c r="F121" s="22">
        <f>F123-E123</f>
        <v>618942</v>
      </c>
      <c r="G121" s="22">
        <f>G123-F123</f>
        <v>827390.51999999909</v>
      </c>
      <c r="H121" s="22">
        <f t="shared" ref="H121:N121" si="70">H123-G123</f>
        <v>1104686.1594000012</v>
      </c>
      <c r="I121" s="22">
        <f t="shared" si="70"/>
        <v>1473229.726919997</v>
      </c>
      <c r="J121" s="22">
        <f>J123-I123</f>
        <v>1962624.4575960608</v>
      </c>
      <c r="K121" s="22">
        <f t="shared" si="70"/>
        <v>2611969.5120302644</v>
      </c>
      <c r="L121" s="22">
        <f t="shared" si="70"/>
        <v>3472877.9811524618</v>
      </c>
      <c r="M121" s="22">
        <f t="shared" si="70"/>
        <v>4613446.7264038511</v>
      </c>
      <c r="N121" s="22">
        <f t="shared" si="70"/>
        <v>6123476.3056859858</v>
      </c>
    </row>
    <row r="122" spans="1:15" ht="15" customHeight="1" x14ac:dyDescent="0.45">
      <c r="A122" s="8"/>
      <c r="B122" s="167"/>
      <c r="C122" s="167"/>
      <c r="D122" s="19" t="s">
        <v>47</v>
      </c>
      <c r="E122" s="22"/>
      <c r="F122" s="22"/>
      <c r="G122" s="22"/>
      <c r="H122" s="22"/>
      <c r="I122" s="22">
        <f>AVERAGE(E121:I121)</f>
        <v>897329.68126399943</v>
      </c>
      <c r="J122" s="22"/>
      <c r="K122" s="22"/>
      <c r="L122" s="22"/>
      <c r="M122" s="22"/>
      <c r="N122" s="22">
        <f>AVERAGE(E121:N121)</f>
        <v>2327104.3389188619</v>
      </c>
      <c r="O122" s="8"/>
    </row>
    <row r="123" spans="1:15" ht="15" customHeight="1" x14ac:dyDescent="0.45">
      <c r="B123" s="167"/>
      <c r="C123" s="167"/>
      <c r="D123" s="19" t="s">
        <v>46</v>
      </c>
      <c r="E123" s="21">
        <f t="shared" ref="E123:N123" si="71">E113*E$15</f>
        <v>462399.99999999994</v>
      </c>
      <c r="F123" s="21">
        <f t="shared" si="71"/>
        <v>1081342</v>
      </c>
      <c r="G123" s="21">
        <f>G113*G$15</f>
        <v>1908732.5199999991</v>
      </c>
      <c r="H123" s="21">
        <f>H113*H$15</f>
        <v>3013418.6794000003</v>
      </c>
      <c r="I123" s="21">
        <f>I113*I$15</f>
        <v>4486648.4063199973</v>
      </c>
      <c r="J123" s="21">
        <f t="shared" si="71"/>
        <v>6449272.8639160581</v>
      </c>
      <c r="K123" s="21">
        <f t="shared" si="71"/>
        <v>9061242.3759463225</v>
      </c>
      <c r="L123" s="21">
        <f t="shared" si="71"/>
        <v>12534120.357098784</v>
      </c>
      <c r="M123" s="21">
        <f t="shared" si="71"/>
        <v>17147567.083502635</v>
      </c>
      <c r="N123" s="21">
        <f t="shared" si="71"/>
        <v>23271043.389188621</v>
      </c>
    </row>
    <row r="124" spans="1:15" ht="15" customHeight="1" x14ac:dyDescent="0.45">
      <c r="B124" s="1"/>
      <c r="C124" s="1"/>
      <c r="D124" s="40"/>
      <c r="E124" s="10"/>
      <c r="F124" s="10"/>
      <c r="G124" s="10"/>
      <c r="H124" s="10"/>
      <c r="I124" s="10"/>
      <c r="J124" s="10"/>
      <c r="K124" s="10"/>
      <c r="L124" s="10"/>
      <c r="M124" s="10"/>
      <c r="N124" s="10"/>
    </row>
    <row r="125" spans="1:15"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5" ht="15" customHeight="1" x14ac:dyDescent="0.45">
      <c r="B126" s="151"/>
      <c r="C126" s="153"/>
      <c r="D126" s="153"/>
      <c r="E126" s="149"/>
      <c r="F126" s="149"/>
      <c r="G126" s="149"/>
      <c r="H126" s="149"/>
      <c r="I126" s="149"/>
      <c r="J126" s="149"/>
      <c r="K126" s="149"/>
      <c r="L126" s="149"/>
      <c r="M126" s="149"/>
      <c r="N126" s="149"/>
    </row>
    <row r="127" spans="1:15" ht="15" customHeight="1" x14ac:dyDescent="0.45">
      <c r="B127" s="158" t="s">
        <v>141</v>
      </c>
      <c r="C127" s="156">
        <v>20000</v>
      </c>
      <c r="D127" s="44" t="s">
        <v>19</v>
      </c>
      <c r="E127" s="27">
        <f t="shared" ref="E127:N127" si="72">E$53/10*$C127/(2+$E$11)</f>
        <v>645.99483204134367</v>
      </c>
      <c r="F127" s="27">
        <f t="shared" si="72"/>
        <v>500.77118762894861</v>
      </c>
      <c r="G127" s="27">
        <f t="shared" si="72"/>
        <v>388.19471909220823</v>
      </c>
      <c r="H127" s="27">
        <f t="shared" si="72"/>
        <v>300.92613883116917</v>
      </c>
      <c r="I127" s="27">
        <f t="shared" si="72"/>
        <v>233.27607661330944</v>
      </c>
      <c r="J127" s="27">
        <f t="shared" si="72"/>
        <v>180.83416791729417</v>
      </c>
      <c r="K127" s="27">
        <f t="shared" si="72"/>
        <v>140.1815255172823</v>
      </c>
      <c r="L127" s="27">
        <f t="shared" si="72"/>
        <v>108.66784923820332</v>
      </c>
      <c r="M127" s="27">
        <f t="shared" si="72"/>
        <v>84.238642820312663</v>
      </c>
      <c r="N127" s="27">
        <f t="shared" si="72"/>
        <v>65.301273504118342</v>
      </c>
    </row>
    <row r="128" spans="1:15" ht="15" customHeight="1" x14ac:dyDescent="0.45">
      <c r="B128" s="159"/>
      <c r="C128" s="156"/>
      <c r="D128" s="19" t="s">
        <v>22</v>
      </c>
      <c r="E128" s="27"/>
      <c r="F128" s="27"/>
      <c r="G128" s="27"/>
      <c r="H128" s="27"/>
      <c r="I128" s="28">
        <f>AVERAGE(E127:I127)</f>
        <v>413.83259084139593</v>
      </c>
      <c r="J128" s="27"/>
      <c r="K128" s="27"/>
      <c r="L128" s="27"/>
      <c r="M128" s="27"/>
      <c r="N128" s="27">
        <f>AVERAGE(E127:N127)</f>
        <v>264.83864132041901</v>
      </c>
    </row>
    <row r="129" spans="2:14" ht="15" customHeight="1" x14ac:dyDescent="0.45">
      <c r="B129" s="159"/>
      <c r="C129" s="156"/>
      <c r="D129" s="19" t="s">
        <v>41</v>
      </c>
      <c r="E129" s="27">
        <f t="shared" ref="E129:N129" si="73">E$54/10*$C127/(2+$E$11)</f>
        <v>645.99483204134367</v>
      </c>
      <c r="F129" s="27">
        <f t="shared" si="73"/>
        <v>1146.7660196702925</v>
      </c>
      <c r="G129" s="27">
        <f t="shared" si="73"/>
        <v>1534.9607387625008</v>
      </c>
      <c r="H129" s="27">
        <f t="shared" si="73"/>
        <v>1835.8868775936687</v>
      </c>
      <c r="I129" s="28">
        <f t="shared" si="73"/>
        <v>2069.1629542069804</v>
      </c>
      <c r="J129" s="27">
        <f t="shared" si="73"/>
        <v>2249.9971221242731</v>
      </c>
      <c r="K129" s="27">
        <f t="shared" si="73"/>
        <v>2390.1786476415541</v>
      </c>
      <c r="L129" s="27">
        <f t="shared" si="73"/>
        <v>2498.8464968797639</v>
      </c>
      <c r="M129" s="27">
        <f t="shared" si="73"/>
        <v>2583.0851397000661</v>
      </c>
      <c r="N129" s="27">
        <f t="shared" si="73"/>
        <v>2648.3864132041958</v>
      </c>
    </row>
    <row r="130" spans="2:14" ht="15" customHeight="1" x14ac:dyDescent="0.45">
      <c r="B130" s="159"/>
      <c r="C130" s="156">
        <v>400000</v>
      </c>
      <c r="D130" s="44" t="s">
        <v>19</v>
      </c>
      <c r="E130" s="27">
        <f t="shared" ref="E130:N130" si="74">E$53/10*$C130/(2+$E$11)</f>
        <v>12919.896640826875</v>
      </c>
      <c r="F130" s="27">
        <f t="shared" si="74"/>
        <v>10015.423752578972</v>
      </c>
      <c r="G130" s="27">
        <f t="shared" si="74"/>
        <v>7763.8943818441649</v>
      </c>
      <c r="H130" s="27">
        <f t="shared" si="74"/>
        <v>6018.5227766233838</v>
      </c>
      <c r="I130" s="27">
        <f t="shared" si="74"/>
        <v>4665.5215322661888</v>
      </c>
      <c r="J130" s="27">
        <f t="shared" si="74"/>
        <v>3616.6833583458833</v>
      </c>
      <c r="K130" s="27">
        <f t="shared" si="74"/>
        <v>2803.6305103456457</v>
      </c>
      <c r="L130" s="27">
        <f t="shared" si="74"/>
        <v>2173.3569847640665</v>
      </c>
      <c r="M130" s="27">
        <f t="shared" si="74"/>
        <v>1684.7728564062534</v>
      </c>
      <c r="N130" s="27">
        <f t="shared" si="74"/>
        <v>1306.0254700823668</v>
      </c>
    </row>
    <row r="131" spans="2:14" ht="15" customHeight="1" x14ac:dyDescent="0.45">
      <c r="B131" s="159"/>
      <c r="C131" s="156"/>
      <c r="D131" s="19" t="s">
        <v>22</v>
      </c>
      <c r="E131" s="27"/>
      <c r="F131" s="27"/>
      <c r="G131" s="27"/>
      <c r="H131" s="27"/>
      <c r="I131" s="28">
        <f>AVERAGE(E130:I130)</f>
        <v>8276.6518168279181</v>
      </c>
      <c r="J131" s="27"/>
      <c r="K131" s="27"/>
      <c r="L131" s="27"/>
      <c r="M131" s="27"/>
      <c r="N131" s="27">
        <f>AVERAGE(E130:N130)</f>
        <v>5296.7728264083808</v>
      </c>
    </row>
    <row r="132" spans="2:14" ht="15" customHeight="1" x14ac:dyDescent="0.45">
      <c r="B132" s="159"/>
      <c r="C132" s="156"/>
      <c r="D132" s="19" t="s">
        <v>41</v>
      </c>
      <c r="E132" s="27">
        <f t="shared" ref="E132:N132" si="75">E$54/10*$C130/(2+$E$11)</f>
        <v>12919.896640826875</v>
      </c>
      <c r="F132" s="27">
        <f t="shared" si="75"/>
        <v>22935.320393405851</v>
      </c>
      <c r="G132" s="27">
        <f t="shared" si="75"/>
        <v>30699.214775250017</v>
      </c>
      <c r="H132" s="27">
        <f t="shared" si="75"/>
        <v>36717.737551873375</v>
      </c>
      <c r="I132" s="28">
        <f t="shared" si="75"/>
        <v>41383.259084139609</v>
      </c>
      <c r="J132" s="27">
        <f t="shared" si="75"/>
        <v>44999.942442485459</v>
      </c>
      <c r="K132" s="27">
        <f t="shared" si="75"/>
        <v>47803.572952831077</v>
      </c>
      <c r="L132" s="27">
        <f t="shared" si="75"/>
        <v>49976.929937595276</v>
      </c>
      <c r="M132" s="27">
        <f t="shared" si="75"/>
        <v>51661.702794001321</v>
      </c>
      <c r="N132" s="27">
        <f t="shared" si="75"/>
        <v>52967.728264083911</v>
      </c>
    </row>
    <row r="133" spans="2:14" ht="15" customHeight="1" x14ac:dyDescent="0.45">
      <c r="B133" s="159"/>
      <c r="C133" s="157">
        <v>1000000</v>
      </c>
      <c r="D133" s="15" t="s">
        <v>19</v>
      </c>
      <c r="E133" s="29">
        <f t="shared" ref="E133:N133" si="76">E$53/10*$C133/(2+$E$11)</f>
        <v>32299.741602067184</v>
      </c>
      <c r="F133" s="29">
        <f t="shared" si="76"/>
        <v>25038.55938144743</v>
      </c>
      <c r="G133" s="29">
        <f t="shared" si="76"/>
        <v>19409.735954610409</v>
      </c>
      <c r="H133" s="29">
        <f t="shared" si="76"/>
        <v>15046.30694155846</v>
      </c>
      <c r="I133" s="29">
        <f t="shared" si="76"/>
        <v>11663.803830665473</v>
      </c>
      <c r="J133" s="29">
        <f t="shared" si="76"/>
        <v>9041.7083958647072</v>
      </c>
      <c r="K133" s="29">
        <f t="shared" si="76"/>
        <v>7009.0762758641149</v>
      </c>
      <c r="L133" s="29">
        <f t="shared" si="76"/>
        <v>5433.3924619101663</v>
      </c>
      <c r="M133" s="29">
        <f t="shared" si="76"/>
        <v>4211.9321410156326</v>
      </c>
      <c r="N133" s="29">
        <f t="shared" si="76"/>
        <v>3265.0636752059168</v>
      </c>
    </row>
    <row r="134" spans="2:14" ht="15" customHeight="1" x14ac:dyDescent="0.45">
      <c r="B134" s="159"/>
      <c r="C134" s="157"/>
      <c r="D134" s="15" t="s">
        <v>22</v>
      </c>
      <c r="E134" s="29"/>
      <c r="F134" s="29"/>
      <c r="G134" s="29"/>
      <c r="H134" s="29"/>
      <c r="I134" s="30">
        <f>AVERAGE(E133:I133)</f>
        <v>20691.629542069793</v>
      </c>
      <c r="J134" s="29"/>
      <c r="K134" s="29"/>
      <c r="L134" s="29"/>
      <c r="M134" s="29"/>
      <c r="N134" s="29">
        <f>AVERAGE(E133:N133)</f>
        <v>13241.932066020949</v>
      </c>
    </row>
    <row r="135" spans="2:14" ht="15" customHeight="1" x14ac:dyDescent="0.45">
      <c r="B135" s="160"/>
      <c r="C135" s="157"/>
      <c r="D135" s="15" t="s">
        <v>41</v>
      </c>
      <c r="E135" s="29">
        <f t="shared" ref="E135:N135" si="77">E$54/10*$C133/(2+$E$11)</f>
        <v>32299.741602067184</v>
      </c>
      <c r="F135" s="29">
        <f t="shared" si="77"/>
        <v>57338.300983514615</v>
      </c>
      <c r="G135" s="29">
        <f t="shared" si="77"/>
        <v>76748.036938125049</v>
      </c>
      <c r="H135" s="29">
        <f t="shared" si="77"/>
        <v>91794.343879683423</v>
      </c>
      <c r="I135" s="30">
        <f t="shared" si="77"/>
        <v>103458.14771034902</v>
      </c>
      <c r="J135" s="29">
        <f t="shared" si="77"/>
        <v>112499.85610621366</v>
      </c>
      <c r="K135" s="29">
        <f t="shared" si="77"/>
        <v>119508.93238207769</v>
      </c>
      <c r="L135" s="29">
        <f t="shared" si="77"/>
        <v>124942.32484398819</v>
      </c>
      <c r="M135" s="29">
        <f t="shared" si="77"/>
        <v>129154.2569850033</v>
      </c>
      <c r="N135" s="29">
        <f t="shared" si="77"/>
        <v>132419.32066020978</v>
      </c>
    </row>
    <row r="136" spans="2:14" ht="15" customHeight="1" x14ac:dyDescent="0.45">
      <c r="B136" s="3"/>
      <c r="C136" s="1"/>
      <c r="D136" s="40"/>
      <c r="E136" s="10"/>
      <c r="F136" s="10"/>
      <c r="G136" s="10"/>
      <c r="H136" s="10"/>
      <c r="I136" s="10"/>
      <c r="J136" s="10"/>
      <c r="K136" s="10"/>
      <c r="L136" s="10"/>
      <c r="M136" s="10"/>
      <c r="N136" s="10"/>
    </row>
  </sheetData>
  <mergeCells count="105">
    <mergeCell ref="B109:B123"/>
    <mergeCell ref="C109:C113"/>
    <mergeCell ref="C114:C118"/>
    <mergeCell ref="C119:C123"/>
    <mergeCell ref="B79:B93"/>
    <mergeCell ref="C79:C83"/>
    <mergeCell ref="B94:B108"/>
    <mergeCell ref="C94:C98"/>
    <mergeCell ref="C99:C103"/>
    <mergeCell ref="C104:C108"/>
    <mergeCell ref="B2:C11"/>
    <mergeCell ref="B13:B14"/>
    <mergeCell ref="C13:C14"/>
    <mergeCell ref="D13:D14"/>
    <mergeCell ref="E13:E14"/>
    <mergeCell ref="F13:F14"/>
    <mergeCell ref="G13:G14"/>
    <mergeCell ref="H13:H14"/>
    <mergeCell ref="I13:I14"/>
    <mergeCell ref="J13:J14"/>
    <mergeCell ref="K13:K14"/>
    <mergeCell ref="L13:L14"/>
    <mergeCell ref="M13:M14"/>
    <mergeCell ref="N13:N14"/>
    <mergeCell ref="D2:E3"/>
    <mergeCell ref="G2:I3"/>
    <mergeCell ref="K2:N2"/>
    <mergeCell ref="B15:B16"/>
    <mergeCell ref="C15:C16"/>
    <mergeCell ref="B25:B27"/>
    <mergeCell ref="C25:C27"/>
    <mergeCell ref="B17:B24"/>
    <mergeCell ref="C17:C24"/>
    <mergeCell ref="B28:B30"/>
    <mergeCell ref="C28:C30"/>
    <mergeCell ref="B32:B33"/>
    <mergeCell ref="C32:C33"/>
    <mergeCell ref="D32:D33"/>
    <mergeCell ref="E32:E33"/>
    <mergeCell ref="F32:F33"/>
    <mergeCell ref="G32:G33"/>
    <mergeCell ref="H32:H33"/>
    <mergeCell ref="I32:I33"/>
    <mergeCell ref="J32:J33"/>
    <mergeCell ref="K32:K33"/>
    <mergeCell ref="L32:L33"/>
    <mergeCell ref="M32:M33"/>
    <mergeCell ref="N32:N33"/>
    <mergeCell ref="B34:B46"/>
    <mergeCell ref="C34:C38"/>
    <mergeCell ref="C39:C41"/>
    <mergeCell ref="C42:C46"/>
    <mergeCell ref="B48:B49"/>
    <mergeCell ref="C48:C49"/>
    <mergeCell ref="D48:D49"/>
    <mergeCell ref="E48:E49"/>
    <mergeCell ref="F48:F49"/>
    <mergeCell ref="G48:G49"/>
    <mergeCell ref="H48:H49"/>
    <mergeCell ref="I48:I49"/>
    <mergeCell ref="J48:J49"/>
    <mergeCell ref="K48:K49"/>
    <mergeCell ref="L48:L49"/>
    <mergeCell ref="M48:M49"/>
    <mergeCell ref="N48:N49"/>
    <mergeCell ref="B50:B62"/>
    <mergeCell ref="C50:C54"/>
    <mergeCell ref="C55:C57"/>
    <mergeCell ref="C58:C62"/>
    <mergeCell ref="B64:B65"/>
    <mergeCell ref="C64:C65"/>
    <mergeCell ref="D64:D65"/>
    <mergeCell ref="E64:E65"/>
    <mergeCell ref="F64:F65"/>
    <mergeCell ref="G64:G65"/>
    <mergeCell ref="H64:H65"/>
    <mergeCell ref="I64:I65"/>
    <mergeCell ref="J64:J65"/>
    <mergeCell ref="K64:K65"/>
    <mergeCell ref="L64:L65"/>
    <mergeCell ref="M64:M65"/>
    <mergeCell ref="N64:N65"/>
    <mergeCell ref="B66:B78"/>
    <mergeCell ref="C66:C70"/>
    <mergeCell ref="C71:C73"/>
    <mergeCell ref="C74:C78"/>
    <mergeCell ref="C84:C88"/>
    <mergeCell ref="C89:C93"/>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B127:B135"/>
    <mergeCell ref="C127:C129"/>
    <mergeCell ref="C130:C132"/>
    <mergeCell ref="C133:C135"/>
  </mergeCells>
  <pageMargins left="0.7" right="0.7" top="0.75" bottom="0.75" header="0.3" footer="0.3"/>
  <pageSetup orientation="portrait" r:id="rId1"/>
  <headerFooter>
    <oddHeader>&amp;R&amp;"Aptos"&amp;12&amp;K000000 Unclassified / Non 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260D-3EF0-4ED9-B602-7BC16BDB6DAB}">
  <dimension ref="A1:P136"/>
  <sheetViews>
    <sheetView zoomScaleNormal="100" workbookViewId="0">
      <selection activeCell="B2" sqref="B2:C11"/>
    </sheetView>
  </sheetViews>
  <sheetFormatPr defaultColWidth="9" defaultRowHeight="15" customHeight="1" x14ac:dyDescent="0.45"/>
  <cols>
    <col min="1" max="1" width="1.73046875" style="4" customWidth="1"/>
    <col min="2" max="2" width="43.73046875" style="2" bestFit="1" customWidth="1"/>
    <col min="3" max="3" width="16.73046875" style="2" bestFit="1" customWidth="1"/>
    <col min="4" max="4" width="33.3984375" style="2" bestFit="1" customWidth="1"/>
    <col min="5" max="5" width="10.3984375" style="2" bestFit="1" customWidth="1"/>
    <col min="6" max="6" width="9.3984375" style="2" bestFit="1" customWidth="1"/>
    <col min="7" max="7" width="16.1328125" style="2" bestFit="1" customWidth="1"/>
    <col min="8" max="8" width="15.3984375" style="2" bestFit="1" customWidth="1"/>
    <col min="9" max="9" width="9.3984375" style="2" bestFit="1" customWidth="1"/>
    <col min="10" max="10" width="10.3984375" style="2" bestFit="1" customWidth="1"/>
    <col min="11" max="11" width="12.59765625" style="2" bestFit="1" customWidth="1"/>
    <col min="12" max="12" width="13.1328125" style="2" bestFit="1" customWidth="1"/>
    <col min="13" max="13" width="10.3984375" style="2" bestFit="1" customWidth="1"/>
    <col min="14" max="14" width="10.59765625" style="2" bestFit="1" customWidth="1"/>
    <col min="15" max="16" width="1.73046875" style="4" customWidth="1"/>
    <col min="17" max="16384" width="9" style="2"/>
  </cols>
  <sheetData>
    <row r="1" spans="1:16" ht="15" customHeight="1" x14ac:dyDescent="0.45">
      <c r="A1" s="8"/>
      <c r="B1" s="8"/>
      <c r="C1" s="8"/>
      <c r="D1" s="8"/>
      <c r="E1" s="8"/>
      <c r="F1" s="8"/>
      <c r="G1" s="8"/>
      <c r="H1" s="8"/>
      <c r="I1" s="8"/>
      <c r="J1" s="8"/>
      <c r="K1" s="63"/>
      <c r="L1" s="63"/>
      <c r="M1" s="63"/>
      <c r="N1" s="63"/>
      <c r="O1" s="8"/>
    </row>
    <row r="2" spans="1:16" ht="58.5" customHeight="1" x14ac:dyDescent="0.45">
      <c r="A2" s="8"/>
      <c r="B2" s="179" t="s">
        <v>114</v>
      </c>
      <c r="C2" s="180"/>
      <c r="D2" s="185" t="s">
        <v>139</v>
      </c>
      <c r="E2" s="186"/>
      <c r="F2" s="8"/>
      <c r="G2" s="188" t="s">
        <v>125</v>
      </c>
      <c r="H2" s="185"/>
      <c r="I2" s="185"/>
      <c r="J2" s="4"/>
      <c r="K2" s="191" t="s">
        <v>117</v>
      </c>
      <c r="L2" s="191"/>
      <c r="M2" s="191"/>
      <c r="N2" s="191"/>
      <c r="O2" s="8"/>
    </row>
    <row r="3" spans="1:16" ht="14.25" x14ac:dyDescent="0.45">
      <c r="A3" s="8"/>
      <c r="B3" s="181"/>
      <c r="C3" s="182"/>
      <c r="D3" s="184"/>
      <c r="E3" s="187"/>
      <c r="F3" s="8"/>
      <c r="G3" s="189"/>
      <c r="H3" s="190"/>
      <c r="I3" s="190"/>
      <c r="J3" s="4"/>
      <c r="K3" s="64" t="s">
        <v>53</v>
      </c>
      <c r="L3" s="64" t="s">
        <v>51</v>
      </c>
      <c r="M3" s="64" t="s">
        <v>32</v>
      </c>
      <c r="N3" s="64" t="s">
        <v>33</v>
      </c>
      <c r="O3" s="8"/>
      <c r="P3" s="9"/>
    </row>
    <row r="4" spans="1:16" ht="14.25" customHeight="1" x14ac:dyDescent="0.45">
      <c r="A4" s="9"/>
      <c r="B4" s="181"/>
      <c r="C4" s="182"/>
      <c r="D4" s="32" t="s">
        <v>2</v>
      </c>
      <c r="E4" s="33">
        <v>100000</v>
      </c>
      <c r="F4" s="9"/>
      <c r="G4" s="76" t="s">
        <v>34</v>
      </c>
      <c r="H4" s="75" t="s">
        <v>39</v>
      </c>
      <c r="I4" s="41">
        <f>I43</f>
        <v>0.17740035620000011</v>
      </c>
      <c r="J4" s="9"/>
      <c r="K4" s="68">
        <f>C127</f>
        <v>20000</v>
      </c>
      <c r="L4" s="69" t="s">
        <v>40</v>
      </c>
      <c r="M4" s="42">
        <f>I128</f>
        <v>461.12774408041241</v>
      </c>
      <c r="N4" s="65">
        <f t="shared" ref="N4:N9" si="0">M4*$I$15</f>
        <v>164728902.18571424</v>
      </c>
      <c r="O4" s="9"/>
      <c r="P4" s="9"/>
    </row>
    <row r="5" spans="1:16" ht="14.25" customHeight="1" x14ac:dyDescent="0.45">
      <c r="A5" s="37"/>
      <c r="B5" s="181"/>
      <c r="C5" s="182"/>
      <c r="D5" s="18" t="s">
        <v>127</v>
      </c>
      <c r="E5" s="35">
        <f>SUMMARY!H6</f>
        <v>0.28999999999999998</v>
      </c>
      <c r="F5" s="37"/>
      <c r="G5" s="45" t="s">
        <v>37</v>
      </c>
      <c r="H5" s="66" t="s">
        <v>39</v>
      </c>
      <c r="I5" s="81">
        <f>I67</f>
        <v>0.36003435403201434</v>
      </c>
      <c r="J5" s="37"/>
      <c r="K5" s="68">
        <f>C127</f>
        <v>20000</v>
      </c>
      <c r="L5" s="67" t="s">
        <v>41</v>
      </c>
      <c r="M5" s="42">
        <f>I129</f>
        <v>2305.6387204020639</v>
      </c>
      <c r="N5" s="65">
        <f t="shared" si="0"/>
        <v>823644510.92857182</v>
      </c>
      <c r="O5" s="37"/>
      <c r="P5" s="37"/>
    </row>
    <row r="6" spans="1:16" ht="14.25" customHeight="1" x14ac:dyDescent="0.45">
      <c r="A6" s="37"/>
      <c r="B6" s="181"/>
      <c r="C6" s="182"/>
      <c r="D6" s="18" t="s">
        <v>140</v>
      </c>
      <c r="E6" s="34">
        <f>SUMMARY!L6</f>
        <v>0.02</v>
      </c>
      <c r="F6" s="37"/>
      <c r="G6" s="45" t="s">
        <v>124</v>
      </c>
      <c r="H6" s="66" t="s">
        <v>39</v>
      </c>
      <c r="I6" s="81">
        <f>I80</f>
        <v>5.9931982180193501E-2</v>
      </c>
      <c r="J6" s="37"/>
      <c r="K6" s="68">
        <f>C130</f>
        <v>400000</v>
      </c>
      <c r="L6" s="69" t="s">
        <v>40</v>
      </c>
      <c r="M6" s="42">
        <f>I131</f>
        <v>9222.5548816082483</v>
      </c>
      <c r="N6" s="65">
        <f t="shared" si="0"/>
        <v>3294578043.7142849</v>
      </c>
      <c r="O6" s="37"/>
      <c r="P6" s="37"/>
    </row>
    <row r="7" spans="1:16" ht="14.25" customHeight="1" x14ac:dyDescent="0.45">
      <c r="A7" s="37"/>
      <c r="B7" s="181"/>
      <c r="C7" s="182"/>
      <c r="D7" s="18" t="s">
        <v>126</v>
      </c>
      <c r="E7" s="34">
        <f>SUMMARY!P6</f>
        <v>0.01</v>
      </c>
      <c r="F7" s="37"/>
      <c r="G7" s="45" t="s">
        <v>57</v>
      </c>
      <c r="H7" s="66" t="s">
        <v>39</v>
      </c>
      <c r="I7" s="81">
        <f>I95</f>
        <v>2.996599109009675E-2</v>
      </c>
      <c r="J7" s="37"/>
      <c r="K7" s="68">
        <f>C130</f>
        <v>400000</v>
      </c>
      <c r="L7" s="67" t="s">
        <v>41</v>
      </c>
      <c r="M7" s="42">
        <f>I132</f>
        <v>46112.774408041281</v>
      </c>
      <c r="N7" s="65">
        <f t="shared" si="0"/>
        <v>16472890218.571438</v>
      </c>
      <c r="O7" s="37"/>
      <c r="P7" s="37"/>
    </row>
    <row r="8" spans="1:16" ht="14.25" customHeight="1" x14ac:dyDescent="0.45">
      <c r="A8" s="9"/>
      <c r="B8" s="181"/>
      <c r="C8" s="182"/>
      <c r="D8" s="32" t="s">
        <v>134</v>
      </c>
      <c r="E8" s="36">
        <f>SUMMARY!L21</f>
        <v>0.1</v>
      </c>
      <c r="F8" s="9"/>
      <c r="G8" s="45" t="s">
        <v>122</v>
      </c>
      <c r="H8" s="66" t="s">
        <v>39</v>
      </c>
      <c r="I8" s="81">
        <f>-I35</f>
        <v>-4.9659910900967504E-2</v>
      </c>
      <c r="J8" s="9"/>
      <c r="K8" s="77">
        <f>C133</f>
        <v>1000000</v>
      </c>
      <c r="L8" s="78" t="s">
        <v>40</v>
      </c>
      <c r="M8" s="42">
        <f>I134</f>
        <v>23056.387204020622</v>
      </c>
      <c r="N8" s="65">
        <f t="shared" si="0"/>
        <v>8236445109.2857132</v>
      </c>
      <c r="O8" s="9"/>
      <c r="P8" s="9"/>
    </row>
    <row r="9" spans="1:16" ht="14.25" customHeight="1" x14ac:dyDescent="0.45">
      <c r="A9" s="9"/>
      <c r="B9" s="181"/>
      <c r="C9" s="182"/>
      <c r="D9" s="32" t="s">
        <v>135</v>
      </c>
      <c r="E9" s="36">
        <f>SUMMARY!L22</f>
        <v>0.05</v>
      </c>
      <c r="F9" s="9"/>
      <c r="G9" s="45" t="s">
        <v>121</v>
      </c>
      <c r="H9" s="66" t="s">
        <v>39</v>
      </c>
      <c r="I9" s="81">
        <f>-I51</f>
        <v>-8.0697355214072161E-2</v>
      </c>
      <c r="J9" s="9"/>
      <c r="K9" s="77">
        <f>C133</f>
        <v>1000000</v>
      </c>
      <c r="L9" s="79" t="s">
        <v>41</v>
      </c>
      <c r="M9" s="42">
        <f>I135</f>
        <v>115281.9360201032</v>
      </c>
      <c r="N9" s="65">
        <f t="shared" si="0"/>
        <v>41182225546.428596</v>
      </c>
      <c r="O9" s="9"/>
      <c r="P9" s="9"/>
    </row>
    <row r="10" spans="1:16" ht="14.25" customHeight="1" x14ac:dyDescent="0.45">
      <c r="A10" s="9"/>
      <c r="B10" s="181"/>
      <c r="C10" s="182"/>
      <c r="D10" s="32" t="s">
        <v>136</v>
      </c>
      <c r="E10" s="36">
        <f>SUMMARY!L23</f>
        <v>7.4999999999999997E-2</v>
      </c>
      <c r="F10" s="9"/>
      <c r="G10" s="74" t="s">
        <v>38</v>
      </c>
      <c r="H10" s="75" t="s">
        <v>39</v>
      </c>
      <c r="I10" s="41">
        <f>I110</f>
        <v>0.31957506118726486</v>
      </c>
      <c r="J10" s="8"/>
      <c r="K10" s="10"/>
      <c r="L10" s="10"/>
      <c r="M10" s="3"/>
      <c r="N10" s="8"/>
      <c r="O10" s="9"/>
      <c r="P10" s="9"/>
    </row>
    <row r="11" spans="1:16" ht="15" customHeight="1" x14ac:dyDescent="0.45">
      <c r="A11" s="9"/>
      <c r="B11" s="181"/>
      <c r="C11" s="182"/>
      <c r="D11" s="32" t="s">
        <v>137</v>
      </c>
      <c r="E11" s="36">
        <f>SUMMARY!L10</f>
        <v>1.5</v>
      </c>
      <c r="F11" s="3"/>
      <c r="G11" s="10"/>
      <c r="H11" s="10"/>
      <c r="I11" s="3"/>
      <c r="J11" s="8"/>
      <c r="K11" s="8"/>
      <c r="L11" s="8"/>
      <c r="M11" s="8"/>
      <c r="N11" s="8"/>
      <c r="O11" s="9"/>
      <c r="P11" s="9"/>
    </row>
    <row r="12" spans="1:16" ht="14.25" x14ac:dyDescent="0.45">
      <c r="A12" s="8"/>
      <c r="B12" s="10"/>
      <c r="C12" s="8"/>
      <c r="D12" s="10"/>
      <c r="E12" s="3"/>
      <c r="F12" s="3"/>
      <c r="G12" s="10"/>
      <c r="H12" s="10"/>
      <c r="I12" s="3"/>
      <c r="J12" s="8"/>
      <c r="K12" s="8"/>
      <c r="L12" s="8"/>
      <c r="M12" s="8"/>
      <c r="N12" s="8"/>
      <c r="O12" s="8"/>
      <c r="P12" s="8"/>
    </row>
    <row r="13" spans="1:16" ht="14.25"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6" ht="14.25" x14ac:dyDescent="0.45">
      <c r="B14" s="184"/>
      <c r="C14" s="184"/>
      <c r="D14" s="184"/>
      <c r="E14" s="149"/>
      <c r="F14" s="149"/>
      <c r="G14" s="149"/>
      <c r="H14" s="149"/>
      <c r="I14" s="149"/>
      <c r="J14" s="149"/>
      <c r="K14" s="149"/>
      <c r="L14" s="149"/>
      <c r="M14" s="149"/>
      <c r="N14" s="149"/>
    </row>
    <row r="15" spans="1:16" ht="14.25" x14ac:dyDescent="0.45">
      <c r="B15" s="158" t="s">
        <v>20</v>
      </c>
      <c r="C15" s="158" t="s">
        <v>33</v>
      </c>
      <c r="D15" s="19" t="s">
        <v>48</v>
      </c>
      <c r="E15" s="21">
        <f>($E$4 * $E$5) + $E$4</f>
        <v>129000</v>
      </c>
      <c r="F15" s="21">
        <f t="shared" ref="F15:N15" si="1">(E15 * $E$5) + E15</f>
        <v>166410</v>
      </c>
      <c r="G15" s="21">
        <f t="shared" si="1"/>
        <v>214668.9</v>
      </c>
      <c r="H15" s="21">
        <f t="shared" si="1"/>
        <v>276922.88099999999</v>
      </c>
      <c r="I15" s="21">
        <f t="shared" si="1"/>
        <v>357230.51648999995</v>
      </c>
      <c r="J15" s="21">
        <f t="shared" si="1"/>
        <v>460827.3662720999</v>
      </c>
      <c r="K15" s="21">
        <f t="shared" si="1"/>
        <v>594467.30249100889</v>
      </c>
      <c r="L15" s="21">
        <f t="shared" si="1"/>
        <v>766862.82021340146</v>
      </c>
      <c r="M15" s="21">
        <f t="shared" si="1"/>
        <v>989253.03807528783</v>
      </c>
      <c r="N15" s="21">
        <f t="shared" si="1"/>
        <v>1276136.4191171213</v>
      </c>
    </row>
    <row r="16" spans="1:16" ht="14.25" x14ac:dyDescent="0.45">
      <c r="B16" s="160"/>
      <c r="C16" s="160"/>
      <c r="D16" s="19" t="s">
        <v>49</v>
      </c>
      <c r="E16" s="25">
        <f>E15*21000000</f>
        <v>2709000000000</v>
      </c>
      <c r="F16" s="25">
        <f t="shared" ref="F16:N16" si="2">F15*21000000</f>
        <v>3494610000000</v>
      </c>
      <c r="G16" s="25">
        <f t="shared" si="2"/>
        <v>4508046900000</v>
      </c>
      <c r="H16" s="25">
        <f t="shared" si="2"/>
        <v>5815380501000</v>
      </c>
      <c r="I16" s="25">
        <f t="shared" si="2"/>
        <v>7501840846289.999</v>
      </c>
      <c r="J16" s="25">
        <f t="shared" si="2"/>
        <v>9677374691714.0977</v>
      </c>
      <c r="K16" s="25">
        <f t="shared" si="2"/>
        <v>12483813352311.188</v>
      </c>
      <c r="L16" s="25">
        <f t="shared" si="2"/>
        <v>16104119224481.43</v>
      </c>
      <c r="M16" s="25">
        <f t="shared" si="2"/>
        <v>20774313799581.043</v>
      </c>
      <c r="N16" s="25">
        <f t="shared" si="2"/>
        <v>26798864801459.547</v>
      </c>
    </row>
    <row r="17" spans="1:16" ht="14.25" x14ac:dyDescent="0.45">
      <c r="B17" s="158" t="s">
        <v>16</v>
      </c>
      <c r="C17" s="176" t="s">
        <v>32</v>
      </c>
      <c r="D17" s="19" t="s">
        <v>128</v>
      </c>
      <c r="E17" s="26">
        <f>(E15-$E4)/E15</f>
        <v>0.22480620155038761</v>
      </c>
      <c r="F17" s="26">
        <f t="shared" ref="F17:N17" si="3">(F15-$E4)/F15</f>
        <v>0.39907457484526171</v>
      </c>
      <c r="G17" s="26">
        <f t="shared" si="3"/>
        <v>0.53416633708935013</v>
      </c>
      <c r="H17" s="26">
        <f t="shared" si="3"/>
        <v>0.63888863340259705</v>
      </c>
      <c r="I17" s="26">
        <f t="shared" si="3"/>
        <v>0.72006870806402867</v>
      </c>
      <c r="J17" s="26">
        <f t="shared" si="3"/>
        <v>0.78299899849924703</v>
      </c>
      <c r="K17" s="26">
        <f t="shared" si="3"/>
        <v>0.8317821693792613</v>
      </c>
      <c r="L17" s="26">
        <f t="shared" si="3"/>
        <v>0.86959858091415598</v>
      </c>
      <c r="M17" s="26">
        <f t="shared" si="3"/>
        <v>0.89891362861562485</v>
      </c>
      <c r="N17" s="26">
        <f t="shared" si="3"/>
        <v>0.92163847179505798</v>
      </c>
    </row>
    <row r="18" spans="1:16" ht="14.25" x14ac:dyDescent="0.45">
      <c r="B18" s="159"/>
      <c r="C18" s="177"/>
      <c r="D18" s="19" t="s">
        <v>129</v>
      </c>
      <c r="E18" s="26">
        <f>1-E17</f>
        <v>0.77519379844961245</v>
      </c>
      <c r="F18" s="26">
        <f t="shared" ref="F18:N18" si="4">1-F17</f>
        <v>0.60092542515473824</v>
      </c>
      <c r="G18" s="26">
        <f t="shared" si="4"/>
        <v>0.46583366291064987</v>
      </c>
      <c r="H18" s="26">
        <f t="shared" si="4"/>
        <v>0.36111136659740295</v>
      </c>
      <c r="I18" s="26">
        <f t="shared" si="4"/>
        <v>0.27993129193597133</v>
      </c>
      <c r="J18" s="26">
        <f t="shared" si="4"/>
        <v>0.21700100150075297</v>
      </c>
      <c r="K18" s="26">
        <f t="shared" si="4"/>
        <v>0.1682178306207387</v>
      </c>
      <c r="L18" s="26">
        <f t="shared" si="4"/>
        <v>0.13040141908584402</v>
      </c>
      <c r="M18" s="26">
        <f t="shared" si="4"/>
        <v>0.10108637138437515</v>
      </c>
      <c r="N18" s="26">
        <f t="shared" si="4"/>
        <v>7.8361528204942021E-2</v>
      </c>
    </row>
    <row r="19" spans="1:16" ht="14.25" x14ac:dyDescent="0.45">
      <c r="B19" s="159"/>
      <c r="C19" s="177"/>
      <c r="D19" s="19" t="s">
        <v>130</v>
      </c>
      <c r="E19" s="80">
        <f>E17</f>
        <v>0.22480620155038761</v>
      </c>
      <c r="F19" s="80">
        <f t="shared" ref="F19:N19" si="5">F17-E17</f>
        <v>0.1742683732948741</v>
      </c>
      <c r="G19" s="80">
        <f>G17-F17</f>
        <v>0.13509176224408842</v>
      </c>
      <c r="H19" s="80">
        <f t="shared" si="5"/>
        <v>0.10472229631324692</v>
      </c>
      <c r="I19" s="80">
        <f t="shared" si="5"/>
        <v>8.1180074661431623E-2</v>
      </c>
      <c r="J19" s="80">
        <f>J17-I17</f>
        <v>6.2930290435218361E-2</v>
      </c>
      <c r="K19" s="80">
        <f t="shared" si="5"/>
        <v>4.878317088001427E-2</v>
      </c>
      <c r="L19" s="80">
        <f t="shared" si="5"/>
        <v>3.7816411534894678E-2</v>
      </c>
      <c r="M19" s="80">
        <f t="shared" si="5"/>
        <v>2.9315047701468866E-2</v>
      </c>
      <c r="N19" s="80">
        <f t="shared" si="5"/>
        <v>2.272484317943313E-2</v>
      </c>
    </row>
    <row r="20" spans="1:16" ht="14.25" x14ac:dyDescent="0.45">
      <c r="B20" s="159"/>
      <c r="C20" s="177"/>
      <c r="D20" s="19" t="s">
        <v>131</v>
      </c>
      <c r="E20" s="80"/>
      <c r="F20" s="80"/>
      <c r="G20" s="80"/>
      <c r="H20" s="80"/>
      <c r="I20" s="80">
        <f>AVERAGE(E19:I19)</f>
        <v>0.14401374161280572</v>
      </c>
      <c r="J20" s="26"/>
      <c r="K20" s="26"/>
      <c r="L20" s="26"/>
      <c r="M20" s="26"/>
      <c r="N20" s="80">
        <f>AVERAGE(E19:N19)</f>
        <v>9.2163847179505792E-2</v>
      </c>
    </row>
    <row r="21" spans="1:16" ht="14.25" x14ac:dyDescent="0.45">
      <c r="B21" s="159"/>
      <c r="C21" s="177"/>
      <c r="D21" s="19" t="s">
        <v>132</v>
      </c>
      <c r="E21" s="80">
        <f>$E$11*E19</f>
        <v>0.33720930232558144</v>
      </c>
      <c r="F21" s="80">
        <f t="shared" ref="F21:N21" si="6">$E$11*F19</f>
        <v>0.26140255994231115</v>
      </c>
      <c r="G21" s="80">
        <f t="shared" si="6"/>
        <v>0.20263764336613263</v>
      </c>
      <c r="H21" s="80">
        <f t="shared" si="6"/>
        <v>0.15708344446987038</v>
      </c>
      <c r="I21" s="80">
        <f t="shared" si="6"/>
        <v>0.12177011199214743</v>
      </c>
      <c r="J21" s="80">
        <f t="shared" si="6"/>
        <v>9.4395435652827542E-2</v>
      </c>
      <c r="K21" s="80">
        <f t="shared" si="6"/>
        <v>7.3174756320021406E-2</v>
      </c>
      <c r="L21" s="80">
        <f t="shared" si="6"/>
        <v>5.6724617302342017E-2</v>
      </c>
      <c r="M21" s="80">
        <f t="shared" si="6"/>
        <v>4.3972571552203299E-2</v>
      </c>
      <c r="N21" s="80">
        <f t="shared" si="6"/>
        <v>3.4087264769149694E-2</v>
      </c>
    </row>
    <row r="22" spans="1:16" ht="14.25" x14ac:dyDescent="0.45">
      <c r="B22" s="159"/>
      <c r="C22" s="177"/>
      <c r="D22" s="19" t="s">
        <v>133</v>
      </c>
      <c r="E22" s="80"/>
      <c r="F22" s="80"/>
      <c r="G22" s="80"/>
      <c r="H22" s="80"/>
      <c r="I22" s="80">
        <f>AVERAGE(E21:I21)</f>
        <v>0.21602061241920864</v>
      </c>
      <c r="J22" s="26"/>
      <c r="K22" s="26"/>
      <c r="L22" s="26"/>
      <c r="M22" s="26"/>
      <c r="N22" s="80">
        <f>AVERAGE(E21:N21)</f>
        <v>0.1382457707692587</v>
      </c>
    </row>
    <row r="23" spans="1:16" ht="14.25" x14ac:dyDescent="0.45">
      <c r="B23" s="159"/>
      <c r="C23" s="177"/>
      <c r="D23" s="15" t="s">
        <v>58</v>
      </c>
      <c r="E23" s="17">
        <f>E19+E21</f>
        <v>0.5620155038759691</v>
      </c>
      <c r="F23" s="17">
        <f t="shared" ref="F23:N23" si="7">F19+F21</f>
        <v>0.43567093323718525</v>
      </c>
      <c r="G23" s="17">
        <f t="shared" si="7"/>
        <v>0.33772940561022102</v>
      </c>
      <c r="H23" s="17">
        <f t="shared" si="7"/>
        <v>0.2618057407831173</v>
      </c>
      <c r="I23" s="17">
        <f t="shared" si="7"/>
        <v>0.20295018665357906</v>
      </c>
      <c r="J23" s="17">
        <f t="shared" si="7"/>
        <v>0.1573257260880459</v>
      </c>
      <c r="K23" s="17">
        <f t="shared" si="7"/>
        <v>0.12195792720003568</v>
      </c>
      <c r="L23" s="17">
        <f t="shared" si="7"/>
        <v>9.4541028837236696E-2</v>
      </c>
      <c r="M23" s="17">
        <f t="shared" si="7"/>
        <v>7.3287619253672165E-2</v>
      </c>
      <c r="N23" s="17">
        <f t="shared" si="7"/>
        <v>5.6812107948582824E-2</v>
      </c>
    </row>
    <row r="24" spans="1:16" ht="14.25" x14ac:dyDescent="0.45">
      <c r="B24" s="160"/>
      <c r="C24" s="178"/>
      <c r="D24" s="15" t="s">
        <v>59</v>
      </c>
      <c r="E24" s="17"/>
      <c r="F24" s="17"/>
      <c r="G24" s="17"/>
      <c r="H24" s="17"/>
      <c r="I24" s="17">
        <f>AVERAGE(E23:I23)</f>
        <v>0.36003435403201434</v>
      </c>
      <c r="J24" s="16"/>
      <c r="K24" s="16"/>
      <c r="L24" s="16"/>
      <c r="M24" s="16"/>
      <c r="N24" s="17">
        <f>AVERAGE(E23:N23)</f>
        <v>0.23040961794876447</v>
      </c>
    </row>
    <row r="25" spans="1:16" ht="14.25" x14ac:dyDescent="0.45">
      <c r="B25" s="158" t="s">
        <v>141</v>
      </c>
      <c r="C25" s="176" t="s">
        <v>32</v>
      </c>
      <c r="D25" s="15" t="s">
        <v>43</v>
      </c>
      <c r="E25" s="17">
        <f>((1+$E$11)*$E$6)+($E$6*E18)</f>
        <v>6.5503875968992251E-2</v>
      </c>
      <c r="F25" s="17">
        <f t="shared" ref="F25:N25" si="8">((1+$E$11)*$E$6)+($E$6*F18)</f>
        <v>6.2018508503094767E-2</v>
      </c>
      <c r="G25" s="17">
        <f t="shared" si="8"/>
        <v>5.9316673258213E-2</v>
      </c>
      <c r="H25" s="17">
        <f t="shared" si="8"/>
        <v>5.722222733194806E-2</v>
      </c>
      <c r="I25" s="17">
        <f>((1+$E$11)*$E$6)+($E$6*I18)</f>
        <v>5.5598625838719426E-2</v>
      </c>
      <c r="J25" s="17">
        <f t="shared" si="8"/>
        <v>5.4340020030015063E-2</v>
      </c>
      <c r="K25" s="17">
        <f t="shared" si="8"/>
        <v>5.3364356612414773E-2</v>
      </c>
      <c r="L25" s="17">
        <f t="shared" si="8"/>
        <v>5.2608028381716881E-2</v>
      </c>
      <c r="M25" s="17">
        <f t="shared" si="8"/>
        <v>5.2021727427687507E-2</v>
      </c>
      <c r="N25" s="17">
        <f t="shared" si="8"/>
        <v>5.1567230564098843E-2</v>
      </c>
    </row>
    <row r="26" spans="1:16" ht="14.25" x14ac:dyDescent="0.45">
      <c r="B26" s="159"/>
      <c r="C26" s="177"/>
      <c r="D26" s="15" t="s">
        <v>44</v>
      </c>
      <c r="E26" s="17"/>
      <c r="F26" s="17"/>
      <c r="G26" s="17"/>
      <c r="H26" s="17"/>
      <c r="I26" s="17">
        <f>AVERAGE(E25:I25)</f>
        <v>5.9931982180193501E-2</v>
      </c>
      <c r="J26" s="16"/>
      <c r="K26" s="16"/>
      <c r="L26" s="16"/>
      <c r="M26" s="16"/>
      <c r="N26" s="17">
        <f>AVERAGE(E25:N25)</f>
        <v>5.6356127391690061E-2</v>
      </c>
    </row>
    <row r="27" spans="1:16" ht="14.25" x14ac:dyDescent="0.45">
      <c r="B27" s="159"/>
      <c r="C27" s="177"/>
      <c r="D27" s="19" t="s">
        <v>42</v>
      </c>
      <c r="E27" s="80">
        <f>E25</f>
        <v>6.5503875968992251E-2</v>
      </c>
      <c r="F27" s="80">
        <f>E27+F25</f>
        <v>0.12752238447208702</v>
      </c>
      <c r="G27" s="80">
        <f>F27+G25</f>
        <v>0.18683905773030002</v>
      </c>
      <c r="H27" s="80">
        <f t="shared" ref="H27:I27" si="9">G27+H25</f>
        <v>0.24406128506224808</v>
      </c>
      <c r="I27" s="80">
        <f t="shared" si="9"/>
        <v>0.2996599109009675</v>
      </c>
      <c r="J27" s="80">
        <f>I27+J25</f>
        <v>0.35399993093098259</v>
      </c>
      <c r="K27" s="80">
        <f t="shared" ref="K27:N27" si="10">J27+K25</f>
        <v>0.40736428754339737</v>
      </c>
      <c r="L27" s="80">
        <f t="shared" si="10"/>
        <v>0.45997231592511423</v>
      </c>
      <c r="M27" s="80">
        <f t="shared" si="10"/>
        <v>0.51199404335280174</v>
      </c>
      <c r="N27" s="80">
        <f t="shared" si="10"/>
        <v>0.56356127391690058</v>
      </c>
    </row>
    <row r="28" spans="1:16" ht="14.25" x14ac:dyDescent="0.45">
      <c r="B28" s="158" t="s">
        <v>17</v>
      </c>
      <c r="C28" s="176" t="s">
        <v>32</v>
      </c>
      <c r="D28" s="15" t="s">
        <v>43</v>
      </c>
      <c r="E28" s="17">
        <f t="shared" ref="E28:N28" si="11">((1+$E$11)*$E$7)+($E$7*E18)</f>
        <v>3.2751937984496125E-2</v>
      </c>
      <c r="F28" s="17">
        <f t="shared" si="11"/>
        <v>3.1009254251547384E-2</v>
      </c>
      <c r="G28" s="17">
        <f t="shared" si="11"/>
        <v>2.96583366291065E-2</v>
      </c>
      <c r="H28" s="17">
        <f t="shared" si="11"/>
        <v>2.861111366597403E-2</v>
      </c>
      <c r="I28" s="17">
        <f t="shared" si="11"/>
        <v>2.7799312919359713E-2</v>
      </c>
      <c r="J28" s="17">
        <f t="shared" si="11"/>
        <v>2.7170010015007531E-2</v>
      </c>
      <c r="K28" s="17">
        <f t="shared" si="11"/>
        <v>2.6682178306207387E-2</v>
      </c>
      <c r="L28" s="17">
        <f t="shared" si="11"/>
        <v>2.6304014190858441E-2</v>
      </c>
      <c r="M28" s="17">
        <f t="shared" si="11"/>
        <v>2.6010863713843754E-2</v>
      </c>
      <c r="N28" s="17">
        <f t="shared" si="11"/>
        <v>2.5783615282049421E-2</v>
      </c>
    </row>
    <row r="29" spans="1:16" ht="15" customHeight="1" x14ac:dyDescent="0.45">
      <c r="B29" s="159"/>
      <c r="C29" s="177"/>
      <c r="D29" s="15" t="s">
        <v>44</v>
      </c>
      <c r="E29" s="17"/>
      <c r="F29" s="17"/>
      <c r="G29" s="17"/>
      <c r="H29" s="17"/>
      <c r="I29" s="17">
        <f>AVERAGE(E28:I28)</f>
        <v>2.996599109009675E-2</v>
      </c>
      <c r="J29" s="16"/>
      <c r="K29" s="16"/>
      <c r="L29" s="16"/>
      <c r="M29" s="16"/>
      <c r="N29" s="17">
        <f>AVERAGE(E28:N28)</f>
        <v>2.8178063695845031E-2</v>
      </c>
    </row>
    <row r="30" spans="1:16" ht="14.25" x14ac:dyDescent="0.45">
      <c r="B30" s="159"/>
      <c r="C30" s="177"/>
      <c r="D30" s="19" t="s">
        <v>42</v>
      </c>
      <c r="E30" s="80">
        <f>E28</f>
        <v>3.2751937984496125E-2</v>
      </c>
      <c r="F30" s="80">
        <f t="shared" ref="F30:N30" si="12">E30+F28</f>
        <v>6.3761192236043512E-2</v>
      </c>
      <c r="G30" s="80">
        <f>F30+G28</f>
        <v>9.3419528865150009E-2</v>
      </c>
      <c r="H30" s="80">
        <f t="shared" si="12"/>
        <v>0.12203064253112404</v>
      </c>
      <c r="I30" s="80">
        <f t="shared" si="12"/>
        <v>0.14982995545048375</v>
      </c>
      <c r="J30" s="80">
        <f>I30+J28</f>
        <v>0.17699996546549129</v>
      </c>
      <c r="K30" s="80">
        <f t="shared" si="12"/>
        <v>0.20368214377169869</v>
      </c>
      <c r="L30" s="80">
        <f t="shared" si="12"/>
        <v>0.22998615796255711</v>
      </c>
      <c r="M30" s="80">
        <f t="shared" si="12"/>
        <v>0.25599702167640087</v>
      </c>
      <c r="N30" s="80">
        <f t="shared" si="12"/>
        <v>0.28178063695845029</v>
      </c>
    </row>
    <row r="31" spans="1:16" ht="14.25" x14ac:dyDescent="0.45">
      <c r="B31" s="3"/>
      <c r="C31" s="1"/>
      <c r="D31" s="43"/>
      <c r="E31" s="31"/>
      <c r="F31" s="31"/>
      <c r="G31" s="31"/>
      <c r="H31" s="31"/>
      <c r="I31" s="31"/>
      <c r="J31" s="31"/>
      <c r="K31" s="31"/>
      <c r="L31" s="31"/>
      <c r="M31" s="31"/>
      <c r="N31" s="31"/>
    </row>
    <row r="32" spans="1:16" ht="14.25"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c r="P32" s="8"/>
    </row>
    <row r="33" spans="2:14" ht="14.25" x14ac:dyDescent="0.45">
      <c r="B33" s="169"/>
      <c r="C33" s="171"/>
      <c r="D33" s="173"/>
      <c r="E33" s="149"/>
      <c r="F33" s="149"/>
      <c r="G33" s="149"/>
      <c r="H33" s="149"/>
      <c r="I33" s="149"/>
      <c r="J33" s="149"/>
      <c r="K33" s="149"/>
      <c r="L33" s="149"/>
      <c r="M33" s="149"/>
      <c r="N33" s="149"/>
    </row>
    <row r="34" spans="2:14" ht="14.25" x14ac:dyDescent="0.45">
      <c r="B34" s="158" t="s">
        <v>141</v>
      </c>
      <c r="C34" s="166" t="s">
        <v>32</v>
      </c>
      <c r="D34" s="15" t="s">
        <v>58</v>
      </c>
      <c r="E34" s="16">
        <f>E39*$E$4/E$15</f>
        <v>7.7519379844961239E-2</v>
      </c>
      <c r="F34" s="16">
        <f t="shared" ref="F34:N34" si="13">F39*$E$4/F$15</f>
        <v>6.0092542515473829E-2</v>
      </c>
      <c r="G34" s="16">
        <f t="shared" si="13"/>
        <v>4.6583366291064986E-2</v>
      </c>
      <c r="H34" s="16">
        <f t="shared" si="13"/>
        <v>3.6111136659740299E-2</v>
      </c>
      <c r="I34" s="16">
        <f t="shared" si="13"/>
        <v>2.7993129193597133E-2</v>
      </c>
      <c r="J34" s="16">
        <f t="shared" si="13"/>
        <v>2.1700100150075299E-2</v>
      </c>
      <c r="K34" s="16">
        <f t="shared" si="13"/>
        <v>1.6821783062073874E-2</v>
      </c>
      <c r="L34" s="16">
        <f t="shared" si="13"/>
        <v>1.3040141908584399E-2</v>
      </c>
      <c r="M34" s="16">
        <f t="shared" si="13"/>
        <v>1.010863713843752E-2</v>
      </c>
      <c r="N34" s="16">
        <f t="shared" si="13"/>
        <v>7.8361528204942011E-3</v>
      </c>
    </row>
    <row r="35" spans="2:14" ht="14.25" x14ac:dyDescent="0.45">
      <c r="B35" s="159"/>
      <c r="C35" s="166"/>
      <c r="D35" s="15" t="s">
        <v>59</v>
      </c>
      <c r="E35" s="16"/>
      <c r="F35" s="16"/>
      <c r="G35" s="16"/>
      <c r="H35" s="16"/>
      <c r="I35" s="82">
        <f>AVERAGE(E34:I34)</f>
        <v>4.9659910900967504E-2</v>
      </c>
      <c r="J35" s="16"/>
      <c r="K35" s="16"/>
      <c r="L35" s="16"/>
      <c r="M35" s="16"/>
      <c r="N35" s="17">
        <f>AVERAGE(E34:N34)</f>
        <v>3.1780636958450278E-2</v>
      </c>
    </row>
    <row r="36" spans="2:14" ht="14.25" x14ac:dyDescent="0.45">
      <c r="B36" s="159"/>
      <c r="C36" s="166"/>
      <c r="D36" s="15" t="s">
        <v>42</v>
      </c>
      <c r="E36" s="16">
        <f t="shared" ref="E36:N36" si="14">E$17*(E34/E$19)</f>
        <v>7.7519379844961239E-2</v>
      </c>
      <c r="F36" s="16">
        <f t="shared" si="14"/>
        <v>0.13761192236043507</v>
      </c>
      <c r="G36" s="16">
        <f>G$17*(G34/G$19)</f>
        <v>0.18419528865150009</v>
      </c>
      <c r="H36" s="16">
        <f>H$17*(H34/H$19)</f>
        <v>0.22030642531124023</v>
      </c>
      <c r="I36" s="16">
        <f>I$17*(I34/I$19)</f>
        <v>0.24829955450483765</v>
      </c>
      <c r="J36" s="16">
        <f t="shared" si="14"/>
        <v>0.26999965465491277</v>
      </c>
      <c r="K36" s="16">
        <f t="shared" si="14"/>
        <v>0.28682143771698643</v>
      </c>
      <c r="L36" s="16">
        <f t="shared" si="14"/>
        <v>0.29986157962557164</v>
      </c>
      <c r="M36" s="16">
        <f t="shared" si="14"/>
        <v>0.30997021676400793</v>
      </c>
      <c r="N36" s="16">
        <f t="shared" si="14"/>
        <v>0.31780636958450348</v>
      </c>
    </row>
    <row r="37" spans="2:14" ht="14.25" customHeight="1" x14ac:dyDescent="0.45">
      <c r="B37" s="159"/>
      <c r="C37" s="167"/>
      <c r="D37" s="19" t="s">
        <v>45</v>
      </c>
      <c r="E37" s="20">
        <f t="shared" ref="E37:N37" si="15">10*E34</f>
        <v>0.77519379844961245</v>
      </c>
      <c r="F37" s="20">
        <f t="shared" si="15"/>
        <v>0.60092542515473824</v>
      </c>
      <c r="G37" s="20">
        <f t="shared" si="15"/>
        <v>0.46583366291064987</v>
      </c>
      <c r="H37" s="20">
        <f t="shared" si="15"/>
        <v>0.36111136659740301</v>
      </c>
      <c r="I37" s="20">
        <f t="shared" si="15"/>
        <v>0.27993129193597133</v>
      </c>
      <c r="J37" s="20">
        <f t="shared" si="15"/>
        <v>0.21700100150075299</v>
      </c>
      <c r="K37" s="20">
        <f t="shared" si="15"/>
        <v>0.16821783062073875</v>
      </c>
      <c r="L37" s="20">
        <f t="shared" si="15"/>
        <v>0.13040141908584399</v>
      </c>
      <c r="M37" s="20">
        <f t="shared" si="15"/>
        <v>0.10108637138437521</v>
      </c>
      <c r="N37" s="20">
        <f t="shared" si="15"/>
        <v>7.8361528204942008E-2</v>
      </c>
    </row>
    <row r="38" spans="2:14" ht="14.25" x14ac:dyDescent="0.45">
      <c r="B38" s="159"/>
      <c r="C38" s="167"/>
      <c r="D38" s="19" t="s">
        <v>46</v>
      </c>
      <c r="E38" s="20">
        <f>10*E36</f>
        <v>0.77519379844961245</v>
      </c>
      <c r="F38" s="20">
        <f>10*F36</f>
        <v>1.3761192236043507</v>
      </c>
      <c r="G38" s="20">
        <f>10*G36</f>
        <v>1.841952886515001</v>
      </c>
      <c r="H38" s="20">
        <f t="shared" ref="H38:N38" si="16">10*H36</f>
        <v>2.2030642531124025</v>
      </c>
      <c r="I38" s="20">
        <f t="shared" si="16"/>
        <v>2.4829955450483765</v>
      </c>
      <c r="J38" s="20">
        <f t="shared" si="16"/>
        <v>2.6999965465491278</v>
      </c>
      <c r="K38" s="20">
        <f t="shared" si="16"/>
        <v>2.8682143771698643</v>
      </c>
      <c r="L38" s="20">
        <f t="shared" si="16"/>
        <v>2.9986157962557165</v>
      </c>
      <c r="M38" s="20">
        <f t="shared" si="16"/>
        <v>3.0997021676400793</v>
      </c>
      <c r="N38" s="20">
        <f t="shared" si="16"/>
        <v>3.1780636958450348</v>
      </c>
    </row>
    <row r="39" spans="2:14" ht="14.25" x14ac:dyDescent="0.45">
      <c r="B39" s="159"/>
      <c r="C39" s="165" t="s">
        <v>36</v>
      </c>
      <c r="D39" s="15" t="s">
        <v>43</v>
      </c>
      <c r="E39" s="16">
        <f>E8</f>
        <v>0.1</v>
      </c>
      <c r="F39" s="16">
        <f>E39</f>
        <v>0.1</v>
      </c>
      <c r="G39" s="16">
        <f t="shared" ref="G39:N39" si="17">F39</f>
        <v>0.1</v>
      </c>
      <c r="H39" s="16">
        <f t="shared" si="17"/>
        <v>0.1</v>
      </c>
      <c r="I39" s="16">
        <f t="shared" si="17"/>
        <v>0.1</v>
      </c>
      <c r="J39" s="16">
        <f t="shared" si="17"/>
        <v>0.1</v>
      </c>
      <c r="K39" s="16">
        <f t="shared" si="17"/>
        <v>0.1</v>
      </c>
      <c r="L39" s="16">
        <f t="shared" si="17"/>
        <v>0.1</v>
      </c>
      <c r="M39" s="16">
        <f t="shared" si="17"/>
        <v>0.1</v>
      </c>
      <c r="N39" s="16">
        <f t="shared" si="17"/>
        <v>0.1</v>
      </c>
    </row>
    <row r="40" spans="2:14" ht="14.25" customHeight="1" x14ac:dyDescent="0.45">
      <c r="B40" s="159"/>
      <c r="C40" s="167"/>
      <c r="D40" s="19" t="s">
        <v>45</v>
      </c>
      <c r="E40" s="21">
        <f>E37*E$15</f>
        <v>100000</v>
      </c>
      <c r="F40" s="21">
        <f t="shared" ref="F40:N40" si="18">F37*F$15</f>
        <v>99999.999999999985</v>
      </c>
      <c r="G40" s="21">
        <f>G37*G$15</f>
        <v>100000</v>
      </c>
      <c r="H40" s="21">
        <f>H37*H$15</f>
        <v>100000</v>
      </c>
      <c r="I40" s="21">
        <f>I37*I$15</f>
        <v>100000</v>
      </c>
      <c r="J40" s="21">
        <f t="shared" si="18"/>
        <v>100000</v>
      </c>
      <c r="K40" s="21">
        <f t="shared" si="18"/>
        <v>100000</v>
      </c>
      <c r="L40" s="21">
        <f t="shared" si="18"/>
        <v>100000</v>
      </c>
      <c r="M40" s="21">
        <f t="shared" si="18"/>
        <v>100000.00000000001</v>
      </c>
      <c r="N40" s="21">
        <f t="shared" si="18"/>
        <v>99999.999999999985</v>
      </c>
    </row>
    <row r="41" spans="2:14" ht="14.25" x14ac:dyDescent="0.45">
      <c r="B41" s="159"/>
      <c r="C41" s="167"/>
      <c r="D41" s="19" t="s">
        <v>46</v>
      </c>
      <c r="E41" s="21">
        <f>E40</f>
        <v>100000</v>
      </c>
      <c r="F41" s="21">
        <f>E41+F40</f>
        <v>200000</v>
      </c>
      <c r="G41" s="21">
        <f>F41+G40</f>
        <v>300000</v>
      </c>
      <c r="H41" s="21">
        <f t="shared" ref="H41:N41" si="19">G41+H40</f>
        <v>400000</v>
      </c>
      <c r="I41" s="21">
        <f t="shared" si="19"/>
        <v>500000</v>
      </c>
      <c r="J41" s="21">
        <f>I41+J40</f>
        <v>600000</v>
      </c>
      <c r="K41" s="21">
        <f t="shared" si="19"/>
        <v>700000</v>
      </c>
      <c r="L41" s="21">
        <f t="shared" si="19"/>
        <v>800000</v>
      </c>
      <c r="M41" s="21">
        <f t="shared" si="19"/>
        <v>900000</v>
      </c>
      <c r="N41" s="21">
        <f t="shared" si="19"/>
        <v>1000000</v>
      </c>
    </row>
    <row r="42" spans="2:14" ht="14.25" x14ac:dyDescent="0.45">
      <c r="B42" s="159"/>
      <c r="C42" s="165" t="s">
        <v>35</v>
      </c>
      <c r="D42" s="15" t="s">
        <v>43</v>
      </c>
      <c r="E42" s="16">
        <f>E36*E$15/$E$4</f>
        <v>0.1</v>
      </c>
      <c r="F42" s="16">
        <f>F36*F$15/$E$4-E42</f>
        <v>0.129</v>
      </c>
      <c r="G42" s="16">
        <f>G36*G$15/$E$4-F42-E42</f>
        <v>0.16641000000000009</v>
      </c>
      <c r="H42" s="16">
        <f>H36*H$15/$E$4-G42-F42-E42</f>
        <v>0.21466889999999958</v>
      </c>
      <c r="I42" s="16">
        <f>I36*I$15/$E$4-H42-G42-F42-E42</f>
        <v>0.27692288100000084</v>
      </c>
      <c r="J42" s="16">
        <f>J36*J$15/$E$4-I42-H42-G42-F42-E42</f>
        <v>0.35723051648999904</v>
      </c>
      <c r="K42" s="16">
        <f>K36*K$15/$E$4-J42-I42-H42-G42-F42-E42</f>
        <v>0.46082736627209886</v>
      </c>
      <c r="L42" s="16">
        <f>L36*L$15/$E$4-K42-J42-I42-H42-G42-F42-E42</f>
        <v>0.59446730249101465</v>
      </c>
      <c r="M42" s="16">
        <f>M36*M$15/$E$4-L42-K42-J42-I42-H42-G42-F42-E42</f>
        <v>0.76686282021339069</v>
      </c>
      <c r="N42" s="16">
        <f>N36*N$15/$E$4-M42-L42-K42-J42-I42-H42-G42-F42-E42</f>
        <v>0.98925303807530207</v>
      </c>
    </row>
    <row r="43" spans="2:14" ht="14.25" x14ac:dyDescent="0.45">
      <c r="B43" s="159"/>
      <c r="C43" s="166"/>
      <c r="D43" s="15" t="s">
        <v>44</v>
      </c>
      <c r="E43" s="17"/>
      <c r="F43" s="17"/>
      <c r="G43" s="17"/>
      <c r="H43" s="17"/>
      <c r="I43" s="38">
        <f>AVERAGE(E42:I42)</f>
        <v>0.17740035620000011</v>
      </c>
      <c r="J43" s="17"/>
      <c r="K43" s="17"/>
      <c r="L43" s="17"/>
      <c r="M43" s="17"/>
      <c r="N43" s="17">
        <f>AVERAGE(E42:N42)</f>
        <v>0.40556428245418064</v>
      </c>
    </row>
    <row r="44" spans="2:14" ht="14.25" x14ac:dyDescent="0.45">
      <c r="B44" s="159"/>
      <c r="C44" s="167"/>
      <c r="D44" s="19" t="s">
        <v>45</v>
      </c>
      <c r="E44" s="22">
        <f>E46</f>
        <v>100000</v>
      </c>
      <c r="F44" s="22">
        <f>F46-E46</f>
        <v>129000</v>
      </c>
      <c r="G44" s="22">
        <f>G46-F46</f>
        <v>166410.00000000006</v>
      </c>
      <c r="H44" s="22">
        <f t="shared" ref="H44:N44" si="20">H46-G46</f>
        <v>214668.89999999962</v>
      </c>
      <c r="I44" s="22">
        <f t="shared" si="20"/>
        <v>276922.88100000075</v>
      </c>
      <c r="J44" s="22">
        <f>J46-I46</f>
        <v>357230.51648999937</v>
      </c>
      <c r="K44" s="22">
        <f t="shared" si="20"/>
        <v>460827.36627209862</v>
      </c>
      <c r="L44" s="22">
        <f t="shared" si="20"/>
        <v>594467.30249101459</v>
      </c>
      <c r="M44" s="22">
        <f t="shared" si="20"/>
        <v>766862.82021339051</v>
      </c>
      <c r="N44" s="22">
        <f t="shared" si="20"/>
        <v>989253.03807530319</v>
      </c>
    </row>
    <row r="45" spans="2:14" ht="15" customHeight="1" x14ac:dyDescent="0.45">
      <c r="B45" s="159"/>
      <c r="C45" s="167"/>
      <c r="D45" s="19" t="s">
        <v>47</v>
      </c>
      <c r="E45" s="22"/>
      <c r="F45" s="22"/>
      <c r="G45" s="22"/>
      <c r="H45" s="22"/>
      <c r="I45" s="22">
        <f>AVERAGE(E44:I44)</f>
        <v>177400.3562000001</v>
      </c>
      <c r="J45" s="22"/>
      <c r="K45" s="22"/>
      <c r="L45" s="22"/>
      <c r="M45" s="22"/>
      <c r="N45" s="22">
        <f>AVERAGE(E44:N44)</f>
        <v>405564.28245418065</v>
      </c>
    </row>
    <row r="46" spans="2:14" ht="14.25" x14ac:dyDescent="0.45">
      <c r="B46" s="160"/>
      <c r="C46" s="167"/>
      <c r="D46" s="19" t="s">
        <v>46</v>
      </c>
      <c r="E46" s="21">
        <f t="shared" ref="E46:N46" si="21">E38*E$15</f>
        <v>100000</v>
      </c>
      <c r="F46" s="21">
        <f t="shared" si="21"/>
        <v>229000</v>
      </c>
      <c r="G46" s="21">
        <f>G38*G$15</f>
        <v>395410.00000000006</v>
      </c>
      <c r="H46" s="21">
        <f>H38*H$15</f>
        <v>610078.89999999967</v>
      </c>
      <c r="I46" s="21">
        <f>I38*I$15</f>
        <v>887001.78100000042</v>
      </c>
      <c r="J46" s="21">
        <f t="shared" si="21"/>
        <v>1244232.2974899998</v>
      </c>
      <c r="K46" s="21">
        <f t="shared" si="21"/>
        <v>1705059.6637620984</v>
      </c>
      <c r="L46" s="21">
        <f t="shared" si="21"/>
        <v>2299526.966253113</v>
      </c>
      <c r="M46" s="21">
        <f t="shared" si="21"/>
        <v>3066389.7864665035</v>
      </c>
      <c r="N46" s="21">
        <f t="shared" si="21"/>
        <v>4055642.8245418067</v>
      </c>
    </row>
    <row r="47" spans="2:14" ht="14.25" x14ac:dyDescent="0.45">
      <c r="B47" s="3"/>
      <c r="C47" s="1"/>
      <c r="D47" s="43"/>
      <c r="E47" s="31"/>
      <c r="F47" s="31"/>
      <c r="G47" s="31"/>
      <c r="H47" s="31"/>
      <c r="I47" s="31"/>
      <c r="J47" s="31"/>
      <c r="K47" s="31"/>
      <c r="L47" s="31"/>
      <c r="M47" s="31"/>
      <c r="N47" s="31"/>
    </row>
    <row r="48" spans="2:14" ht="14.25"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6" ht="14.25" x14ac:dyDescent="0.45">
      <c r="B49" s="151"/>
      <c r="C49" s="175"/>
      <c r="D49" s="153"/>
      <c r="E49" s="149"/>
      <c r="F49" s="149"/>
      <c r="G49" s="149"/>
      <c r="H49" s="149"/>
      <c r="I49" s="149"/>
      <c r="J49" s="149"/>
      <c r="K49" s="149"/>
      <c r="L49" s="149"/>
      <c r="M49" s="149"/>
      <c r="N49" s="149"/>
    </row>
    <row r="50" spans="1:16" ht="14.25" x14ac:dyDescent="0.45">
      <c r="B50" s="158" t="s">
        <v>141</v>
      </c>
      <c r="C50" s="166" t="s">
        <v>32</v>
      </c>
      <c r="D50" s="15" t="s">
        <v>43</v>
      </c>
      <c r="E50" s="16">
        <f>E55*$E$4/E$15</f>
        <v>0.12596899224806199</v>
      </c>
      <c r="F50" s="16">
        <f t="shared" ref="F50:N50" si="22">F55*$E$4/F$15</f>
        <v>9.7650381587644969E-2</v>
      </c>
      <c r="G50" s="16">
        <f t="shared" si="22"/>
        <v>7.5697970222980596E-2</v>
      </c>
      <c r="H50" s="16">
        <f t="shared" si="22"/>
        <v>5.8680597072077977E-2</v>
      </c>
      <c r="I50" s="16">
        <f t="shared" si="22"/>
        <v>4.5488834939595338E-2</v>
      </c>
      <c r="J50" s="16">
        <f t="shared" si="22"/>
        <v>3.526266274387236E-2</v>
      </c>
      <c r="K50" s="16">
        <f t="shared" si="22"/>
        <v>2.7335397475870046E-2</v>
      </c>
      <c r="L50" s="16">
        <f t="shared" si="22"/>
        <v>2.1190230601449648E-2</v>
      </c>
      <c r="M50" s="16">
        <f t="shared" si="22"/>
        <v>1.6426535349960969E-2</v>
      </c>
      <c r="N50" s="16">
        <f t="shared" si="22"/>
        <v>1.2733748333303076E-2</v>
      </c>
    </row>
    <row r="51" spans="1:16" ht="14.25" x14ac:dyDescent="0.45">
      <c r="B51" s="159"/>
      <c r="C51" s="166"/>
      <c r="D51" s="15" t="s">
        <v>44</v>
      </c>
      <c r="E51" s="16"/>
      <c r="F51" s="16"/>
      <c r="G51" s="16"/>
      <c r="H51" s="16"/>
      <c r="I51" s="127">
        <f>AVERAGE(E50:I50)</f>
        <v>8.0697355214072161E-2</v>
      </c>
      <c r="J51" s="16"/>
      <c r="K51" s="16"/>
      <c r="L51" s="16"/>
      <c r="M51" s="16"/>
      <c r="N51" s="17">
        <f>AVERAGE(E50:N50)</f>
        <v>5.164353505748169E-2</v>
      </c>
    </row>
    <row r="52" spans="1:16" ht="14.25" x14ac:dyDescent="0.45">
      <c r="B52" s="159"/>
      <c r="C52" s="166"/>
      <c r="D52" s="15" t="s">
        <v>42</v>
      </c>
      <c r="E52" s="16">
        <f t="shared" ref="E52:N52" si="23">E$17*(E50/E$19)</f>
        <v>0.12596899224806199</v>
      </c>
      <c r="F52" s="16">
        <f t="shared" si="23"/>
        <v>0.22361937383570699</v>
      </c>
      <c r="G52" s="16">
        <f t="shared" si="23"/>
        <v>0.2993173440586876</v>
      </c>
      <c r="H52" s="16">
        <f t="shared" si="23"/>
        <v>0.35799794113076533</v>
      </c>
      <c r="I52" s="16">
        <f t="shared" si="23"/>
        <v>0.40348677607036121</v>
      </c>
      <c r="J52" s="16">
        <f t="shared" si="23"/>
        <v>0.43874943881423328</v>
      </c>
      <c r="K52" s="16">
        <f t="shared" si="23"/>
        <v>0.466084836290103</v>
      </c>
      <c r="L52" s="16">
        <f t="shared" si="23"/>
        <v>0.48727506689155392</v>
      </c>
      <c r="M52" s="16">
        <f t="shared" si="23"/>
        <v>0.50370160224151284</v>
      </c>
      <c r="N52" s="16">
        <f t="shared" si="23"/>
        <v>0.51643535057481815</v>
      </c>
    </row>
    <row r="53" spans="1:16" ht="14.25" customHeight="1" x14ac:dyDescent="0.45">
      <c r="B53" s="159"/>
      <c r="C53" s="167"/>
      <c r="D53" s="19" t="s">
        <v>45</v>
      </c>
      <c r="E53" s="20">
        <f>10*E50</f>
        <v>1.25968992248062</v>
      </c>
      <c r="F53" s="20">
        <f t="shared" ref="F53:N53" si="24">10*F50</f>
        <v>0.97650381587644963</v>
      </c>
      <c r="G53" s="20">
        <f t="shared" si="24"/>
        <v>0.75697970222980593</v>
      </c>
      <c r="H53" s="20">
        <f t="shared" si="24"/>
        <v>0.58680597072077978</v>
      </c>
      <c r="I53" s="20">
        <f t="shared" si="24"/>
        <v>0.45488834939595335</v>
      </c>
      <c r="J53" s="20">
        <f t="shared" si="24"/>
        <v>0.35262662743872358</v>
      </c>
      <c r="K53" s="20">
        <f t="shared" si="24"/>
        <v>0.27335397475870044</v>
      </c>
      <c r="L53" s="20">
        <f t="shared" si="24"/>
        <v>0.21190230601449647</v>
      </c>
      <c r="M53" s="20">
        <f t="shared" si="24"/>
        <v>0.16426535349960969</v>
      </c>
      <c r="N53" s="20">
        <f t="shared" si="24"/>
        <v>0.12733748333303074</v>
      </c>
    </row>
    <row r="54" spans="1:16" ht="14.25" x14ac:dyDescent="0.45">
      <c r="B54" s="159"/>
      <c r="C54" s="167"/>
      <c r="D54" s="19" t="s">
        <v>46</v>
      </c>
      <c r="E54" s="20">
        <f>10*E52</f>
        <v>1.25968992248062</v>
      </c>
      <c r="F54" s="20">
        <f>10*F52</f>
        <v>2.2361937383570698</v>
      </c>
      <c r="G54" s="20">
        <f>10*G52</f>
        <v>2.993173440586876</v>
      </c>
      <c r="H54" s="20">
        <f t="shared" ref="H54:N54" si="25">10*H52</f>
        <v>3.5799794113076535</v>
      </c>
      <c r="I54" s="20">
        <f t="shared" si="25"/>
        <v>4.0348677607036123</v>
      </c>
      <c r="J54" s="20">
        <f t="shared" si="25"/>
        <v>4.3874943881423327</v>
      </c>
      <c r="K54" s="20">
        <f t="shared" si="25"/>
        <v>4.6608483629010298</v>
      </c>
      <c r="L54" s="20">
        <f t="shared" si="25"/>
        <v>4.8727506689155389</v>
      </c>
      <c r="M54" s="20">
        <f t="shared" si="25"/>
        <v>5.0370160224151288</v>
      </c>
      <c r="N54" s="20">
        <f t="shared" si="25"/>
        <v>5.1643535057481813</v>
      </c>
    </row>
    <row r="55" spans="1:16" ht="14.25" x14ac:dyDescent="0.45">
      <c r="B55" s="159"/>
      <c r="C55" s="165" t="s">
        <v>36</v>
      </c>
      <c r="D55" s="15" t="s">
        <v>43</v>
      </c>
      <c r="E55" s="16">
        <f t="shared" ref="E55:N55" si="26">$E9+($E$10*$E$11)</f>
        <v>0.16249999999999998</v>
      </c>
      <c r="F55" s="16">
        <f t="shared" si="26"/>
        <v>0.16249999999999998</v>
      </c>
      <c r="G55" s="16">
        <f t="shared" si="26"/>
        <v>0.16249999999999998</v>
      </c>
      <c r="H55" s="16">
        <f t="shared" si="26"/>
        <v>0.16249999999999998</v>
      </c>
      <c r="I55" s="16">
        <f t="shared" si="26"/>
        <v>0.16249999999999998</v>
      </c>
      <c r="J55" s="16">
        <f t="shared" si="26"/>
        <v>0.16249999999999998</v>
      </c>
      <c r="K55" s="16">
        <f t="shared" si="26"/>
        <v>0.16249999999999998</v>
      </c>
      <c r="L55" s="16">
        <f t="shared" si="26"/>
        <v>0.16249999999999998</v>
      </c>
      <c r="M55" s="16">
        <f t="shared" si="26"/>
        <v>0.16249999999999998</v>
      </c>
      <c r="N55" s="16">
        <f t="shared" si="26"/>
        <v>0.16249999999999998</v>
      </c>
    </row>
    <row r="56" spans="1:16" ht="14.25" customHeight="1" x14ac:dyDescent="0.45">
      <c r="B56" s="159"/>
      <c r="C56" s="167"/>
      <c r="D56" s="19" t="s">
        <v>45</v>
      </c>
      <c r="E56" s="21">
        <f t="shared" ref="E56:N56" si="27">E53*E$15</f>
        <v>162499.99999999997</v>
      </c>
      <c r="F56" s="21">
        <f t="shared" si="27"/>
        <v>162499.99999999997</v>
      </c>
      <c r="G56" s="21">
        <f t="shared" si="27"/>
        <v>162499.99999999997</v>
      </c>
      <c r="H56" s="21">
        <f t="shared" si="27"/>
        <v>162499.99999999997</v>
      </c>
      <c r="I56" s="21">
        <f t="shared" si="27"/>
        <v>162499.99999999997</v>
      </c>
      <c r="J56" s="21">
        <f t="shared" si="27"/>
        <v>162499.99999999997</v>
      </c>
      <c r="K56" s="21">
        <f t="shared" si="27"/>
        <v>162499.99999999997</v>
      </c>
      <c r="L56" s="21">
        <f t="shared" si="27"/>
        <v>162500</v>
      </c>
      <c r="M56" s="21">
        <f t="shared" si="27"/>
        <v>162500</v>
      </c>
      <c r="N56" s="21">
        <f t="shared" si="27"/>
        <v>162499.99999999997</v>
      </c>
    </row>
    <row r="57" spans="1:16" ht="14.25" x14ac:dyDescent="0.45">
      <c r="B57" s="159"/>
      <c r="C57" s="167"/>
      <c r="D57" s="19" t="s">
        <v>46</v>
      </c>
      <c r="E57" s="21">
        <f>E56</f>
        <v>162499.99999999997</v>
      </c>
      <c r="F57" s="21">
        <f>E57+F56</f>
        <v>324999.99999999994</v>
      </c>
      <c r="G57" s="21">
        <f>F57+G56</f>
        <v>487499.99999999988</v>
      </c>
      <c r="H57" s="21">
        <f t="shared" ref="H57:N57" si="28">G57+H56</f>
        <v>649999.99999999988</v>
      </c>
      <c r="I57" s="21">
        <f t="shared" si="28"/>
        <v>812499.99999999988</v>
      </c>
      <c r="J57" s="21">
        <f>I57+J56</f>
        <v>974999.99999999988</v>
      </c>
      <c r="K57" s="21">
        <f t="shared" si="28"/>
        <v>1137499.9999999998</v>
      </c>
      <c r="L57" s="21">
        <f t="shared" si="28"/>
        <v>1299999.9999999998</v>
      </c>
      <c r="M57" s="21">
        <f t="shared" si="28"/>
        <v>1462499.9999999998</v>
      </c>
      <c r="N57" s="21">
        <f t="shared" si="28"/>
        <v>1624999.9999999998</v>
      </c>
    </row>
    <row r="58" spans="1:16" ht="14.25" x14ac:dyDescent="0.45">
      <c r="B58" s="159"/>
      <c r="C58" s="165" t="s">
        <v>35</v>
      </c>
      <c r="D58" s="15" t="s">
        <v>43</v>
      </c>
      <c r="E58" s="16">
        <f>E52*E$15/$E$4</f>
        <v>0.16249999999999995</v>
      </c>
      <c r="F58" s="16">
        <f>F52*F$15/$E$4-E58</f>
        <v>0.20962500000000003</v>
      </c>
      <c r="G58" s="16">
        <f>G52*G$15/$E$4-F58-E58</f>
        <v>0.27041624999999991</v>
      </c>
      <c r="H58" s="16">
        <f>H52*H$15/$E$4-G58-F58-E58</f>
        <v>0.3488369624999994</v>
      </c>
      <c r="I58" s="16">
        <f>I52*I$15/$E$4-H58-G58-F58-E58</f>
        <v>0.44999968162500148</v>
      </c>
      <c r="J58" s="16">
        <f>J52*J$15/$E$4-I58-H58-G58-F58-E58</f>
        <v>0.5804995892962489</v>
      </c>
      <c r="K58" s="16">
        <f>K52*K$15/$E$4-J58-I58-H58-G58-F58-E58</f>
        <v>0.74884447019216038</v>
      </c>
      <c r="L58" s="16">
        <f>L52*L$15/$E$4-K58-J58-I58-H58-G58-F58-E58</f>
        <v>0.96600936654789893</v>
      </c>
      <c r="M58" s="16">
        <f>M52*M$15/$E$4-L58-K58-J58-I58-H58-G58-F58-E58</f>
        <v>1.2461520828467589</v>
      </c>
      <c r="N58" s="16">
        <f>N52*N$15/$E$4-M58-L58-K58-J58-I58-H58-G58-F58-E58</f>
        <v>1.6075361868723681</v>
      </c>
    </row>
    <row r="59" spans="1:16" ht="14.25" x14ac:dyDescent="0.45">
      <c r="B59" s="159"/>
      <c r="C59" s="166"/>
      <c r="D59" s="15" t="s">
        <v>44</v>
      </c>
      <c r="E59" s="17"/>
      <c r="F59" s="17"/>
      <c r="G59" s="17"/>
      <c r="H59" s="17"/>
      <c r="I59" s="17">
        <f>AVERAGE(E58:I58)</f>
        <v>0.28827557882500016</v>
      </c>
      <c r="J59" s="17"/>
      <c r="K59" s="17"/>
      <c r="L59" s="17"/>
      <c r="M59" s="17"/>
      <c r="N59" s="17">
        <f>AVERAGE(E58:N58)</f>
        <v>0.65904195898804363</v>
      </c>
    </row>
    <row r="60" spans="1:16" ht="14.25" x14ac:dyDescent="0.45">
      <c r="B60" s="159"/>
      <c r="C60" s="167"/>
      <c r="D60" s="19" t="s">
        <v>45</v>
      </c>
      <c r="E60" s="22">
        <f>E62</f>
        <v>162499.99999999997</v>
      </c>
      <c r="F60" s="22">
        <f>F62-E62</f>
        <v>209625.00000000003</v>
      </c>
      <c r="G60" s="22">
        <f>G62-F62</f>
        <v>270416.25</v>
      </c>
      <c r="H60" s="22">
        <f t="shared" ref="H60:N60" si="29">H62-G62</f>
        <v>348836.96249999932</v>
      </c>
      <c r="I60" s="22">
        <f t="shared" si="29"/>
        <v>449999.68162500171</v>
      </c>
      <c r="J60" s="22">
        <f>J62-I62</f>
        <v>580499.58929624851</v>
      </c>
      <c r="K60" s="22">
        <f t="shared" si="29"/>
        <v>748844.47019216069</v>
      </c>
      <c r="L60" s="22">
        <f t="shared" si="29"/>
        <v>966009.36654789839</v>
      </c>
      <c r="M60" s="22">
        <f t="shared" si="29"/>
        <v>1246152.0828467594</v>
      </c>
      <c r="N60" s="22">
        <f t="shared" si="29"/>
        <v>1607536.1868723677</v>
      </c>
    </row>
    <row r="61" spans="1:16" ht="15" customHeight="1" x14ac:dyDescent="0.45">
      <c r="B61" s="159"/>
      <c r="C61" s="167"/>
      <c r="D61" s="19" t="s">
        <v>47</v>
      </c>
      <c r="E61" s="22"/>
      <c r="F61" s="22"/>
      <c r="G61" s="22"/>
      <c r="H61" s="22"/>
      <c r="I61" s="22">
        <f>AVERAGE(E60:I60)</f>
        <v>288275.57882500021</v>
      </c>
      <c r="J61" s="22"/>
      <c r="K61" s="22"/>
      <c r="L61" s="22"/>
      <c r="M61" s="22"/>
      <c r="N61" s="22">
        <f>AVERAGE(E60:N60)</f>
        <v>659041.9589880436</v>
      </c>
    </row>
    <row r="62" spans="1:16" ht="14.25" x14ac:dyDescent="0.45">
      <c r="B62" s="160"/>
      <c r="C62" s="167"/>
      <c r="D62" s="19" t="s">
        <v>46</v>
      </c>
      <c r="E62" s="21">
        <f t="shared" ref="E62:N62" si="30">E54*E$15</f>
        <v>162499.99999999997</v>
      </c>
      <c r="F62" s="21">
        <f t="shared" si="30"/>
        <v>372125</v>
      </c>
      <c r="G62" s="21">
        <f t="shared" si="30"/>
        <v>642541.25</v>
      </c>
      <c r="H62" s="21">
        <f t="shared" si="30"/>
        <v>991378.21249999932</v>
      </c>
      <c r="I62" s="21">
        <f t="shared" si="30"/>
        <v>1441377.894125001</v>
      </c>
      <c r="J62" s="21">
        <f t="shared" si="30"/>
        <v>2021877.4834212495</v>
      </c>
      <c r="K62" s="21">
        <f t="shared" si="30"/>
        <v>2770721.9536134102</v>
      </c>
      <c r="L62" s="21">
        <f t="shared" si="30"/>
        <v>3736731.3201613086</v>
      </c>
      <c r="M62" s="21">
        <f t="shared" si="30"/>
        <v>4982883.403008068</v>
      </c>
      <c r="N62" s="21">
        <f t="shared" si="30"/>
        <v>6590419.5898804357</v>
      </c>
    </row>
    <row r="63" spans="1:16" ht="14.25" x14ac:dyDescent="0.45">
      <c r="A63" s="8"/>
      <c r="B63" s="3"/>
      <c r="C63" s="1"/>
      <c r="D63" s="43"/>
      <c r="E63" s="31"/>
      <c r="F63" s="31"/>
      <c r="G63" s="31"/>
      <c r="H63" s="31"/>
      <c r="I63" s="31"/>
      <c r="J63" s="31"/>
      <c r="K63" s="31"/>
      <c r="L63" s="31"/>
      <c r="M63" s="31"/>
      <c r="N63" s="31"/>
      <c r="O63" s="8"/>
      <c r="P63" s="8"/>
    </row>
    <row r="64" spans="1:16" ht="14.25"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4.25" x14ac:dyDescent="0.45">
      <c r="B65" s="164"/>
      <c r="C65" s="162"/>
      <c r="D65" s="155"/>
      <c r="E65" s="149"/>
      <c r="F65" s="149"/>
      <c r="G65" s="149"/>
      <c r="H65" s="149"/>
      <c r="I65" s="149"/>
      <c r="J65" s="149"/>
      <c r="K65" s="149"/>
      <c r="L65" s="149"/>
      <c r="M65" s="149"/>
      <c r="N65" s="149"/>
    </row>
    <row r="66" spans="2:14" ht="14.25" x14ac:dyDescent="0.45">
      <c r="B66" s="167" t="s">
        <v>16</v>
      </c>
      <c r="C66" s="166" t="s">
        <v>32</v>
      </c>
      <c r="D66" s="15" t="s">
        <v>58</v>
      </c>
      <c r="E66" s="16">
        <f>E$23</f>
        <v>0.5620155038759691</v>
      </c>
      <c r="F66" s="16">
        <f t="shared" ref="F66:N66" si="31">F$23</f>
        <v>0.43567093323718525</v>
      </c>
      <c r="G66" s="16">
        <f t="shared" si="31"/>
        <v>0.33772940561022102</v>
      </c>
      <c r="H66" s="16">
        <f t="shared" si="31"/>
        <v>0.2618057407831173</v>
      </c>
      <c r="I66" s="16">
        <f t="shared" si="31"/>
        <v>0.20295018665357906</v>
      </c>
      <c r="J66" s="16">
        <f t="shared" si="31"/>
        <v>0.1573257260880459</v>
      </c>
      <c r="K66" s="16">
        <f t="shared" si="31"/>
        <v>0.12195792720003568</v>
      </c>
      <c r="L66" s="16">
        <f t="shared" si="31"/>
        <v>9.4541028837236696E-2</v>
      </c>
      <c r="M66" s="16">
        <f t="shared" si="31"/>
        <v>7.3287619253672165E-2</v>
      </c>
      <c r="N66" s="16">
        <f t="shared" si="31"/>
        <v>5.6812107948582824E-2</v>
      </c>
    </row>
    <row r="67" spans="2:14" ht="14.25" x14ac:dyDescent="0.45">
      <c r="B67" s="167"/>
      <c r="C67" s="166"/>
      <c r="D67" s="15" t="s">
        <v>59</v>
      </c>
      <c r="E67" s="16"/>
      <c r="F67" s="16"/>
      <c r="G67" s="16"/>
      <c r="H67" s="16"/>
      <c r="I67" s="82">
        <f>AVERAGE(E66:I66)</f>
        <v>0.36003435403201434</v>
      </c>
      <c r="J67" s="16"/>
      <c r="K67" s="16"/>
      <c r="L67" s="16"/>
      <c r="M67" s="16"/>
      <c r="N67" s="17">
        <f>AVERAGE(E66:N66)</f>
        <v>0.23040961794876447</v>
      </c>
    </row>
    <row r="68" spans="2:14" ht="14.25" x14ac:dyDescent="0.45">
      <c r="B68" s="167"/>
      <c r="C68" s="166"/>
      <c r="D68" s="15" t="s">
        <v>42</v>
      </c>
      <c r="E68" s="16">
        <f>E$17*(E66/E$19)</f>
        <v>0.5620155038759691</v>
      </c>
      <c r="F68" s="16">
        <f t="shared" ref="F68:N68" si="32">F$17*(F66/F$19)</f>
        <v>0.9976864371131543</v>
      </c>
      <c r="G68" s="16">
        <f>G$17*(G66/G$19)</f>
        <v>1.3354158427233753</v>
      </c>
      <c r="H68" s="16">
        <f>H$17*(H66/H$19)</f>
        <v>1.5972215835064927</v>
      </c>
      <c r="I68" s="16">
        <f>I$17*(I66/I$19)</f>
        <v>1.8001717701600717</v>
      </c>
      <c r="J68" s="16">
        <f t="shared" si="32"/>
        <v>1.9574974962481175</v>
      </c>
      <c r="K68" s="16">
        <f t="shared" si="32"/>
        <v>2.0794554234481533</v>
      </c>
      <c r="L68" s="16">
        <f t="shared" si="32"/>
        <v>2.1739964522853898</v>
      </c>
      <c r="M68" s="16">
        <f t="shared" si="32"/>
        <v>2.2472840715390623</v>
      </c>
      <c r="N68" s="16">
        <f t="shared" si="32"/>
        <v>2.3040961794876451</v>
      </c>
    </row>
    <row r="69" spans="2:14" ht="14.25" customHeight="1" x14ac:dyDescent="0.45">
      <c r="B69" s="167"/>
      <c r="C69" s="167"/>
      <c r="D69" s="19" t="s">
        <v>45</v>
      </c>
      <c r="E69" s="20">
        <f>10*E66</f>
        <v>5.620155038759691</v>
      </c>
      <c r="F69" s="20">
        <f t="shared" ref="F69:N69" si="33">10*F66</f>
        <v>4.3567093323718522</v>
      </c>
      <c r="G69" s="20">
        <f t="shared" si="33"/>
        <v>3.37729405610221</v>
      </c>
      <c r="H69" s="20">
        <f t="shared" si="33"/>
        <v>2.6180574078311731</v>
      </c>
      <c r="I69" s="20">
        <f t="shared" si="33"/>
        <v>2.0295018665357905</v>
      </c>
      <c r="J69" s="20">
        <f t="shared" si="33"/>
        <v>1.5732572608804589</v>
      </c>
      <c r="K69" s="20">
        <f t="shared" si="33"/>
        <v>1.2195792720003569</v>
      </c>
      <c r="L69" s="20">
        <f t="shared" si="33"/>
        <v>0.94541028837236696</v>
      </c>
      <c r="M69" s="20">
        <f t="shared" si="33"/>
        <v>0.73287619253672165</v>
      </c>
      <c r="N69" s="20">
        <f t="shared" si="33"/>
        <v>0.56812107948582824</v>
      </c>
    </row>
    <row r="70" spans="2:14" ht="14.25" x14ac:dyDescent="0.45">
      <c r="B70" s="167"/>
      <c r="C70" s="167"/>
      <c r="D70" s="19" t="s">
        <v>46</v>
      </c>
      <c r="E70" s="20">
        <f>10*E68</f>
        <v>5.620155038759691</v>
      </c>
      <c r="F70" s="20">
        <f>10*F68</f>
        <v>9.9768643711315423</v>
      </c>
      <c r="G70" s="20">
        <f>10*G68</f>
        <v>13.354158427233752</v>
      </c>
      <c r="H70" s="20">
        <f t="shared" ref="H70:N70" si="34">10*H68</f>
        <v>15.972215835064926</v>
      </c>
      <c r="I70" s="20">
        <f t="shared" si="34"/>
        <v>18.001717701600718</v>
      </c>
      <c r="J70" s="20">
        <f t="shared" si="34"/>
        <v>19.574974962481175</v>
      </c>
      <c r="K70" s="20">
        <f t="shared" si="34"/>
        <v>20.794554234481531</v>
      </c>
      <c r="L70" s="20">
        <f t="shared" si="34"/>
        <v>21.739964522853899</v>
      </c>
      <c r="M70" s="20">
        <f t="shared" si="34"/>
        <v>22.472840715390625</v>
      </c>
      <c r="N70" s="20">
        <f t="shared" si="34"/>
        <v>23.040961794876452</v>
      </c>
    </row>
    <row r="71" spans="2:14" ht="14.25" x14ac:dyDescent="0.45">
      <c r="B71" s="167"/>
      <c r="C71" s="165" t="s">
        <v>36</v>
      </c>
      <c r="D71" s="15" t="s">
        <v>43</v>
      </c>
      <c r="E71" s="16">
        <f t="shared" ref="E71:N71" si="35">E66*E$15/$E$4</f>
        <v>0.7250000000000002</v>
      </c>
      <c r="F71" s="16">
        <f t="shared" si="35"/>
        <v>0.72499999999999998</v>
      </c>
      <c r="G71" s="16">
        <f t="shared" si="35"/>
        <v>0.72499999999999976</v>
      </c>
      <c r="H71" s="16">
        <f t="shared" si="35"/>
        <v>0.72500000000000042</v>
      </c>
      <c r="I71" s="16">
        <f t="shared" si="35"/>
        <v>0.72499999999999942</v>
      </c>
      <c r="J71" s="16">
        <f t="shared" si="35"/>
        <v>0.72499999999999987</v>
      </c>
      <c r="K71" s="16">
        <f t="shared" si="35"/>
        <v>0.72500000000000042</v>
      </c>
      <c r="L71" s="16">
        <f t="shared" si="35"/>
        <v>0.72499999999999842</v>
      </c>
      <c r="M71" s="16">
        <f t="shared" si="35"/>
        <v>0.72500000000000142</v>
      </c>
      <c r="N71" s="16">
        <f t="shared" si="35"/>
        <v>0.7249999999999982</v>
      </c>
    </row>
    <row r="72" spans="2:14" ht="14.25" customHeight="1" x14ac:dyDescent="0.45">
      <c r="B72" s="167"/>
      <c r="C72" s="167"/>
      <c r="D72" s="19" t="s">
        <v>45</v>
      </c>
      <c r="E72" s="21">
        <f t="shared" ref="E72:N72" si="36">E69*E$15</f>
        <v>725000.00000000012</v>
      </c>
      <c r="F72" s="21">
        <f t="shared" si="36"/>
        <v>724999.99999999988</v>
      </c>
      <c r="G72" s="21">
        <f>G69*G$15</f>
        <v>724999.99999999965</v>
      </c>
      <c r="H72" s="21">
        <f>H69*H$15</f>
        <v>725000.00000000047</v>
      </c>
      <c r="I72" s="21">
        <f>I69*I$15</f>
        <v>724999.99999999942</v>
      </c>
      <c r="J72" s="21">
        <f t="shared" si="36"/>
        <v>724999.99999999988</v>
      </c>
      <c r="K72" s="21">
        <f t="shared" si="36"/>
        <v>725000.00000000058</v>
      </c>
      <c r="L72" s="21">
        <f t="shared" si="36"/>
        <v>724999.99999999849</v>
      </c>
      <c r="M72" s="21">
        <f t="shared" si="36"/>
        <v>725000.00000000151</v>
      </c>
      <c r="N72" s="21">
        <f t="shared" si="36"/>
        <v>724999.99999999825</v>
      </c>
    </row>
    <row r="73" spans="2:14" ht="14.25" x14ac:dyDescent="0.45">
      <c r="B73" s="167"/>
      <c r="C73" s="167"/>
      <c r="D73" s="19" t="s">
        <v>46</v>
      </c>
      <c r="E73" s="21">
        <f>E72</f>
        <v>725000.00000000012</v>
      </c>
      <c r="F73" s="21">
        <f>E73+F72</f>
        <v>1450000</v>
      </c>
      <c r="G73" s="21">
        <f>F73+G72</f>
        <v>2174999.9999999995</v>
      </c>
      <c r="H73" s="21">
        <f t="shared" ref="H73:N73" si="37">G73+H72</f>
        <v>2900000</v>
      </c>
      <c r="I73" s="21">
        <f t="shared" si="37"/>
        <v>3624999.9999999995</v>
      </c>
      <c r="J73" s="21">
        <f>I73+J72</f>
        <v>4349999.9999999991</v>
      </c>
      <c r="K73" s="21">
        <f t="shared" si="37"/>
        <v>5075000</v>
      </c>
      <c r="L73" s="21">
        <f t="shared" si="37"/>
        <v>5799999.9999999981</v>
      </c>
      <c r="M73" s="21">
        <f t="shared" si="37"/>
        <v>6525000</v>
      </c>
      <c r="N73" s="21">
        <f t="shared" si="37"/>
        <v>7249999.9999999981</v>
      </c>
    </row>
    <row r="74" spans="2:14" ht="14.25" x14ac:dyDescent="0.45">
      <c r="B74" s="167"/>
      <c r="C74" s="165" t="s">
        <v>35</v>
      </c>
      <c r="D74" s="15" t="s">
        <v>43</v>
      </c>
      <c r="E74" s="16">
        <f>E68*E$15/$E$4</f>
        <v>0.7250000000000002</v>
      </c>
      <c r="F74" s="16">
        <f>F68*F$15/$E$4-E74</f>
        <v>0.9352499999999998</v>
      </c>
      <c r="G74" s="16">
        <f>G68*G$15/$E$4-F74-E74</f>
        <v>1.2064724999999998</v>
      </c>
      <c r="H74" s="16">
        <f>H68*H$15/$E$4-G74-F74-E74</f>
        <v>1.5563495249999999</v>
      </c>
      <c r="I74" s="16">
        <f>I68*I$15/$E$4-H74-G74-F74-E74</f>
        <v>2.0076908872499999</v>
      </c>
      <c r="J74" s="16">
        <f>J68*J$15/$E$4-I74-H74-G74-F74-E74</f>
        <v>2.5899212445524973</v>
      </c>
      <c r="K74" s="16">
        <f>K68*K$15/$E$4-J74-I74-H74-G74-F74-E74</f>
        <v>3.340998405472726</v>
      </c>
      <c r="L74" s="16">
        <f>L68*L$15/$E$4-K74-J74-I74-H74-G74-F74-E74</f>
        <v>4.3098879430598123</v>
      </c>
      <c r="M74" s="16">
        <f>M68*M$15/$E$4-L74-K74-J74-I74-H74-G74-F74-E74</f>
        <v>5.5597554465471637</v>
      </c>
      <c r="N74" s="16">
        <f>N68*N$15/$E$4-M74-L74-K74-J74-I74-H74-G74-F74-E74</f>
        <v>7.1720845260458335</v>
      </c>
    </row>
    <row r="75" spans="2:14" ht="14.25" x14ac:dyDescent="0.45">
      <c r="B75" s="167"/>
      <c r="C75" s="166"/>
      <c r="D75" s="15" t="s">
        <v>44</v>
      </c>
      <c r="E75" s="17"/>
      <c r="F75" s="17"/>
      <c r="G75" s="17"/>
      <c r="H75" s="17"/>
      <c r="I75" s="17">
        <f>AVERAGE(E74:I74)</f>
        <v>1.28615258245</v>
      </c>
      <c r="J75" s="17"/>
      <c r="K75" s="17"/>
      <c r="L75" s="17"/>
      <c r="M75" s="17"/>
      <c r="N75" s="17">
        <f>AVERAGE(E74:N74)</f>
        <v>2.9403410477928036</v>
      </c>
    </row>
    <row r="76" spans="2:14" ht="14.25" x14ac:dyDescent="0.45">
      <c r="B76" s="167"/>
      <c r="C76" s="167"/>
      <c r="D76" s="19" t="s">
        <v>45</v>
      </c>
      <c r="E76" s="22">
        <f>E78</f>
        <v>725000.00000000012</v>
      </c>
      <c r="F76" s="22">
        <f>F78-E78</f>
        <v>935249.99999999988</v>
      </c>
      <c r="G76" s="22">
        <f>G78-F78</f>
        <v>1206472.4999999995</v>
      </c>
      <c r="H76" s="22">
        <f t="shared" ref="H76:N76" si="38">H78-G78</f>
        <v>1556349.5250000008</v>
      </c>
      <c r="I76" s="22">
        <f t="shared" si="38"/>
        <v>2007690.8872499987</v>
      </c>
      <c r="J76" s="22">
        <f>J78-I78</f>
        <v>2589921.2445524987</v>
      </c>
      <c r="K76" s="22">
        <f t="shared" si="38"/>
        <v>3340998.4054727238</v>
      </c>
      <c r="L76" s="22">
        <f t="shared" si="38"/>
        <v>4309887.9430598151</v>
      </c>
      <c r="M76" s="22">
        <f t="shared" si="38"/>
        <v>5559755.4465471618</v>
      </c>
      <c r="N76" s="22">
        <f t="shared" si="38"/>
        <v>7172084.5260458365</v>
      </c>
    </row>
    <row r="77" spans="2:14" ht="14.25" x14ac:dyDescent="0.45">
      <c r="B77" s="167"/>
      <c r="C77" s="167"/>
      <c r="D77" s="19" t="s">
        <v>47</v>
      </c>
      <c r="E77" s="22"/>
      <c r="F77" s="22"/>
      <c r="G77" s="22"/>
      <c r="H77" s="22"/>
      <c r="I77" s="22">
        <f>AVERAGE(E76:I76)</f>
        <v>1286152.5824499999</v>
      </c>
      <c r="J77" s="22"/>
      <c r="K77" s="22"/>
      <c r="L77" s="22"/>
      <c r="M77" s="22"/>
      <c r="N77" s="22">
        <f>AVERAGE(E76:N76)</f>
        <v>2940341.0477928035</v>
      </c>
    </row>
    <row r="78" spans="2:14" ht="14.25" x14ac:dyDescent="0.45">
      <c r="B78" s="167"/>
      <c r="C78" s="167"/>
      <c r="D78" s="19" t="s">
        <v>46</v>
      </c>
      <c r="E78" s="21">
        <f t="shared" ref="E78:N78" si="39">E70*E$15</f>
        <v>725000.00000000012</v>
      </c>
      <c r="F78" s="21">
        <f t="shared" si="39"/>
        <v>1660250</v>
      </c>
      <c r="G78" s="21">
        <f>G70*G$15</f>
        <v>2866722.4999999995</v>
      </c>
      <c r="H78" s="21">
        <f>H70*H$15</f>
        <v>4423072.0250000004</v>
      </c>
      <c r="I78" s="21">
        <f>I70*I$15</f>
        <v>6430762.9122499991</v>
      </c>
      <c r="J78" s="21">
        <f t="shared" si="39"/>
        <v>9020684.1568024978</v>
      </c>
      <c r="K78" s="21">
        <f t="shared" si="39"/>
        <v>12361682.562275222</v>
      </c>
      <c r="L78" s="21">
        <f t="shared" si="39"/>
        <v>16671570.505335037</v>
      </c>
      <c r="M78" s="21">
        <f t="shared" si="39"/>
        <v>22231325.951882198</v>
      </c>
      <c r="N78" s="21">
        <f t="shared" si="39"/>
        <v>29403410.477928035</v>
      </c>
    </row>
    <row r="79" spans="2:14" ht="14.25" x14ac:dyDescent="0.45">
      <c r="B79" s="167" t="s">
        <v>141</v>
      </c>
      <c r="C79" s="166" t="s">
        <v>32</v>
      </c>
      <c r="D79" s="15" t="s">
        <v>43</v>
      </c>
      <c r="E79" s="16">
        <f>E$25</f>
        <v>6.5503875968992251E-2</v>
      </c>
      <c r="F79" s="16">
        <f t="shared" ref="F79:N79" si="40">F$25</f>
        <v>6.2018508503094767E-2</v>
      </c>
      <c r="G79" s="16">
        <f t="shared" si="40"/>
        <v>5.9316673258213E-2</v>
      </c>
      <c r="H79" s="16">
        <f t="shared" si="40"/>
        <v>5.722222733194806E-2</v>
      </c>
      <c r="I79" s="16">
        <f t="shared" si="40"/>
        <v>5.5598625838719426E-2</v>
      </c>
      <c r="J79" s="16">
        <f t="shared" si="40"/>
        <v>5.4340020030015063E-2</v>
      </c>
      <c r="K79" s="16">
        <f t="shared" si="40"/>
        <v>5.3364356612414773E-2</v>
      </c>
      <c r="L79" s="16">
        <f t="shared" si="40"/>
        <v>5.2608028381716881E-2</v>
      </c>
      <c r="M79" s="16">
        <f t="shared" si="40"/>
        <v>5.2021727427687507E-2</v>
      </c>
      <c r="N79" s="16">
        <f t="shared" si="40"/>
        <v>5.1567230564098843E-2</v>
      </c>
    </row>
    <row r="80" spans="2:14" ht="14.25" x14ac:dyDescent="0.45">
      <c r="B80" s="167"/>
      <c r="C80" s="166"/>
      <c r="D80" s="15" t="s">
        <v>44</v>
      </c>
      <c r="E80" s="16"/>
      <c r="F80" s="16"/>
      <c r="G80" s="16"/>
      <c r="H80" s="16"/>
      <c r="I80" s="82">
        <f>AVERAGE(E79:I79)</f>
        <v>5.9931982180193501E-2</v>
      </c>
      <c r="J80" s="17"/>
      <c r="K80" s="17"/>
      <c r="L80" s="17"/>
      <c r="M80" s="17"/>
      <c r="N80" s="17">
        <f>AVERAGE(E79:N79)</f>
        <v>5.6356127391690061E-2</v>
      </c>
    </row>
    <row r="81" spans="2:14" ht="14.25" x14ac:dyDescent="0.45">
      <c r="B81" s="167"/>
      <c r="C81" s="166"/>
      <c r="D81" s="15" t="s">
        <v>42</v>
      </c>
      <c r="E81" s="16">
        <f>E$27</f>
        <v>6.5503875968992251E-2</v>
      </c>
      <c r="F81" s="16">
        <f t="shared" ref="F81:N81" si="41">F$27</f>
        <v>0.12752238447208702</v>
      </c>
      <c r="G81" s="16">
        <f t="shared" si="41"/>
        <v>0.18683905773030002</v>
      </c>
      <c r="H81" s="16">
        <f t="shared" si="41"/>
        <v>0.24406128506224808</v>
      </c>
      <c r="I81" s="16">
        <f t="shared" si="41"/>
        <v>0.2996599109009675</v>
      </c>
      <c r="J81" s="16">
        <f t="shared" si="41"/>
        <v>0.35399993093098259</v>
      </c>
      <c r="K81" s="16">
        <f t="shared" si="41"/>
        <v>0.40736428754339737</v>
      </c>
      <c r="L81" s="16">
        <f t="shared" si="41"/>
        <v>0.45997231592511423</v>
      </c>
      <c r="M81" s="16">
        <f t="shared" si="41"/>
        <v>0.51199404335280174</v>
      </c>
      <c r="N81" s="16">
        <f t="shared" si="41"/>
        <v>0.56356127391690058</v>
      </c>
    </row>
    <row r="82" spans="2:14" ht="14.25" customHeight="1" x14ac:dyDescent="0.45">
      <c r="B82" s="167"/>
      <c r="C82" s="167"/>
      <c r="D82" s="19" t="s">
        <v>45</v>
      </c>
      <c r="E82" s="20">
        <f t="shared" ref="E82:N82" si="42">10*E79</f>
        <v>0.65503875968992253</v>
      </c>
      <c r="F82" s="20">
        <f t="shared" si="42"/>
        <v>0.62018508503094771</v>
      </c>
      <c r="G82" s="20">
        <f t="shared" si="42"/>
        <v>0.59316673258213004</v>
      </c>
      <c r="H82" s="20">
        <f t="shared" si="42"/>
        <v>0.57222227331948061</v>
      </c>
      <c r="I82" s="20">
        <f t="shared" si="42"/>
        <v>0.55598625838719429</v>
      </c>
      <c r="J82" s="20">
        <f t="shared" si="42"/>
        <v>0.54340020030015057</v>
      </c>
      <c r="K82" s="20">
        <f t="shared" si="42"/>
        <v>0.53364356612414776</v>
      </c>
      <c r="L82" s="20">
        <f t="shared" si="42"/>
        <v>0.52608028381716876</v>
      </c>
      <c r="M82" s="20">
        <f t="shared" si="42"/>
        <v>0.52021727427687503</v>
      </c>
      <c r="N82" s="20">
        <f t="shared" si="42"/>
        <v>0.51567230564098843</v>
      </c>
    </row>
    <row r="83" spans="2:14" ht="14.25" x14ac:dyDescent="0.45">
      <c r="B83" s="167"/>
      <c r="C83" s="167"/>
      <c r="D83" s="19" t="s">
        <v>46</v>
      </c>
      <c r="E83" s="20">
        <f>10*E81</f>
        <v>0.65503875968992253</v>
      </c>
      <c r="F83" s="20">
        <f t="shared" ref="F83:N83" si="43">10*F81</f>
        <v>1.2752238447208701</v>
      </c>
      <c r="G83" s="20">
        <f t="shared" si="43"/>
        <v>1.8683905773030003</v>
      </c>
      <c r="H83" s="20">
        <f t="shared" si="43"/>
        <v>2.4406128506224807</v>
      </c>
      <c r="I83" s="20">
        <f t="shared" si="43"/>
        <v>2.9965991090096749</v>
      </c>
      <c r="J83" s="20">
        <f t="shared" si="43"/>
        <v>3.5399993093098256</v>
      </c>
      <c r="K83" s="20">
        <f t="shared" si="43"/>
        <v>4.0736428754339737</v>
      </c>
      <c r="L83" s="20">
        <f t="shared" si="43"/>
        <v>4.5997231592511421</v>
      </c>
      <c r="M83" s="20">
        <f t="shared" si="43"/>
        <v>5.1199404335280176</v>
      </c>
      <c r="N83" s="20">
        <f t="shared" si="43"/>
        <v>5.6356127391690061</v>
      </c>
    </row>
    <row r="84" spans="2:14" ht="14.25" x14ac:dyDescent="0.45">
      <c r="B84" s="167"/>
      <c r="C84" s="165" t="s">
        <v>36</v>
      </c>
      <c r="D84" s="15" t="s">
        <v>43</v>
      </c>
      <c r="E84" s="16">
        <f>E79*E$15/$E$4</f>
        <v>8.4500000000000006E-2</v>
      </c>
      <c r="F84" s="16">
        <f t="shared" ref="F84:N84" si="44">F79*F$15/$E$4</f>
        <v>0.10320500000000001</v>
      </c>
      <c r="G84" s="16">
        <f t="shared" si="44"/>
        <v>0.12733444999999999</v>
      </c>
      <c r="H84" s="16">
        <f t="shared" si="44"/>
        <v>0.15846144049999999</v>
      </c>
      <c r="I84" s="16">
        <f t="shared" si="44"/>
        <v>0.19861525824499998</v>
      </c>
      <c r="J84" s="16">
        <f t="shared" si="44"/>
        <v>0.25041368313604995</v>
      </c>
      <c r="K84" s="16">
        <f t="shared" si="44"/>
        <v>0.31723365124550446</v>
      </c>
      <c r="L84" s="16">
        <f t="shared" si="44"/>
        <v>0.40343141010670069</v>
      </c>
      <c r="M84" s="16">
        <f t="shared" si="44"/>
        <v>0.514626519037644</v>
      </c>
      <c r="N84" s="16">
        <f t="shared" si="44"/>
        <v>0.6580682095585606</v>
      </c>
    </row>
    <row r="85" spans="2:14" ht="14.25" x14ac:dyDescent="0.45">
      <c r="B85" s="167"/>
      <c r="C85" s="166"/>
      <c r="D85" s="15" t="s">
        <v>44</v>
      </c>
      <c r="E85" s="16"/>
      <c r="F85" s="16"/>
      <c r="G85" s="16"/>
      <c r="H85" s="16"/>
      <c r="I85" s="17">
        <f>AVERAGE(E84:I84)</f>
        <v>0.13442322974900001</v>
      </c>
      <c r="J85" s="17"/>
      <c r="K85" s="17"/>
      <c r="L85" s="17"/>
      <c r="M85" s="17"/>
      <c r="N85" s="17">
        <f>AVERAGE(E84:N84)</f>
        <v>0.28158896218294605</v>
      </c>
    </row>
    <row r="86" spans="2:14" ht="14.25" x14ac:dyDescent="0.45">
      <c r="B86" s="167"/>
      <c r="C86" s="167"/>
      <c r="D86" s="19" t="s">
        <v>45</v>
      </c>
      <c r="E86" s="23">
        <f t="shared" ref="E86:F86" si="45">E82*E$15</f>
        <v>84500</v>
      </c>
      <c r="F86" s="23">
        <f t="shared" si="45"/>
        <v>103205.00000000001</v>
      </c>
      <c r="G86" s="23">
        <f>G82*G$15</f>
        <v>127334.45000000001</v>
      </c>
      <c r="H86" s="23">
        <f>H82*H$15</f>
        <v>158461.4405</v>
      </c>
      <c r="I86" s="23">
        <f>I82*I$15</f>
        <v>198615.25824499998</v>
      </c>
      <c r="J86" s="23">
        <f t="shared" ref="J86:N86" si="46">J82*J$15</f>
        <v>250413.68313604995</v>
      </c>
      <c r="K86" s="23">
        <f t="shared" si="46"/>
        <v>317233.65124550444</v>
      </c>
      <c r="L86" s="23">
        <f t="shared" si="46"/>
        <v>403431.41010670067</v>
      </c>
      <c r="M86" s="23">
        <f t="shared" si="46"/>
        <v>514626.51903764391</v>
      </c>
      <c r="N86" s="23">
        <f t="shared" si="46"/>
        <v>658068.20955856063</v>
      </c>
    </row>
    <row r="87" spans="2:14" ht="14.25" customHeight="1" x14ac:dyDescent="0.45">
      <c r="B87" s="167"/>
      <c r="C87" s="167"/>
      <c r="D87" s="19" t="s">
        <v>47</v>
      </c>
      <c r="E87" s="24"/>
      <c r="F87" s="24"/>
      <c r="G87" s="24"/>
      <c r="H87" s="24"/>
      <c r="I87" s="23">
        <f>AVERAGE(E86:I86)</f>
        <v>134423.22974899999</v>
      </c>
      <c r="J87" s="23"/>
      <c r="K87" s="23"/>
      <c r="L87" s="23"/>
      <c r="M87" s="23"/>
      <c r="N87" s="23">
        <f>AVERAGE(E86:N86)</f>
        <v>281588.96218294592</v>
      </c>
    </row>
    <row r="88" spans="2:14" ht="14.25" x14ac:dyDescent="0.45">
      <c r="B88" s="167"/>
      <c r="C88" s="167"/>
      <c r="D88" s="19" t="s">
        <v>46</v>
      </c>
      <c r="E88" s="24">
        <f>E86</f>
        <v>84500</v>
      </c>
      <c r="F88" s="24">
        <f t="shared" ref="F88" si="47">E88+F86</f>
        <v>187705</v>
      </c>
      <c r="G88" s="24">
        <f>F88+G86</f>
        <v>315039.45</v>
      </c>
      <c r="H88" s="24">
        <f t="shared" ref="H88:I88" si="48">G88+H86</f>
        <v>473500.89049999998</v>
      </c>
      <c r="I88" s="24">
        <f t="shared" si="48"/>
        <v>672116.1487449999</v>
      </c>
      <c r="J88" s="24">
        <f>I88+J86</f>
        <v>922529.83188104979</v>
      </c>
      <c r="K88" s="24">
        <f t="shared" ref="K88:N88" si="49">J88+K86</f>
        <v>1239763.4831265542</v>
      </c>
      <c r="L88" s="24">
        <f t="shared" si="49"/>
        <v>1643194.8932332548</v>
      </c>
      <c r="M88" s="24">
        <f t="shared" si="49"/>
        <v>2157821.4122708989</v>
      </c>
      <c r="N88" s="24">
        <f t="shared" si="49"/>
        <v>2815889.6218294594</v>
      </c>
    </row>
    <row r="89" spans="2:14" ht="14.25" x14ac:dyDescent="0.45">
      <c r="B89" s="167"/>
      <c r="C89" s="165" t="s">
        <v>35</v>
      </c>
      <c r="D89" s="15" t="s">
        <v>43</v>
      </c>
      <c r="E89" s="16">
        <f>E81*E$15/$E$4</f>
        <v>8.4500000000000006E-2</v>
      </c>
      <c r="F89" s="16">
        <f>F81*F$15/$E$4-E89</f>
        <v>0.12770999999999999</v>
      </c>
      <c r="G89" s="16">
        <f>G81*G$15/$E$4-F89-E89</f>
        <v>0.18887535000000005</v>
      </c>
      <c r="H89" s="16">
        <f>H81*H$15/$E$4-G89-F89-E89</f>
        <v>0.27477619199999997</v>
      </c>
      <c r="I89" s="16">
        <f>I81*I$15/$E$4-H89-G89-F89-E89</f>
        <v>0.39461510542499978</v>
      </c>
      <c r="J89" s="16">
        <f>J81*J$15/$E$4-I89-H89-G89-F89-E89</f>
        <v>0.56085191088929998</v>
      </c>
      <c r="K89" s="16">
        <f>K81*K$15/$E$4-J89-I89-H89-G89-F89-E89</f>
        <v>0.79031893315665136</v>
      </c>
      <c r="L89" s="16">
        <f>L81*L$15/$E$4-K89-J89-I89-H89-G89-F89-E89</f>
        <v>1.1057091826332763</v>
      </c>
      <c r="M89" s="16">
        <f>M81*M$15/$E$4-L89-K89-J89-I89-H89-G89-F89-E89</f>
        <v>1.5375599545278698</v>
      </c>
      <c r="N89" s="16">
        <f>N81*N$15/$E$4-M89-L89-K89-J89-I89-H89-G89-F89-E89</f>
        <v>2.1268940318618688</v>
      </c>
    </row>
    <row r="90" spans="2:14" ht="14.25" x14ac:dyDescent="0.45">
      <c r="B90" s="167"/>
      <c r="C90" s="166"/>
      <c r="D90" s="15" t="s">
        <v>44</v>
      </c>
      <c r="E90" s="17"/>
      <c r="F90" s="17"/>
      <c r="G90" s="17"/>
      <c r="H90" s="17"/>
      <c r="I90" s="17">
        <f>AVERAGE(E89:I89)</f>
        <v>0.21409532948499996</v>
      </c>
      <c r="J90" s="17"/>
      <c r="K90" s="17"/>
      <c r="L90" s="17"/>
      <c r="M90" s="17"/>
      <c r="N90" s="17">
        <f>AVERAGE(E89:N89)</f>
        <v>0.71918106604939669</v>
      </c>
    </row>
    <row r="91" spans="2:14" ht="14.25" x14ac:dyDescent="0.45">
      <c r="B91" s="167"/>
      <c r="C91" s="167"/>
      <c r="D91" s="19" t="s">
        <v>45</v>
      </c>
      <c r="E91" s="23">
        <f>E93</f>
        <v>84500</v>
      </c>
      <c r="F91" s="23">
        <f>F93-E93</f>
        <v>127710</v>
      </c>
      <c r="G91" s="23">
        <f>G93-F93</f>
        <v>188875.35000000003</v>
      </c>
      <c r="H91" s="23">
        <f>H93-G93</f>
        <v>274776.19199999998</v>
      </c>
      <c r="I91" s="23">
        <f>I93-H93</f>
        <v>394615.10542499984</v>
      </c>
      <c r="J91" s="23">
        <f>J93-I93</f>
        <v>560851.91088929982</v>
      </c>
      <c r="K91" s="23">
        <f t="shared" ref="K91:N91" si="50">K93-J93</f>
        <v>790318.93315665144</v>
      </c>
      <c r="L91" s="23">
        <f t="shared" si="50"/>
        <v>1105709.1826332766</v>
      </c>
      <c r="M91" s="23">
        <f t="shared" si="50"/>
        <v>1537559.9545278698</v>
      </c>
      <c r="N91" s="23">
        <f t="shared" si="50"/>
        <v>2126894.0318618687</v>
      </c>
    </row>
    <row r="92" spans="2:14" ht="14.25" x14ac:dyDescent="0.45">
      <c r="B92" s="167"/>
      <c r="C92" s="167"/>
      <c r="D92" s="19" t="s">
        <v>47</v>
      </c>
      <c r="E92" s="23"/>
      <c r="F92" s="23"/>
      <c r="G92" s="23"/>
      <c r="H92" s="23"/>
      <c r="I92" s="23">
        <f>AVERAGE(E91:I91)</f>
        <v>214095.32948499997</v>
      </c>
      <c r="J92" s="23"/>
      <c r="K92" s="23"/>
      <c r="L92" s="23"/>
      <c r="M92" s="23"/>
      <c r="N92" s="23">
        <f>AVERAGE(E91:N91)</f>
        <v>719181.06604939664</v>
      </c>
    </row>
    <row r="93" spans="2:14" ht="14.25" x14ac:dyDescent="0.45">
      <c r="B93" s="167"/>
      <c r="C93" s="167"/>
      <c r="D93" s="19" t="s">
        <v>46</v>
      </c>
      <c r="E93" s="24">
        <f t="shared" ref="E93:F93" si="51">E83*E$15</f>
        <v>84500</v>
      </c>
      <c r="F93" s="24">
        <f t="shared" si="51"/>
        <v>212210</v>
      </c>
      <c r="G93" s="24">
        <f>G83*G$15</f>
        <v>401085.35000000003</v>
      </c>
      <c r="H93" s="24">
        <f>H83*H$15</f>
        <v>675861.54200000002</v>
      </c>
      <c r="I93" s="24">
        <f>I83*I$15</f>
        <v>1070476.6474249999</v>
      </c>
      <c r="J93" s="24">
        <f t="shared" ref="J93:N93" si="52">J83*J$15</f>
        <v>1631328.5583142997</v>
      </c>
      <c r="K93" s="24">
        <f t="shared" si="52"/>
        <v>2421647.4914709511</v>
      </c>
      <c r="L93" s="24">
        <f t="shared" si="52"/>
        <v>3527356.6741042277</v>
      </c>
      <c r="M93" s="24">
        <f t="shared" si="52"/>
        <v>5064916.6286320975</v>
      </c>
      <c r="N93" s="24">
        <f t="shared" si="52"/>
        <v>7191810.6604939662</v>
      </c>
    </row>
    <row r="94" spans="2:14" ht="14.25" x14ac:dyDescent="0.45">
      <c r="B94" s="167" t="s">
        <v>17</v>
      </c>
      <c r="C94" s="166" t="s">
        <v>32</v>
      </c>
      <c r="D94" s="15" t="s">
        <v>43</v>
      </c>
      <c r="E94" s="16">
        <f>E$28</f>
        <v>3.2751937984496125E-2</v>
      </c>
      <c r="F94" s="16">
        <f t="shared" ref="F94:N94" si="53">F$28</f>
        <v>3.1009254251547384E-2</v>
      </c>
      <c r="G94" s="16">
        <f t="shared" si="53"/>
        <v>2.96583366291065E-2</v>
      </c>
      <c r="H94" s="16">
        <f t="shared" si="53"/>
        <v>2.861111366597403E-2</v>
      </c>
      <c r="I94" s="16">
        <f t="shared" si="53"/>
        <v>2.7799312919359713E-2</v>
      </c>
      <c r="J94" s="16">
        <f t="shared" si="53"/>
        <v>2.7170010015007531E-2</v>
      </c>
      <c r="K94" s="16">
        <f t="shared" si="53"/>
        <v>2.6682178306207387E-2</v>
      </c>
      <c r="L94" s="16">
        <f t="shared" si="53"/>
        <v>2.6304014190858441E-2</v>
      </c>
      <c r="M94" s="16">
        <f t="shared" si="53"/>
        <v>2.6010863713843754E-2</v>
      </c>
      <c r="N94" s="16">
        <f t="shared" si="53"/>
        <v>2.5783615282049421E-2</v>
      </c>
    </row>
    <row r="95" spans="2:14" ht="14.25" x14ac:dyDescent="0.45">
      <c r="B95" s="167"/>
      <c r="C95" s="166"/>
      <c r="D95" s="15" t="s">
        <v>44</v>
      </c>
      <c r="E95" s="16"/>
      <c r="F95" s="16"/>
      <c r="G95" s="16"/>
      <c r="H95" s="16"/>
      <c r="I95" s="82">
        <f>AVERAGE(E94:I94)</f>
        <v>2.996599109009675E-2</v>
      </c>
      <c r="J95" s="17"/>
      <c r="K95" s="17"/>
      <c r="L95" s="17"/>
      <c r="M95" s="17"/>
      <c r="N95" s="17">
        <f>AVERAGE(E94:N94)</f>
        <v>2.8178063695845031E-2</v>
      </c>
    </row>
    <row r="96" spans="2:14" ht="14.25" x14ac:dyDescent="0.45">
      <c r="B96" s="167"/>
      <c r="C96" s="166"/>
      <c r="D96" s="15" t="s">
        <v>42</v>
      </c>
      <c r="E96" s="16">
        <f t="shared" ref="E96:N96" si="54">E$30</f>
        <v>3.2751937984496125E-2</v>
      </c>
      <c r="F96" s="16">
        <f t="shared" si="54"/>
        <v>6.3761192236043512E-2</v>
      </c>
      <c r="G96" s="16">
        <f t="shared" si="54"/>
        <v>9.3419528865150009E-2</v>
      </c>
      <c r="H96" s="16">
        <f t="shared" si="54"/>
        <v>0.12203064253112404</v>
      </c>
      <c r="I96" s="16">
        <f t="shared" si="54"/>
        <v>0.14982995545048375</v>
      </c>
      <c r="J96" s="16">
        <f t="shared" si="54"/>
        <v>0.17699996546549129</v>
      </c>
      <c r="K96" s="16">
        <f t="shared" si="54"/>
        <v>0.20368214377169869</v>
      </c>
      <c r="L96" s="16">
        <f t="shared" si="54"/>
        <v>0.22998615796255711</v>
      </c>
      <c r="M96" s="16">
        <f t="shared" si="54"/>
        <v>0.25599702167640087</v>
      </c>
      <c r="N96" s="16">
        <f t="shared" si="54"/>
        <v>0.28178063695845029</v>
      </c>
    </row>
    <row r="97" spans="2:14" ht="14.25" customHeight="1" x14ac:dyDescent="0.45">
      <c r="B97" s="167"/>
      <c r="C97" s="167"/>
      <c r="D97" s="19" t="s">
        <v>45</v>
      </c>
      <c r="E97" s="20">
        <f t="shared" ref="E97:N97" si="55">10*E94</f>
        <v>0.32751937984496127</v>
      </c>
      <c r="F97" s="20">
        <f t="shared" si="55"/>
        <v>0.31009254251547386</v>
      </c>
      <c r="G97" s="20">
        <f t="shared" si="55"/>
        <v>0.29658336629106502</v>
      </c>
      <c r="H97" s="20">
        <f t="shared" si="55"/>
        <v>0.28611113665974031</v>
      </c>
      <c r="I97" s="20">
        <f t="shared" si="55"/>
        <v>0.27799312919359714</v>
      </c>
      <c r="J97" s="20">
        <f t="shared" si="55"/>
        <v>0.27170010015007529</v>
      </c>
      <c r="K97" s="20">
        <f t="shared" si="55"/>
        <v>0.26682178306207388</v>
      </c>
      <c r="L97" s="20">
        <f t="shared" si="55"/>
        <v>0.26304014190858438</v>
      </c>
      <c r="M97" s="20">
        <f t="shared" si="55"/>
        <v>0.26010863713843752</v>
      </c>
      <c r="N97" s="20">
        <f t="shared" si="55"/>
        <v>0.25783615282049421</v>
      </c>
    </row>
    <row r="98" spans="2:14" ht="14.25" x14ac:dyDescent="0.45">
      <c r="B98" s="167"/>
      <c r="C98" s="167"/>
      <c r="D98" s="19" t="s">
        <v>46</v>
      </c>
      <c r="E98" s="20">
        <f>10*E96</f>
        <v>0.32751937984496127</v>
      </c>
      <c r="F98" s="20">
        <f t="shared" ref="F98:N98" si="56">10*F96</f>
        <v>0.63761192236043507</v>
      </c>
      <c r="G98" s="20">
        <f t="shared" si="56"/>
        <v>0.93419528865150014</v>
      </c>
      <c r="H98" s="20">
        <f t="shared" si="56"/>
        <v>1.2203064253112403</v>
      </c>
      <c r="I98" s="20">
        <f t="shared" si="56"/>
        <v>1.4982995545048374</v>
      </c>
      <c r="J98" s="20">
        <f t="shared" si="56"/>
        <v>1.7699996546549128</v>
      </c>
      <c r="K98" s="20">
        <f t="shared" si="56"/>
        <v>2.0368214377169869</v>
      </c>
      <c r="L98" s="20">
        <f t="shared" si="56"/>
        <v>2.299861579625571</v>
      </c>
      <c r="M98" s="20">
        <f t="shared" si="56"/>
        <v>2.5599702167640088</v>
      </c>
      <c r="N98" s="20">
        <f t="shared" si="56"/>
        <v>2.817806369584503</v>
      </c>
    </row>
    <row r="99" spans="2:14" ht="14.25" x14ac:dyDescent="0.45">
      <c r="B99" s="167"/>
      <c r="C99" s="165" t="s">
        <v>36</v>
      </c>
      <c r="D99" s="15" t="s">
        <v>43</v>
      </c>
      <c r="E99" s="16">
        <f t="shared" ref="E99:N99" si="57">E94*E$15/$E$4</f>
        <v>4.2250000000000003E-2</v>
      </c>
      <c r="F99" s="16">
        <f t="shared" si="57"/>
        <v>5.1602500000000003E-2</v>
      </c>
      <c r="G99" s="16">
        <f t="shared" si="57"/>
        <v>6.3667224999999994E-2</v>
      </c>
      <c r="H99" s="16">
        <f t="shared" si="57"/>
        <v>7.9230720249999997E-2</v>
      </c>
      <c r="I99" s="16">
        <f t="shared" si="57"/>
        <v>9.9307629122499991E-2</v>
      </c>
      <c r="J99" s="16">
        <f t="shared" si="57"/>
        <v>0.12520684156802497</v>
      </c>
      <c r="K99" s="16">
        <f t="shared" si="57"/>
        <v>0.15861682562275223</v>
      </c>
      <c r="L99" s="16">
        <f t="shared" si="57"/>
        <v>0.20171570505335035</v>
      </c>
      <c r="M99" s="16">
        <f t="shared" si="57"/>
        <v>0.257313259518822</v>
      </c>
      <c r="N99" s="16">
        <f t="shared" si="57"/>
        <v>0.3290341047792803</v>
      </c>
    </row>
    <row r="100" spans="2:14" ht="14.25" x14ac:dyDescent="0.45">
      <c r="B100" s="167"/>
      <c r="C100" s="166"/>
      <c r="D100" s="15" t="s">
        <v>44</v>
      </c>
      <c r="E100" s="16"/>
      <c r="F100" s="16"/>
      <c r="G100" s="16"/>
      <c r="H100" s="16"/>
      <c r="I100" s="17">
        <f>AVERAGE(E99:I99)</f>
        <v>6.7211614874500003E-2</v>
      </c>
      <c r="J100" s="17"/>
      <c r="K100" s="17"/>
      <c r="L100" s="17"/>
      <c r="M100" s="17"/>
      <c r="N100" s="17">
        <f>AVERAGE(E99:N99)</f>
        <v>0.14079448109147302</v>
      </c>
    </row>
    <row r="101" spans="2:14" ht="14.25" x14ac:dyDescent="0.45">
      <c r="B101" s="167"/>
      <c r="C101" s="167"/>
      <c r="D101" s="19" t="s">
        <v>45</v>
      </c>
      <c r="E101" s="23">
        <f t="shared" ref="E101:N101" si="58">E97*E$15</f>
        <v>42250</v>
      </c>
      <c r="F101" s="23">
        <f t="shared" si="58"/>
        <v>51602.500000000007</v>
      </c>
      <c r="G101" s="23">
        <f>G97*G$15</f>
        <v>63667.225000000006</v>
      </c>
      <c r="H101" s="23">
        <f>H97*H$15</f>
        <v>79230.720249999998</v>
      </c>
      <c r="I101" s="23">
        <f>I97*I$15</f>
        <v>99307.629122499988</v>
      </c>
      <c r="J101" s="23">
        <f t="shared" si="58"/>
        <v>125206.84156802497</v>
      </c>
      <c r="K101" s="23">
        <f t="shared" si="58"/>
        <v>158616.82562275222</v>
      </c>
      <c r="L101" s="23">
        <f t="shared" si="58"/>
        <v>201715.70505335034</v>
      </c>
      <c r="M101" s="23">
        <f t="shared" si="58"/>
        <v>257313.25951882196</v>
      </c>
      <c r="N101" s="23">
        <f t="shared" si="58"/>
        <v>329034.10477928031</v>
      </c>
    </row>
    <row r="102" spans="2:14" ht="14.25" customHeight="1" x14ac:dyDescent="0.45">
      <c r="B102" s="167"/>
      <c r="C102" s="167"/>
      <c r="D102" s="19" t="s">
        <v>47</v>
      </c>
      <c r="E102" s="24"/>
      <c r="F102" s="24"/>
      <c r="G102" s="24"/>
      <c r="H102" s="24"/>
      <c r="I102" s="23">
        <f>AVERAGE(E101:I101)</f>
        <v>67211.614874499995</v>
      </c>
      <c r="J102" s="23"/>
      <c r="K102" s="23"/>
      <c r="L102" s="23"/>
      <c r="M102" s="23"/>
      <c r="N102" s="23">
        <f>AVERAGE(E101:N101)</f>
        <v>140794.48109147296</v>
      </c>
    </row>
    <row r="103" spans="2:14" ht="14.25" x14ac:dyDescent="0.45">
      <c r="B103" s="167"/>
      <c r="C103" s="167"/>
      <c r="D103" s="19" t="s">
        <v>46</v>
      </c>
      <c r="E103" s="24">
        <f>E101</f>
        <v>42250</v>
      </c>
      <c r="F103" s="24">
        <f t="shared" ref="F103:N103" si="59">E103+F101</f>
        <v>93852.5</v>
      </c>
      <c r="G103" s="24">
        <f>F103+G101</f>
        <v>157519.72500000001</v>
      </c>
      <c r="H103" s="24">
        <f t="shared" si="59"/>
        <v>236750.44524999999</v>
      </c>
      <c r="I103" s="24">
        <f t="shared" si="59"/>
        <v>336058.07437249995</v>
      </c>
      <c r="J103" s="24">
        <f>I103+J101</f>
        <v>461264.91594052489</v>
      </c>
      <c r="K103" s="24">
        <f t="shared" si="59"/>
        <v>619881.74156327709</v>
      </c>
      <c r="L103" s="24">
        <f t="shared" si="59"/>
        <v>821597.44661662739</v>
      </c>
      <c r="M103" s="24">
        <f t="shared" si="59"/>
        <v>1078910.7061354495</v>
      </c>
      <c r="N103" s="24">
        <f t="shared" si="59"/>
        <v>1407944.8109147297</v>
      </c>
    </row>
    <row r="104" spans="2:14" ht="14.25" x14ac:dyDescent="0.45">
      <c r="B104" s="167"/>
      <c r="C104" s="165" t="s">
        <v>35</v>
      </c>
      <c r="D104" s="15" t="s">
        <v>43</v>
      </c>
      <c r="E104" s="16">
        <f>E96*E$15/$E$4</f>
        <v>4.2250000000000003E-2</v>
      </c>
      <c r="F104" s="16">
        <f>F96*F$15/$E$4-E104</f>
        <v>6.3854999999999995E-2</v>
      </c>
      <c r="G104" s="16">
        <f>G96*G$15/$E$4-F104-E104</f>
        <v>9.4437675000000026E-2</v>
      </c>
      <c r="H104" s="16">
        <f>H96*H$15/$E$4-G104-F104-E104</f>
        <v>0.13738809599999999</v>
      </c>
      <c r="I104" s="16">
        <f>I96*I$15/$E$4-H104-G104-F104-E104</f>
        <v>0.19730755271249989</v>
      </c>
      <c r="J104" s="16">
        <f>J96*J$15/$E$4-I104-H104-G104-F104-E104</f>
        <v>0.28042595544464999</v>
      </c>
      <c r="K104" s="16">
        <f>K96*K$15/$E$4-J104-I104-H104-G104-F104-E104</f>
        <v>0.39515946657832568</v>
      </c>
      <c r="L104" s="16">
        <f>L96*L$15/$E$4-K104-J104-I104-H104-G104-F104-E104</f>
        <v>0.55285459131663817</v>
      </c>
      <c r="M104" s="16">
        <f>M96*M$15/$E$4-L104-K104-J104-I104-H104-G104-F104-E104</f>
        <v>0.76877997726393488</v>
      </c>
      <c r="N104" s="16">
        <f>N96*N$15/$E$4-M104-L104-K104-J104-I104-H104-G104-F104-E104</f>
        <v>1.0634470159309344</v>
      </c>
    </row>
    <row r="105" spans="2:14" ht="14.25" x14ac:dyDescent="0.45">
      <c r="B105" s="167"/>
      <c r="C105" s="166"/>
      <c r="D105" s="15" t="s">
        <v>44</v>
      </c>
      <c r="E105" s="17"/>
      <c r="F105" s="17"/>
      <c r="G105" s="17"/>
      <c r="H105" s="17"/>
      <c r="I105" s="17">
        <f>AVERAGE(E104:I104)</f>
        <v>0.10704766474249998</v>
      </c>
      <c r="J105" s="17"/>
      <c r="K105" s="17"/>
      <c r="L105" s="17"/>
      <c r="M105" s="17"/>
      <c r="N105" s="17">
        <f>AVERAGE(E104:N104)</f>
        <v>0.35959053302469834</v>
      </c>
    </row>
    <row r="106" spans="2:14" ht="14.25" x14ac:dyDescent="0.45">
      <c r="B106" s="167"/>
      <c r="C106" s="167"/>
      <c r="D106" s="19" t="s">
        <v>45</v>
      </c>
      <c r="E106" s="23">
        <f>E108</f>
        <v>42250</v>
      </c>
      <c r="F106" s="23">
        <f>F108-E108</f>
        <v>63855</v>
      </c>
      <c r="G106" s="23">
        <f>G108-F108</f>
        <v>94437.675000000017</v>
      </c>
      <c r="H106" s="23">
        <f>H108-G108</f>
        <v>137388.09599999999</v>
      </c>
      <c r="I106" s="23">
        <f>I108-H108</f>
        <v>197307.55271249992</v>
      </c>
      <c r="J106" s="23">
        <f>J108-I108</f>
        <v>280425.95544464991</v>
      </c>
      <c r="K106" s="23">
        <f t="shared" ref="K106:N106" si="60">K108-J108</f>
        <v>395159.46657832572</v>
      </c>
      <c r="L106" s="23">
        <f t="shared" si="60"/>
        <v>552854.59131663828</v>
      </c>
      <c r="M106" s="23">
        <f t="shared" si="60"/>
        <v>768779.97726393491</v>
      </c>
      <c r="N106" s="23">
        <f t="shared" si="60"/>
        <v>1063447.0159309343</v>
      </c>
    </row>
    <row r="107" spans="2:14" ht="15" customHeight="1" x14ac:dyDescent="0.45">
      <c r="B107" s="167"/>
      <c r="C107" s="167"/>
      <c r="D107" s="19" t="s">
        <v>47</v>
      </c>
      <c r="E107" s="23"/>
      <c r="F107" s="23"/>
      <c r="G107" s="23"/>
      <c r="H107" s="23"/>
      <c r="I107" s="23">
        <f>AVERAGE(E106:I106)</f>
        <v>107047.66474249998</v>
      </c>
      <c r="J107" s="23"/>
      <c r="K107" s="23"/>
      <c r="L107" s="23"/>
      <c r="M107" s="23"/>
      <c r="N107" s="23">
        <f>AVERAGE(E106:N106)</f>
        <v>359590.53302469832</v>
      </c>
    </row>
    <row r="108" spans="2:14" ht="14.25" x14ac:dyDescent="0.45">
      <c r="B108" s="167"/>
      <c r="C108" s="167"/>
      <c r="D108" s="19" t="s">
        <v>46</v>
      </c>
      <c r="E108" s="24">
        <f t="shared" ref="E108:N108" si="61">E98*E$15</f>
        <v>42250</v>
      </c>
      <c r="F108" s="24">
        <f t="shared" si="61"/>
        <v>106105</v>
      </c>
      <c r="G108" s="24">
        <f>G98*G$15</f>
        <v>200542.67500000002</v>
      </c>
      <c r="H108" s="24">
        <f>H98*H$15</f>
        <v>337930.77100000001</v>
      </c>
      <c r="I108" s="24">
        <f>I98*I$15</f>
        <v>535238.32371249993</v>
      </c>
      <c r="J108" s="24">
        <f t="shared" si="61"/>
        <v>815664.27915714984</v>
      </c>
      <c r="K108" s="24">
        <f t="shared" si="61"/>
        <v>1210823.7457354756</v>
      </c>
      <c r="L108" s="24">
        <f t="shared" si="61"/>
        <v>1763678.3370521138</v>
      </c>
      <c r="M108" s="24">
        <f t="shared" si="61"/>
        <v>2532458.3143160488</v>
      </c>
      <c r="N108" s="24">
        <f t="shared" si="61"/>
        <v>3595905.3302469831</v>
      </c>
    </row>
    <row r="109" spans="2:14" ht="14.25" x14ac:dyDescent="0.45">
      <c r="B109" s="167" t="s">
        <v>18</v>
      </c>
      <c r="C109" s="166" t="s">
        <v>32</v>
      </c>
      <c r="D109" s="15" t="s">
        <v>43</v>
      </c>
      <c r="E109" s="16">
        <f>E66+E79+E94-E34-E50</f>
        <v>0.45678294573643419</v>
      </c>
      <c r="F109" s="16">
        <f t="shared" ref="F109:N109" si="62">F66+F79+F94-F34-F50</f>
        <v>0.37095577188870865</v>
      </c>
      <c r="G109" s="16">
        <f t="shared" si="62"/>
        <v>0.30442307898349497</v>
      </c>
      <c r="H109" s="16">
        <f t="shared" si="62"/>
        <v>0.2528473480492211</v>
      </c>
      <c r="I109" s="16">
        <f t="shared" si="62"/>
        <v>0.21286616127846575</v>
      </c>
      <c r="J109" s="16">
        <f t="shared" si="62"/>
        <v>0.18187299323912087</v>
      </c>
      <c r="K109" s="16">
        <f t="shared" si="62"/>
        <v>0.15784728158071393</v>
      </c>
      <c r="L109" s="16">
        <f t="shared" si="62"/>
        <v>0.13922269889977798</v>
      </c>
      <c r="M109" s="16">
        <f t="shared" si="62"/>
        <v>0.12478503790680495</v>
      </c>
      <c r="N109" s="16">
        <f t="shared" si="62"/>
        <v>0.11359305264093381</v>
      </c>
    </row>
    <row r="110" spans="2:14" ht="14.25" x14ac:dyDescent="0.45">
      <c r="B110" s="167"/>
      <c r="C110" s="166"/>
      <c r="D110" s="15" t="s">
        <v>44</v>
      </c>
      <c r="E110" s="16"/>
      <c r="F110" s="16"/>
      <c r="G110" s="16"/>
      <c r="H110" s="16"/>
      <c r="I110" s="38">
        <f>AVERAGE(E109:I109)</f>
        <v>0.31957506118726486</v>
      </c>
      <c r="J110" s="16"/>
      <c r="K110" s="16"/>
      <c r="L110" s="16"/>
      <c r="M110" s="16"/>
      <c r="N110" s="17">
        <f>AVERAGE(E109:N109)</f>
        <v>0.2315196370203676</v>
      </c>
    </row>
    <row r="111" spans="2:14" ht="14.25" x14ac:dyDescent="0.45">
      <c r="B111" s="167"/>
      <c r="C111" s="166"/>
      <c r="D111" s="15" t="s">
        <v>42</v>
      </c>
      <c r="E111" s="16">
        <f>E68+E81+E96-E36-E52</f>
        <v>0.45678294573643419</v>
      </c>
      <c r="F111" s="16">
        <f t="shared" ref="F111:N111" si="63">F68+F81+F96-F36-F52</f>
        <v>0.82773871762514284</v>
      </c>
      <c r="G111" s="16">
        <f t="shared" si="63"/>
        <v>1.1321617966086377</v>
      </c>
      <c r="H111" s="16">
        <f t="shared" si="63"/>
        <v>1.3850091446578592</v>
      </c>
      <c r="I111" s="16">
        <f t="shared" si="63"/>
        <v>1.597875305936324</v>
      </c>
      <c r="J111" s="16">
        <f t="shared" si="63"/>
        <v>1.7797482991754456</v>
      </c>
      <c r="K111" s="16">
        <f t="shared" si="63"/>
        <v>1.93759558075616</v>
      </c>
      <c r="L111" s="16">
        <f t="shared" si="63"/>
        <v>2.0768182796559356</v>
      </c>
      <c r="M111" s="16">
        <f t="shared" si="63"/>
        <v>2.2016033175627445</v>
      </c>
      <c r="N111" s="16">
        <f t="shared" si="63"/>
        <v>2.3151963702036746</v>
      </c>
    </row>
    <row r="112" spans="2:14" ht="14.25" x14ac:dyDescent="0.45">
      <c r="B112" s="167"/>
      <c r="C112" s="167"/>
      <c r="D112" s="19" t="s">
        <v>45</v>
      </c>
      <c r="E112" s="20">
        <f>10*E109</f>
        <v>4.5678294573643416</v>
      </c>
      <c r="F112" s="20">
        <f t="shared" ref="F112:N112" si="64">10*F109</f>
        <v>3.7095577188870865</v>
      </c>
      <c r="G112" s="20">
        <f t="shared" si="64"/>
        <v>3.0442307898349497</v>
      </c>
      <c r="H112" s="20">
        <f t="shared" si="64"/>
        <v>2.5284734804922109</v>
      </c>
      <c r="I112" s="20">
        <f t="shared" si="64"/>
        <v>2.1286616127846574</v>
      </c>
      <c r="J112" s="20">
        <f t="shared" si="64"/>
        <v>1.8187299323912087</v>
      </c>
      <c r="K112" s="20">
        <f t="shared" si="64"/>
        <v>1.5784728158071393</v>
      </c>
      <c r="L112" s="20">
        <f t="shared" si="64"/>
        <v>1.3922269889977799</v>
      </c>
      <c r="M112" s="20">
        <f t="shared" si="64"/>
        <v>1.2478503790680495</v>
      </c>
      <c r="N112" s="20">
        <f t="shared" si="64"/>
        <v>1.135930526409338</v>
      </c>
    </row>
    <row r="113" spans="1:16" ht="14.25" x14ac:dyDescent="0.45">
      <c r="B113" s="167"/>
      <c r="C113" s="167"/>
      <c r="D113" s="19" t="s">
        <v>46</v>
      </c>
      <c r="E113" s="20">
        <f>10*E111</f>
        <v>4.5678294573643416</v>
      </c>
      <c r="F113" s="20">
        <f>10*F111</f>
        <v>8.2773871762514286</v>
      </c>
      <c r="G113" s="20">
        <f>10*G111</f>
        <v>11.321617966086377</v>
      </c>
      <c r="H113" s="20">
        <f t="shared" ref="H113:N113" si="65">10*H111</f>
        <v>13.850091446578592</v>
      </c>
      <c r="I113" s="20">
        <f t="shared" si="65"/>
        <v>15.978753059363239</v>
      </c>
      <c r="J113" s="20">
        <f t="shared" si="65"/>
        <v>17.797482991754457</v>
      </c>
      <c r="K113" s="20">
        <f t="shared" si="65"/>
        <v>19.375955807561599</v>
      </c>
      <c r="L113" s="20">
        <f t="shared" si="65"/>
        <v>20.768182796559355</v>
      </c>
      <c r="M113" s="20">
        <f t="shared" si="65"/>
        <v>22.016033175627445</v>
      </c>
      <c r="N113" s="20">
        <f t="shared" si="65"/>
        <v>23.151963702036745</v>
      </c>
    </row>
    <row r="114" spans="1:16" ht="14.25" x14ac:dyDescent="0.45">
      <c r="B114" s="167"/>
      <c r="C114" s="165" t="s">
        <v>36</v>
      </c>
      <c r="D114" s="15" t="s">
        <v>43</v>
      </c>
      <c r="E114" s="16">
        <f>E71+E84+E99-E39-E55</f>
        <v>0.58925000000000027</v>
      </c>
      <c r="F114" s="16">
        <f t="shared" ref="F114:N114" si="66">F71+F84+F99-F39-F55</f>
        <v>0.61730750000000001</v>
      </c>
      <c r="G114" s="16">
        <f t="shared" si="66"/>
        <v>0.65350167499999978</v>
      </c>
      <c r="H114" s="16">
        <f t="shared" si="66"/>
        <v>0.70019216075000046</v>
      </c>
      <c r="I114" s="16">
        <f t="shared" si="66"/>
        <v>0.76042288736749941</v>
      </c>
      <c r="J114" s="16">
        <f t="shared" si="66"/>
        <v>0.83812052470407472</v>
      </c>
      <c r="K114" s="16">
        <f t="shared" si="66"/>
        <v>0.93835047686825701</v>
      </c>
      <c r="L114" s="16">
        <f t="shared" si="66"/>
        <v>1.0676471151600495</v>
      </c>
      <c r="M114" s="16">
        <f t="shared" si="66"/>
        <v>1.2344397785564674</v>
      </c>
      <c r="N114" s="16">
        <f t="shared" si="66"/>
        <v>1.4496023143378389</v>
      </c>
    </row>
    <row r="115" spans="1:16" ht="14.25" x14ac:dyDescent="0.45">
      <c r="B115" s="167"/>
      <c r="C115" s="166"/>
      <c r="D115" s="15" t="s">
        <v>44</v>
      </c>
      <c r="E115" s="16"/>
      <c r="F115" s="16"/>
      <c r="G115" s="16"/>
      <c r="H115" s="16"/>
      <c r="I115" s="17">
        <f>AVERAGE(E114:I114)</f>
        <v>0.66413484462350003</v>
      </c>
      <c r="J115" s="17"/>
      <c r="K115" s="17"/>
      <c r="L115" s="17"/>
      <c r="M115" s="17"/>
      <c r="N115" s="17">
        <f>AVERAGE(E114:N114)</f>
        <v>0.8848834432744187</v>
      </c>
    </row>
    <row r="116" spans="1:16" ht="14.25" x14ac:dyDescent="0.45">
      <c r="B116" s="167"/>
      <c r="C116" s="167"/>
      <c r="D116" s="19" t="s">
        <v>45</v>
      </c>
      <c r="E116" s="22">
        <f t="shared" ref="E116:N116" si="67">E112*E$15</f>
        <v>589250.00000000012</v>
      </c>
      <c r="F116" s="22">
        <f t="shared" si="67"/>
        <v>617307.50000000012</v>
      </c>
      <c r="G116" s="22">
        <f>G112*G$15</f>
        <v>653501.67499999981</v>
      </c>
      <c r="H116" s="22">
        <f>H112*H$15</f>
        <v>700192.16075000027</v>
      </c>
      <c r="I116" s="22">
        <f>I112*I$15</f>
        <v>760422.88736749941</v>
      </c>
      <c r="J116" s="22">
        <f t="shared" si="67"/>
        <v>838120.52470407507</v>
      </c>
      <c r="K116" s="22">
        <f t="shared" si="67"/>
        <v>938350.47686825716</v>
      </c>
      <c r="L116" s="22">
        <f t="shared" si="67"/>
        <v>1067647.1151600496</v>
      </c>
      <c r="M116" s="22">
        <f t="shared" si="67"/>
        <v>1234439.7785564675</v>
      </c>
      <c r="N116" s="22">
        <f t="shared" si="67"/>
        <v>1449602.3143378391</v>
      </c>
    </row>
    <row r="117" spans="1:16" ht="14.25" x14ac:dyDescent="0.45">
      <c r="B117" s="167"/>
      <c r="C117" s="167"/>
      <c r="D117" s="19" t="s">
        <v>47</v>
      </c>
      <c r="E117" s="21"/>
      <c r="F117" s="21"/>
      <c r="G117" s="21"/>
      <c r="H117" s="21"/>
      <c r="I117" s="22">
        <f>AVERAGE(E116:I116)</f>
        <v>664134.84462350002</v>
      </c>
      <c r="J117" s="22"/>
      <c r="K117" s="22"/>
      <c r="L117" s="22"/>
      <c r="M117" s="22"/>
      <c r="N117" s="22">
        <f>AVERAGE(E116:N116)</f>
        <v>884883.44327441882</v>
      </c>
    </row>
    <row r="118" spans="1:16" ht="14.25" x14ac:dyDescent="0.45">
      <c r="B118" s="167"/>
      <c r="C118" s="167"/>
      <c r="D118" s="19" t="s">
        <v>46</v>
      </c>
      <c r="E118" s="21">
        <f>E116</f>
        <v>589250.00000000012</v>
      </c>
      <c r="F118" s="21">
        <f t="shared" ref="F118:N118" si="68">E118+F116</f>
        <v>1206557.5000000002</v>
      </c>
      <c r="G118" s="21">
        <f>F118+G116</f>
        <v>1860059.175</v>
      </c>
      <c r="H118" s="21">
        <f t="shared" si="68"/>
        <v>2560251.3357500006</v>
      </c>
      <c r="I118" s="21">
        <f t="shared" si="68"/>
        <v>3320674.2231175001</v>
      </c>
      <c r="J118" s="21">
        <f>I118+J116</f>
        <v>4158794.747821575</v>
      </c>
      <c r="K118" s="21">
        <f t="shared" si="68"/>
        <v>5097145.224689832</v>
      </c>
      <c r="L118" s="21">
        <f t="shared" si="68"/>
        <v>6164792.3398498818</v>
      </c>
      <c r="M118" s="21">
        <f t="shared" si="68"/>
        <v>7399232.1184063498</v>
      </c>
      <c r="N118" s="21">
        <f t="shared" si="68"/>
        <v>8848834.4327441882</v>
      </c>
    </row>
    <row r="119" spans="1:16" ht="15" customHeight="1" x14ac:dyDescent="0.45">
      <c r="B119" s="167"/>
      <c r="C119" s="165" t="s">
        <v>35</v>
      </c>
      <c r="D119" s="15" t="s">
        <v>43</v>
      </c>
      <c r="E119" s="16">
        <f>E74+E89+E104-E42-E58</f>
        <v>0.58925000000000027</v>
      </c>
      <c r="F119" s="16">
        <f t="shared" ref="F119:N119" si="69">F74+F89+F104-F42-F58</f>
        <v>0.78818999999999984</v>
      </c>
      <c r="G119" s="16">
        <f t="shared" si="69"/>
        <v>1.0529592749999996</v>
      </c>
      <c r="H119" s="16">
        <f t="shared" si="69"/>
        <v>1.405007950500001</v>
      </c>
      <c r="I119" s="16">
        <f t="shared" si="69"/>
        <v>1.8726909827624971</v>
      </c>
      <c r="J119" s="16">
        <f t="shared" si="69"/>
        <v>2.4934690051001991</v>
      </c>
      <c r="K119" s="16">
        <f t="shared" si="69"/>
        <v>3.3168049687434435</v>
      </c>
      <c r="L119" s="16">
        <f t="shared" si="69"/>
        <v>4.4079750479708135</v>
      </c>
      <c r="M119" s="16">
        <f t="shared" si="69"/>
        <v>5.8530804752788193</v>
      </c>
      <c r="N119" s="16">
        <f t="shared" si="69"/>
        <v>7.7656363488909665</v>
      </c>
    </row>
    <row r="120" spans="1:16" ht="15" customHeight="1" x14ac:dyDescent="0.45">
      <c r="B120" s="167"/>
      <c r="C120" s="166"/>
      <c r="D120" s="15" t="s">
        <v>44</v>
      </c>
      <c r="E120" s="17"/>
      <c r="F120" s="17"/>
      <c r="G120" s="17"/>
      <c r="H120" s="17"/>
      <c r="I120" s="17">
        <f>AVERAGE(E119:I119)</f>
        <v>1.1416196416524997</v>
      </c>
      <c r="J120" s="17"/>
      <c r="K120" s="17"/>
      <c r="L120" s="17"/>
      <c r="M120" s="17"/>
      <c r="N120" s="17">
        <f>AVERAGE(E119:N119)</f>
        <v>2.9545064054246737</v>
      </c>
    </row>
    <row r="121" spans="1:16" ht="15" customHeight="1" x14ac:dyDescent="0.45">
      <c r="B121" s="167"/>
      <c r="C121" s="167"/>
      <c r="D121" s="19" t="s">
        <v>45</v>
      </c>
      <c r="E121" s="22">
        <f>E123</f>
        <v>589250.00000000012</v>
      </c>
      <c r="F121" s="22">
        <f>F123-E123</f>
        <v>788190.00000000012</v>
      </c>
      <c r="G121" s="22">
        <f>G123-F123</f>
        <v>1052959.2749999997</v>
      </c>
      <c r="H121" s="22">
        <f t="shared" ref="H121:N121" si="70">H123-G123</f>
        <v>1405007.9505000012</v>
      </c>
      <c r="I121" s="22">
        <f t="shared" si="70"/>
        <v>1872690.9827624955</v>
      </c>
      <c r="J121" s="22">
        <f>J123-I123</f>
        <v>2493469.0051002027</v>
      </c>
      <c r="K121" s="22">
        <f t="shared" si="70"/>
        <v>3316804.9687434416</v>
      </c>
      <c r="L121" s="22">
        <f t="shared" si="70"/>
        <v>4407975.0479708128</v>
      </c>
      <c r="M121" s="22">
        <f t="shared" si="70"/>
        <v>5853080.4752788246</v>
      </c>
      <c r="N121" s="22">
        <f t="shared" si="70"/>
        <v>7765636.3488909639</v>
      </c>
    </row>
    <row r="122" spans="1:16" ht="15" customHeight="1" x14ac:dyDescent="0.45">
      <c r="A122" s="8"/>
      <c r="B122" s="167"/>
      <c r="C122" s="167"/>
      <c r="D122" s="19" t="s">
        <v>47</v>
      </c>
      <c r="E122" s="22"/>
      <c r="F122" s="22"/>
      <c r="G122" s="22"/>
      <c r="H122" s="22"/>
      <c r="I122" s="22">
        <f>AVERAGE(E121:I121)</f>
        <v>1141619.6416524993</v>
      </c>
      <c r="J122" s="22"/>
      <c r="K122" s="22"/>
      <c r="L122" s="22"/>
      <c r="M122" s="22"/>
      <c r="N122" s="22">
        <f>AVERAGE(E121:N121)</f>
        <v>2954506.405424674</v>
      </c>
      <c r="O122" s="8"/>
      <c r="P122" s="8"/>
    </row>
    <row r="123" spans="1:16" ht="15" customHeight="1" x14ac:dyDescent="0.45">
      <c r="B123" s="167"/>
      <c r="C123" s="167"/>
      <c r="D123" s="19" t="s">
        <v>46</v>
      </c>
      <c r="E123" s="21">
        <f t="shared" ref="E123:N123" si="71">E113*E$15</f>
        <v>589250.00000000012</v>
      </c>
      <c r="F123" s="21">
        <f t="shared" si="71"/>
        <v>1377440.0000000002</v>
      </c>
      <c r="G123" s="21">
        <f>G113*G$15</f>
        <v>2430399.2749999999</v>
      </c>
      <c r="H123" s="21">
        <f>H113*H$15</f>
        <v>3835407.2255000011</v>
      </c>
      <c r="I123" s="21">
        <f>I113*I$15</f>
        <v>5708098.2082624966</v>
      </c>
      <c r="J123" s="21">
        <f t="shared" si="71"/>
        <v>8201567.2133626994</v>
      </c>
      <c r="K123" s="21">
        <f t="shared" si="71"/>
        <v>11518372.182106141</v>
      </c>
      <c r="L123" s="21">
        <f t="shared" si="71"/>
        <v>15926347.230076954</v>
      </c>
      <c r="M123" s="21">
        <f t="shared" si="71"/>
        <v>21779427.705355778</v>
      </c>
      <c r="N123" s="21">
        <f t="shared" si="71"/>
        <v>29545064.054246742</v>
      </c>
    </row>
    <row r="124" spans="1:16" ht="15" customHeight="1" x14ac:dyDescent="0.45">
      <c r="B124" s="1"/>
      <c r="C124" s="1"/>
      <c r="D124" s="40"/>
      <c r="E124" s="10"/>
      <c r="F124" s="10"/>
      <c r="G124" s="10"/>
      <c r="H124" s="10"/>
      <c r="I124" s="10"/>
      <c r="J124" s="10"/>
      <c r="K124" s="10"/>
      <c r="L124" s="10"/>
      <c r="M124" s="10"/>
      <c r="N124" s="10"/>
    </row>
    <row r="125" spans="1:16"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6" ht="15" customHeight="1" x14ac:dyDescent="0.45">
      <c r="B126" s="151"/>
      <c r="C126" s="153"/>
      <c r="D126" s="153"/>
      <c r="E126" s="149"/>
      <c r="F126" s="149"/>
      <c r="G126" s="149"/>
      <c r="H126" s="149"/>
      <c r="I126" s="149"/>
      <c r="J126" s="149"/>
      <c r="K126" s="149"/>
      <c r="L126" s="149"/>
      <c r="M126" s="149"/>
      <c r="N126" s="149"/>
    </row>
    <row r="127" spans="1:16" ht="15" customHeight="1" x14ac:dyDescent="0.45">
      <c r="B127" s="158" t="s">
        <v>141</v>
      </c>
      <c r="C127" s="156">
        <v>20000</v>
      </c>
      <c r="D127" s="44" t="s">
        <v>19</v>
      </c>
      <c r="E127" s="27">
        <f t="shared" ref="E127:N127" si="72">E$53/10*$C127/(2+$E$11)</f>
        <v>719.82281284606859</v>
      </c>
      <c r="F127" s="27">
        <f t="shared" si="72"/>
        <v>558.00218050082844</v>
      </c>
      <c r="G127" s="27">
        <f t="shared" si="72"/>
        <v>432.55982984560342</v>
      </c>
      <c r="H127" s="27">
        <f t="shared" si="72"/>
        <v>335.3176975547313</v>
      </c>
      <c r="I127" s="27">
        <f t="shared" si="72"/>
        <v>259.93619965483049</v>
      </c>
      <c r="J127" s="27">
        <f t="shared" si="72"/>
        <v>201.50092996498489</v>
      </c>
      <c r="K127" s="27">
        <f t="shared" si="72"/>
        <v>156.20227129068596</v>
      </c>
      <c r="L127" s="27">
        <f t="shared" si="72"/>
        <v>121.0870320082837</v>
      </c>
      <c r="M127" s="27">
        <f t="shared" si="72"/>
        <v>93.865916285491252</v>
      </c>
      <c r="N127" s="27">
        <f t="shared" si="72"/>
        <v>72.764276190303278</v>
      </c>
    </row>
    <row r="128" spans="1:16" ht="15" customHeight="1" x14ac:dyDescent="0.45">
      <c r="B128" s="159"/>
      <c r="C128" s="156"/>
      <c r="D128" s="19" t="s">
        <v>22</v>
      </c>
      <c r="E128" s="27"/>
      <c r="F128" s="27"/>
      <c r="G128" s="27"/>
      <c r="H128" s="27"/>
      <c r="I128" s="28">
        <f>AVERAGE(E127:I127)</f>
        <v>461.12774408041241</v>
      </c>
      <c r="J128" s="27"/>
      <c r="K128" s="27"/>
      <c r="L128" s="27"/>
      <c r="M128" s="27"/>
      <c r="N128" s="27">
        <f>AVERAGE(E127:N127)</f>
        <v>295.10591461418113</v>
      </c>
    </row>
    <row r="129" spans="2:14" ht="15" customHeight="1" x14ac:dyDescent="0.45">
      <c r="B129" s="159"/>
      <c r="C129" s="156"/>
      <c r="D129" s="19" t="s">
        <v>41</v>
      </c>
      <c r="E129" s="27">
        <f t="shared" ref="E129:N129" si="73">E$54/10*$C127/(2+$E$11)</f>
        <v>719.82281284606859</v>
      </c>
      <c r="F129" s="27">
        <f t="shared" si="73"/>
        <v>1277.8249933468971</v>
      </c>
      <c r="G129" s="27">
        <f t="shared" si="73"/>
        <v>1710.3848231925006</v>
      </c>
      <c r="H129" s="27">
        <f t="shared" si="73"/>
        <v>2045.7025207472304</v>
      </c>
      <c r="I129" s="28">
        <f t="shared" si="73"/>
        <v>2305.6387204020639</v>
      </c>
      <c r="J129" s="27">
        <f t="shared" si="73"/>
        <v>2507.1396503670476</v>
      </c>
      <c r="K129" s="27">
        <f t="shared" si="73"/>
        <v>2663.3419216577313</v>
      </c>
      <c r="L129" s="27">
        <f t="shared" si="73"/>
        <v>2784.4289536660222</v>
      </c>
      <c r="M129" s="27">
        <f t="shared" si="73"/>
        <v>2878.2948699515023</v>
      </c>
      <c r="N129" s="27">
        <f t="shared" si="73"/>
        <v>2951.059146141818</v>
      </c>
    </row>
    <row r="130" spans="2:14" ht="15" customHeight="1" x14ac:dyDescent="0.45">
      <c r="B130" s="159"/>
      <c r="C130" s="156">
        <v>400000</v>
      </c>
      <c r="D130" s="44" t="s">
        <v>19</v>
      </c>
      <c r="E130" s="27">
        <f t="shared" ref="E130:N130" si="74">E$53/10*$C130/(2+$E$11)</f>
        <v>14396.45625692137</v>
      </c>
      <c r="F130" s="27">
        <f t="shared" si="74"/>
        <v>11160.043610016568</v>
      </c>
      <c r="G130" s="27">
        <f t="shared" si="74"/>
        <v>8651.1965969120683</v>
      </c>
      <c r="H130" s="27">
        <f t="shared" si="74"/>
        <v>6706.3539510946266</v>
      </c>
      <c r="I130" s="27">
        <f t="shared" si="74"/>
        <v>5198.7239930966098</v>
      </c>
      <c r="J130" s="27">
        <f t="shared" si="74"/>
        <v>4030.0185992996985</v>
      </c>
      <c r="K130" s="27">
        <f t="shared" si="74"/>
        <v>3124.0454258137188</v>
      </c>
      <c r="L130" s="27">
        <f t="shared" si="74"/>
        <v>2421.740640165674</v>
      </c>
      <c r="M130" s="27">
        <f t="shared" si="74"/>
        <v>1877.3183257098249</v>
      </c>
      <c r="N130" s="27">
        <f t="shared" si="74"/>
        <v>1455.2855238060656</v>
      </c>
    </row>
    <row r="131" spans="2:14" ht="15" customHeight="1" x14ac:dyDescent="0.45">
      <c r="B131" s="159"/>
      <c r="C131" s="156"/>
      <c r="D131" s="19" t="s">
        <v>22</v>
      </c>
      <c r="E131" s="27"/>
      <c r="F131" s="27"/>
      <c r="G131" s="27"/>
      <c r="H131" s="27"/>
      <c r="I131" s="28">
        <f>AVERAGE(E130:I130)</f>
        <v>9222.5548816082483</v>
      </c>
      <c r="J131" s="27"/>
      <c r="K131" s="27"/>
      <c r="L131" s="27"/>
      <c r="M131" s="27"/>
      <c r="N131" s="27">
        <f>AVERAGE(E130:N130)</f>
        <v>5902.1182922836233</v>
      </c>
    </row>
    <row r="132" spans="2:14" ht="15" customHeight="1" x14ac:dyDescent="0.45">
      <c r="B132" s="159"/>
      <c r="C132" s="156"/>
      <c r="D132" s="19" t="s">
        <v>41</v>
      </c>
      <c r="E132" s="27">
        <f t="shared" ref="E132:N132" si="75">E$54/10*$C130/(2+$E$11)</f>
        <v>14396.45625692137</v>
      </c>
      <c r="F132" s="27">
        <f t="shared" si="75"/>
        <v>25556.499866937938</v>
      </c>
      <c r="G132" s="27">
        <f t="shared" si="75"/>
        <v>34207.696463850014</v>
      </c>
      <c r="H132" s="27">
        <f t="shared" si="75"/>
        <v>40914.050414944606</v>
      </c>
      <c r="I132" s="28">
        <f t="shared" si="75"/>
        <v>46112.774408041281</v>
      </c>
      <c r="J132" s="27">
        <f t="shared" si="75"/>
        <v>50142.793007340944</v>
      </c>
      <c r="K132" s="27">
        <f t="shared" si="75"/>
        <v>53266.838433154626</v>
      </c>
      <c r="L132" s="27">
        <f t="shared" si="75"/>
        <v>55688.579073320441</v>
      </c>
      <c r="M132" s="27">
        <f t="shared" si="75"/>
        <v>57565.897399030036</v>
      </c>
      <c r="N132" s="27">
        <f t="shared" si="75"/>
        <v>59021.182922836357</v>
      </c>
    </row>
    <row r="133" spans="2:14" ht="15" customHeight="1" x14ac:dyDescent="0.45">
      <c r="B133" s="159"/>
      <c r="C133" s="157">
        <v>1000000</v>
      </c>
      <c r="D133" s="15" t="s">
        <v>19</v>
      </c>
      <c r="E133" s="29">
        <f t="shared" ref="E133:N133" si="76">E$53/10*$C133/(2+$E$11)</f>
        <v>35991.140642303428</v>
      </c>
      <c r="F133" s="29">
        <f t="shared" si="76"/>
        <v>27900.10902504142</v>
      </c>
      <c r="G133" s="29">
        <f t="shared" si="76"/>
        <v>21627.991492280173</v>
      </c>
      <c r="H133" s="29">
        <f t="shared" si="76"/>
        <v>16765.884877736564</v>
      </c>
      <c r="I133" s="29">
        <f t="shared" si="76"/>
        <v>12996.809982741526</v>
      </c>
      <c r="J133" s="29">
        <f t="shared" si="76"/>
        <v>10075.046498249245</v>
      </c>
      <c r="K133" s="29">
        <f t="shared" si="76"/>
        <v>7810.1135645342974</v>
      </c>
      <c r="L133" s="29">
        <f t="shared" si="76"/>
        <v>6054.3516004141848</v>
      </c>
      <c r="M133" s="29">
        <f t="shared" si="76"/>
        <v>4693.2958142745629</v>
      </c>
      <c r="N133" s="29">
        <f t="shared" si="76"/>
        <v>3638.213809515164</v>
      </c>
    </row>
    <row r="134" spans="2:14" ht="15" customHeight="1" x14ac:dyDescent="0.45">
      <c r="B134" s="159"/>
      <c r="C134" s="157"/>
      <c r="D134" s="15" t="s">
        <v>22</v>
      </c>
      <c r="E134" s="29"/>
      <c r="F134" s="29"/>
      <c r="G134" s="29"/>
      <c r="H134" s="29"/>
      <c r="I134" s="30">
        <f>AVERAGE(E133:I133)</f>
        <v>23056.387204020622</v>
      </c>
      <c r="J134" s="29"/>
      <c r="K134" s="29"/>
      <c r="L134" s="29"/>
      <c r="M134" s="29"/>
      <c r="N134" s="29">
        <f>AVERAGE(E133:N133)</f>
        <v>14755.295730709058</v>
      </c>
    </row>
    <row r="135" spans="2:14" ht="15" customHeight="1" x14ac:dyDescent="0.45">
      <c r="B135" s="160"/>
      <c r="C135" s="157"/>
      <c r="D135" s="15" t="s">
        <v>41</v>
      </c>
      <c r="E135" s="29">
        <f t="shared" ref="E135:N135" si="77">E$54/10*$C133/(2+$E$11)</f>
        <v>35991.140642303428</v>
      </c>
      <c r="F135" s="29">
        <f t="shared" si="77"/>
        <v>63891.249667344855</v>
      </c>
      <c r="G135" s="29">
        <f t="shared" si="77"/>
        <v>85519.241159625031</v>
      </c>
      <c r="H135" s="29">
        <f t="shared" si="77"/>
        <v>102285.12603736152</v>
      </c>
      <c r="I135" s="30">
        <f t="shared" si="77"/>
        <v>115281.9360201032</v>
      </c>
      <c r="J135" s="29">
        <f t="shared" si="77"/>
        <v>125356.98251835236</v>
      </c>
      <c r="K135" s="29">
        <f t="shared" si="77"/>
        <v>133167.09608288656</v>
      </c>
      <c r="L135" s="29">
        <f t="shared" si="77"/>
        <v>139221.44768330111</v>
      </c>
      <c r="M135" s="29">
        <f t="shared" si="77"/>
        <v>143914.74349757511</v>
      </c>
      <c r="N135" s="29">
        <f t="shared" si="77"/>
        <v>147552.9573070909</v>
      </c>
    </row>
    <row r="136" spans="2:14" ht="15" customHeight="1" x14ac:dyDescent="0.45">
      <c r="B136" s="3"/>
      <c r="C136" s="1"/>
      <c r="D136" s="40"/>
      <c r="E136" s="10"/>
      <c r="F136" s="10"/>
      <c r="G136" s="10"/>
      <c r="H136" s="10"/>
      <c r="I136" s="10"/>
      <c r="J136" s="10"/>
      <c r="K136" s="10"/>
      <c r="L136" s="10"/>
      <c r="M136" s="10"/>
      <c r="N136" s="10"/>
    </row>
  </sheetData>
  <mergeCells count="105">
    <mergeCell ref="B13:B14"/>
    <mergeCell ref="C13:C14"/>
    <mergeCell ref="D13:D14"/>
    <mergeCell ref="E13:E14"/>
    <mergeCell ref="F13:F14"/>
    <mergeCell ref="G13:G14"/>
    <mergeCell ref="H13:H14"/>
    <mergeCell ref="I13:I14"/>
    <mergeCell ref="J13:J14"/>
    <mergeCell ref="K13:K14"/>
    <mergeCell ref="L13:L14"/>
    <mergeCell ref="M13:M14"/>
    <mergeCell ref="N13:N14"/>
    <mergeCell ref="B64:B65"/>
    <mergeCell ref="C64:C65"/>
    <mergeCell ref="D64:D65"/>
    <mergeCell ref="E64:E65"/>
    <mergeCell ref="F64:F65"/>
    <mergeCell ref="D2:E3"/>
    <mergeCell ref="G2:I3"/>
    <mergeCell ref="K2:N2"/>
    <mergeCell ref="B2:C11"/>
    <mergeCell ref="B94:B108"/>
    <mergeCell ref="C94:C98"/>
    <mergeCell ref="C99:C103"/>
    <mergeCell ref="C104:C108"/>
    <mergeCell ref="B109:B123"/>
    <mergeCell ref="C109:C113"/>
    <mergeCell ref="C114:C118"/>
    <mergeCell ref="B15:B16"/>
    <mergeCell ref="C15:C16"/>
    <mergeCell ref="B25:B27"/>
    <mergeCell ref="C25:C27"/>
    <mergeCell ref="B17:B24"/>
    <mergeCell ref="C17:C24"/>
    <mergeCell ref="B28:B30"/>
    <mergeCell ref="C28:C30"/>
    <mergeCell ref="B32:B33"/>
    <mergeCell ref="C32:C33"/>
    <mergeCell ref="D32:D33"/>
    <mergeCell ref="E32:E33"/>
    <mergeCell ref="F32:F33"/>
    <mergeCell ref="G32:G33"/>
    <mergeCell ref="H32:H33"/>
    <mergeCell ref="I32:I33"/>
    <mergeCell ref="J32:J33"/>
    <mergeCell ref="K32:K33"/>
    <mergeCell ref="L32:L33"/>
    <mergeCell ref="M32:M33"/>
    <mergeCell ref="N32:N33"/>
    <mergeCell ref="B34:B46"/>
    <mergeCell ref="C34:C38"/>
    <mergeCell ref="C39:C41"/>
    <mergeCell ref="C42:C46"/>
    <mergeCell ref="B48:B49"/>
    <mergeCell ref="C48:C49"/>
    <mergeCell ref="D48:D49"/>
    <mergeCell ref="E48:E49"/>
    <mergeCell ref="F48:F49"/>
    <mergeCell ref="G48:G49"/>
    <mergeCell ref="H48:H49"/>
    <mergeCell ref="I48:I49"/>
    <mergeCell ref="J48:J49"/>
    <mergeCell ref="K48:K49"/>
    <mergeCell ref="L48:L49"/>
    <mergeCell ref="M48:M49"/>
    <mergeCell ref="N48:N49"/>
    <mergeCell ref="B50:B62"/>
    <mergeCell ref="C50:C54"/>
    <mergeCell ref="C55:C57"/>
    <mergeCell ref="C58:C62"/>
    <mergeCell ref="G64:G65"/>
    <mergeCell ref="H64:H65"/>
    <mergeCell ref="I64:I65"/>
    <mergeCell ref="J64:J65"/>
    <mergeCell ref="K64:K65"/>
    <mergeCell ref="L64:L65"/>
    <mergeCell ref="M64:M65"/>
    <mergeCell ref="N64:N65"/>
    <mergeCell ref="B66:B78"/>
    <mergeCell ref="C66:C70"/>
    <mergeCell ref="C71:C73"/>
    <mergeCell ref="C74:C78"/>
    <mergeCell ref="B79:B93"/>
    <mergeCell ref="C79:C83"/>
    <mergeCell ref="C84:C88"/>
    <mergeCell ref="C89:C93"/>
    <mergeCell ref="C119:C123"/>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B127:B135"/>
    <mergeCell ref="C127:C129"/>
    <mergeCell ref="C130:C132"/>
    <mergeCell ref="C133:C135"/>
  </mergeCells>
  <pageMargins left="0.7" right="0.7" top="0.75" bottom="0.75" header="0.3" footer="0.3"/>
  <pageSetup orientation="portrait" r:id="rId1"/>
  <headerFooter>
    <oddHeader>&amp;R&amp;"Aptos"&amp;12&amp;K000000 Unclassified / Non 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6C95-BD2C-46B0-9F63-C640E0EC34D7}">
  <dimension ref="A1:O136"/>
  <sheetViews>
    <sheetView zoomScaleNormal="100" workbookViewId="0">
      <selection activeCell="E10" sqref="E10"/>
    </sheetView>
  </sheetViews>
  <sheetFormatPr defaultColWidth="9" defaultRowHeight="15" customHeight="1" x14ac:dyDescent="0.45"/>
  <cols>
    <col min="1" max="1" width="1.73046875" style="4" customWidth="1"/>
    <col min="2" max="2" width="43.73046875" style="2" bestFit="1" customWidth="1"/>
    <col min="3" max="3" width="16.73046875" style="2" bestFit="1" customWidth="1"/>
    <col min="4" max="4" width="33.3984375" style="2" bestFit="1" customWidth="1"/>
    <col min="5" max="5" width="10.3984375" style="2" bestFit="1" customWidth="1"/>
    <col min="6" max="6" width="9.3984375" style="2" bestFit="1" customWidth="1"/>
    <col min="7" max="7" width="16.1328125" style="2" bestFit="1" customWidth="1"/>
    <col min="8" max="8" width="15.3984375" style="2" bestFit="1" customWidth="1"/>
    <col min="9" max="9" width="9.3984375" style="2" bestFit="1" customWidth="1"/>
    <col min="10" max="10" width="10.3984375" style="2" bestFit="1" customWidth="1"/>
    <col min="11" max="11" width="12.59765625" style="2" bestFit="1" customWidth="1"/>
    <col min="12" max="12" width="13.1328125" style="2" bestFit="1" customWidth="1"/>
    <col min="13" max="13" width="10.3984375" style="2" bestFit="1" customWidth="1"/>
    <col min="14" max="14" width="10.59765625" style="2" bestFit="1" customWidth="1"/>
    <col min="15" max="15" width="1.73046875" style="4" customWidth="1"/>
    <col min="16" max="16384" width="9" style="2"/>
  </cols>
  <sheetData>
    <row r="1" spans="1:15" ht="15" customHeight="1" x14ac:dyDescent="0.45">
      <c r="A1" s="8"/>
      <c r="B1" s="8"/>
      <c r="C1" s="8"/>
      <c r="D1" s="8"/>
      <c r="E1" s="8"/>
      <c r="F1" s="8"/>
      <c r="G1" s="8"/>
      <c r="H1" s="8"/>
      <c r="I1" s="8"/>
      <c r="J1" s="8"/>
      <c r="K1" s="63"/>
      <c r="L1" s="63"/>
      <c r="M1" s="63"/>
      <c r="N1" s="63"/>
      <c r="O1" s="8"/>
    </row>
    <row r="2" spans="1:15" ht="58.5" customHeight="1" x14ac:dyDescent="0.45">
      <c r="A2" s="8"/>
      <c r="B2" s="179" t="s">
        <v>114</v>
      </c>
      <c r="C2" s="180"/>
      <c r="D2" s="185" t="s">
        <v>139</v>
      </c>
      <c r="E2" s="186"/>
      <c r="F2" s="8"/>
      <c r="G2" s="188" t="s">
        <v>125</v>
      </c>
      <c r="H2" s="185"/>
      <c r="I2" s="185"/>
      <c r="J2" s="4"/>
      <c r="K2" s="191" t="s">
        <v>117</v>
      </c>
      <c r="L2" s="191"/>
      <c r="M2" s="191"/>
      <c r="N2" s="191"/>
      <c r="O2" s="8"/>
    </row>
    <row r="3" spans="1:15" ht="14.25" x14ac:dyDescent="0.45">
      <c r="A3" s="8"/>
      <c r="B3" s="181"/>
      <c r="C3" s="182"/>
      <c r="D3" s="184"/>
      <c r="E3" s="187"/>
      <c r="F3" s="8"/>
      <c r="G3" s="189"/>
      <c r="H3" s="190"/>
      <c r="I3" s="190"/>
      <c r="J3" s="4"/>
      <c r="K3" s="64" t="s">
        <v>53</v>
      </c>
      <c r="L3" s="64" t="s">
        <v>51</v>
      </c>
      <c r="M3" s="64" t="s">
        <v>32</v>
      </c>
      <c r="N3" s="64" t="s">
        <v>33</v>
      </c>
      <c r="O3" s="8"/>
    </row>
    <row r="4" spans="1:15" ht="14.25" customHeight="1" x14ac:dyDescent="0.45">
      <c r="A4" s="9"/>
      <c r="B4" s="181"/>
      <c r="C4" s="182"/>
      <c r="D4" s="32" t="s">
        <v>2</v>
      </c>
      <c r="E4" s="33">
        <v>100000</v>
      </c>
      <c r="F4" s="9"/>
      <c r="G4" s="76" t="s">
        <v>34</v>
      </c>
      <c r="H4" s="75" t="s">
        <v>39</v>
      </c>
      <c r="I4" s="41">
        <f>I43</f>
        <v>0.17740035620000011</v>
      </c>
      <c r="J4" s="9"/>
      <c r="K4" s="68">
        <f>C127</f>
        <v>20000</v>
      </c>
      <c r="L4" s="69" t="s">
        <v>40</v>
      </c>
      <c r="M4" s="42">
        <f>I128</f>
        <v>496.59910900967498</v>
      </c>
      <c r="N4" s="65">
        <f t="shared" ref="N4:N9" si="0">M4*$I$15</f>
        <v>177400356.19999999</v>
      </c>
      <c r="O4" s="9"/>
    </row>
    <row r="5" spans="1:15" ht="14.25" customHeight="1" x14ac:dyDescent="0.45">
      <c r="A5" s="37"/>
      <c r="B5" s="181"/>
      <c r="C5" s="182"/>
      <c r="D5" s="18" t="s">
        <v>127</v>
      </c>
      <c r="E5" s="35">
        <f>SUMMARY!H6</f>
        <v>0.28999999999999998</v>
      </c>
      <c r="F5" s="37"/>
      <c r="G5" s="45" t="s">
        <v>37</v>
      </c>
      <c r="H5" s="66" t="s">
        <v>39</v>
      </c>
      <c r="I5" s="81">
        <f>I67</f>
        <v>0.43204122483841728</v>
      </c>
      <c r="J5" s="37"/>
      <c r="K5" s="68">
        <f>C127</f>
        <v>20000</v>
      </c>
      <c r="L5" s="67" t="s">
        <v>41</v>
      </c>
      <c r="M5" s="42">
        <f>I129</f>
        <v>2482.9955450483767</v>
      </c>
      <c r="N5" s="65">
        <f t="shared" si="0"/>
        <v>887001781.0000006</v>
      </c>
      <c r="O5" s="37"/>
    </row>
    <row r="6" spans="1:15" ht="14.25" customHeight="1" x14ac:dyDescent="0.45">
      <c r="A6" s="37"/>
      <c r="B6" s="181"/>
      <c r="C6" s="182"/>
      <c r="D6" s="18" t="s">
        <v>140</v>
      </c>
      <c r="E6" s="34">
        <f>SUMMARY!L6</f>
        <v>0.02</v>
      </c>
      <c r="F6" s="37"/>
      <c r="G6" s="45" t="s">
        <v>124</v>
      </c>
      <c r="H6" s="66" t="s">
        <v>39</v>
      </c>
      <c r="I6" s="81">
        <f>I80</f>
        <v>6.9931982180193503E-2</v>
      </c>
      <c r="J6" s="37"/>
      <c r="K6" s="68">
        <f>C130</f>
        <v>400000</v>
      </c>
      <c r="L6" s="69" t="s">
        <v>40</v>
      </c>
      <c r="M6" s="42">
        <f>I131</f>
        <v>9931.9821801934995</v>
      </c>
      <c r="N6" s="65">
        <f t="shared" si="0"/>
        <v>3548007123.9999995</v>
      </c>
      <c r="O6" s="37"/>
    </row>
    <row r="7" spans="1:15" ht="14.25" customHeight="1" x14ac:dyDescent="0.45">
      <c r="A7" s="37"/>
      <c r="B7" s="181"/>
      <c r="C7" s="182"/>
      <c r="D7" s="18" t="s">
        <v>126</v>
      </c>
      <c r="E7" s="34">
        <f>SUMMARY!P6</f>
        <v>0.01</v>
      </c>
      <c r="F7" s="37"/>
      <c r="G7" s="45" t="s">
        <v>57</v>
      </c>
      <c r="H7" s="66" t="s">
        <v>39</v>
      </c>
      <c r="I7" s="81">
        <f>I95</f>
        <v>3.4965991090096751E-2</v>
      </c>
      <c r="J7" s="37"/>
      <c r="K7" s="68">
        <f>C130</f>
        <v>400000</v>
      </c>
      <c r="L7" s="67" t="s">
        <v>41</v>
      </c>
      <c r="M7" s="42">
        <f>I132</f>
        <v>49659.91090096753</v>
      </c>
      <c r="N7" s="65">
        <f t="shared" si="0"/>
        <v>17740035620.000011</v>
      </c>
      <c r="O7" s="37"/>
    </row>
    <row r="8" spans="1:15" ht="14.25" customHeight="1" x14ac:dyDescent="0.45">
      <c r="A8" s="9"/>
      <c r="B8" s="181"/>
      <c r="C8" s="182"/>
      <c r="D8" s="32" t="s">
        <v>134</v>
      </c>
      <c r="E8" s="36">
        <f>SUMMARY!N21</f>
        <v>0.1</v>
      </c>
      <c r="F8" s="9"/>
      <c r="G8" s="45" t="s">
        <v>122</v>
      </c>
      <c r="H8" s="66" t="s">
        <v>39</v>
      </c>
      <c r="I8" s="81">
        <f>-I35</f>
        <v>-4.9659910900967504E-2</v>
      </c>
      <c r="J8" s="9"/>
      <c r="K8" s="77">
        <f>C133</f>
        <v>1000000</v>
      </c>
      <c r="L8" s="78" t="s">
        <v>40</v>
      </c>
      <c r="M8" s="42">
        <f>I134</f>
        <v>24829.955450483751</v>
      </c>
      <c r="N8" s="65">
        <f t="shared" si="0"/>
        <v>8870017810</v>
      </c>
      <c r="O8" s="9"/>
    </row>
    <row r="9" spans="1:15" ht="14.25" customHeight="1" x14ac:dyDescent="0.45">
      <c r="A9" s="9"/>
      <c r="B9" s="181"/>
      <c r="C9" s="182"/>
      <c r="D9" s="32" t="s">
        <v>135</v>
      </c>
      <c r="E9" s="36">
        <f>SUMMARY!N22</f>
        <v>0.05</v>
      </c>
      <c r="F9" s="9"/>
      <c r="G9" s="45" t="s">
        <v>121</v>
      </c>
      <c r="H9" s="66" t="s">
        <v>39</v>
      </c>
      <c r="I9" s="81">
        <f>-I51</f>
        <v>-9.9319821801935007E-2</v>
      </c>
      <c r="J9" s="9"/>
      <c r="K9" s="77">
        <f>C133</f>
        <v>1000000</v>
      </c>
      <c r="L9" s="79" t="s">
        <v>41</v>
      </c>
      <c r="M9" s="42">
        <f>I135</f>
        <v>124149.77725241882</v>
      </c>
      <c r="N9" s="65">
        <f t="shared" si="0"/>
        <v>44350089050.000023</v>
      </c>
      <c r="O9" s="9"/>
    </row>
    <row r="10" spans="1:15" ht="14.25" customHeight="1" x14ac:dyDescent="0.45">
      <c r="A10" s="9"/>
      <c r="B10" s="181"/>
      <c r="C10" s="182"/>
      <c r="D10" s="32" t="s">
        <v>136</v>
      </c>
      <c r="E10" s="36">
        <f>SUMMARY!N23</f>
        <v>7.4999999999999997E-2</v>
      </c>
      <c r="F10" s="9"/>
      <c r="G10" s="74" t="s">
        <v>38</v>
      </c>
      <c r="H10" s="75" t="s">
        <v>39</v>
      </c>
      <c r="I10" s="41">
        <f>I110</f>
        <v>0.38795946540580495</v>
      </c>
      <c r="J10" s="8"/>
      <c r="K10" s="10"/>
      <c r="L10" s="10"/>
      <c r="M10" s="3"/>
      <c r="N10" s="8"/>
      <c r="O10" s="9"/>
    </row>
    <row r="11" spans="1:15" ht="15" customHeight="1" x14ac:dyDescent="0.45">
      <c r="A11" s="9"/>
      <c r="B11" s="181"/>
      <c r="C11" s="182"/>
      <c r="D11" s="32" t="s">
        <v>137</v>
      </c>
      <c r="E11" s="36">
        <f>SUMMARY!N10</f>
        <v>2</v>
      </c>
      <c r="F11" s="3"/>
      <c r="G11" s="10"/>
      <c r="H11" s="10"/>
      <c r="I11" s="3"/>
      <c r="J11" s="8"/>
      <c r="K11" s="8"/>
      <c r="L11" s="8"/>
      <c r="M11" s="8"/>
      <c r="N11" s="8"/>
      <c r="O11" s="9"/>
    </row>
    <row r="12" spans="1:15" ht="14.25" x14ac:dyDescent="0.45">
      <c r="A12" s="8"/>
      <c r="B12" s="10"/>
      <c r="C12" s="8"/>
      <c r="D12" s="10"/>
      <c r="E12" s="3"/>
      <c r="F12" s="3"/>
      <c r="G12" s="10"/>
      <c r="H12" s="10"/>
      <c r="I12" s="3"/>
      <c r="J12" s="8"/>
      <c r="K12" s="8"/>
      <c r="L12" s="8"/>
      <c r="M12" s="8"/>
      <c r="N12" s="8"/>
      <c r="O12" s="8"/>
    </row>
    <row r="13" spans="1:15" ht="14.25"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5" ht="14.25" x14ac:dyDescent="0.45">
      <c r="B14" s="184"/>
      <c r="C14" s="184"/>
      <c r="D14" s="184"/>
      <c r="E14" s="149"/>
      <c r="F14" s="149"/>
      <c r="G14" s="149"/>
      <c r="H14" s="149"/>
      <c r="I14" s="149"/>
      <c r="J14" s="149"/>
      <c r="K14" s="149"/>
      <c r="L14" s="149"/>
      <c r="M14" s="149"/>
      <c r="N14" s="149"/>
    </row>
    <row r="15" spans="1:15" ht="14.25" x14ac:dyDescent="0.45">
      <c r="B15" s="158" t="s">
        <v>20</v>
      </c>
      <c r="C15" s="158" t="s">
        <v>33</v>
      </c>
      <c r="D15" s="19" t="s">
        <v>48</v>
      </c>
      <c r="E15" s="21">
        <f>($E$4 * $E$5) + $E$4</f>
        <v>129000</v>
      </c>
      <c r="F15" s="21">
        <f t="shared" ref="F15:N15" si="1">(E15 * $E$5) + E15</f>
        <v>166410</v>
      </c>
      <c r="G15" s="21">
        <f t="shared" si="1"/>
        <v>214668.9</v>
      </c>
      <c r="H15" s="21">
        <f t="shared" si="1"/>
        <v>276922.88099999999</v>
      </c>
      <c r="I15" s="21">
        <f t="shared" si="1"/>
        <v>357230.51648999995</v>
      </c>
      <c r="J15" s="21">
        <f t="shared" si="1"/>
        <v>460827.3662720999</v>
      </c>
      <c r="K15" s="21">
        <f t="shared" si="1"/>
        <v>594467.30249100889</v>
      </c>
      <c r="L15" s="21">
        <f t="shared" si="1"/>
        <v>766862.82021340146</v>
      </c>
      <c r="M15" s="21">
        <f t="shared" si="1"/>
        <v>989253.03807528783</v>
      </c>
      <c r="N15" s="21">
        <f t="shared" si="1"/>
        <v>1276136.4191171213</v>
      </c>
    </row>
    <row r="16" spans="1:15" ht="14.25" x14ac:dyDescent="0.45">
      <c r="B16" s="160"/>
      <c r="C16" s="160"/>
      <c r="D16" s="19" t="s">
        <v>49</v>
      </c>
      <c r="E16" s="25">
        <f>E15*21000000</f>
        <v>2709000000000</v>
      </c>
      <c r="F16" s="25">
        <f t="shared" ref="F16:N16" si="2">F15*21000000</f>
        <v>3494610000000</v>
      </c>
      <c r="G16" s="25">
        <f t="shared" si="2"/>
        <v>4508046900000</v>
      </c>
      <c r="H16" s="25">
        <f t="shared" si="2"/>
        <v>5815380501000</v>
      </c>
      <c r="I16" s="25">
        <f t="shared" si="2"/>
        <v>7501840846289.999</v>
      </c>
      <c r="J16" s="25">
        <f t="shared" si="2"/>
        <v>9677374691714.0977</v>
      </c>
      <c r="K16" s="25">
        <f t="shared" si="2"/>
        <v>12483813352311.188</v>
      </c>
      <c r="L16" s="25">
        <f t="shared" si="2"/>
        <v>16104119224481.43</v>
      </c>
      <c r="M16" s="25">
        <f t="shared" si="2"/>
        <v>20774313799581.043</v>
      </c>
      <c r="N16" s="25">
        <f t="shared" si="2"/>
        <v>26798864801459.547</v>
      </c>
    </row>
    <row r="17" spans="1:15" ht="14.25" x14ac:dyDescent="0.45">
      <c r="B17" s="158" t="s">
        <v>16</v>
      </c>
      <c r="C17" s="176" t="s">
        <v>32</v>
      </c>
      <c r="D17" s="19" t="s">
        <v>128</v>
      </c>
      <c r="E17" s="26">
        <f>(E15-$E4)/E15</f>
        <v>0.22480620155038761</v>
      </c>
      <c r="F17" s="26">
        <f t="shared" ref="F17:N17" si="3">(F15-$E4)/F15</f>
        <v>0.39907457484526171</v>
      </c>
      <c r="G17" s="26">
        <f t="shared" si="3"/>
        <v>0.53416633708935013</v>
      </c>
      <c r="H17" s="26">
        <f t="shared" si="3"/>
        <v>0.63888863340259705</v>
      </c>
      <c r="I17" s="26">
        <f t="shared" si="3"/>
        <v>0.72006870806402867</v>
      </c>
      <c r="J17" s="26">
        <f t="shared" si="3"/>
        <v>0.78299899849924703</v>
      </c>
      <c r="K17" s="26">
        <f t="shared" si="3"/>
        <v>0.8317821693792613</v>
      </c>
      <c r="L17" s="26">
        <f t="shared" si="3"/>
        <v>0.86959858091415598</v>
      </c>
      <c r="M17" s="26">
        <f t="shared" si="3"/>
        <v>0.89891362861562485</v>
      </c>
      <c r="N17" s="26">
        <f t="shared" si="3"/>
        <v>0.92163847179505798</v>
      </c>
    </row>
    <row r="18" spans="1:15" ht="14.25" x14ac:dyDescent="0.45">
      <c r="B18" s="159"/>
      <c r="C18" s="177"/>
      <c r="D18" s="19" t="s">
        <v>129</v>
      </c>
      <c r="E18" s="26">
        <f>1-E17</f>
        <v>0.77519379844961245</v>
      </c>
      <c r="F18" s="26">
        <f t="shared" ref="F18:N18" si="4">1-F17</f>
        <v>0.60092542515473824</v>
      </c>
      <c r="G18" s="26">
        <f t="shared" si="4"/>
        <v>0.46583366291064987</v>
      </c>
      <c r="H18" s="26">
        <f t="shared" si="4"/>
        <v>0.36111136659740295</v>
      </c>
      <c r="I18" s="26">
        <f t="shared" si="4"/>
        <v>0.27993129193597133</v>
      </c>
      <c r="J18" s="26">
        <f t="shared" si="4"/>
        <v>0.21700100150075297</v>
      </c>
      <c r="K18" s="26">
        <f t="shared" si="4"/>
        <v>0.1682178306207387</v>
      </c>
      <c r="L18" s="26">
        <f t="shared" si="4"/>
        <v>0.13040141908584402</v>
      </c>
      <c r="M18" s="26">
        <f t="shared" si="4"/>
        <v>0.10108637138437515</v>
      </c>
      <c r="N18" s="26">
        <f t="shared" si="4"/>
        <v>7.8361528204942021E-2</v>
      </c>
    </row>
    <row r="19" spans="1:15" ht="14.25" x14ac:dyDescent="0.45">
      <c r="B19" s="159"/>
      <c r="C19" s="177"/>
      <c r="D19" s="19" t="s">
        <v>130</v>
      </c>
      <c r="E19" s="80">
        <f>E17</f>
        <v>0.22480620155038761</v>
      </c>
      <c r="F19" s="80">
        <f t="shared" ref="F19:N19" si="5">F17-E17</f>
        <v>0.1742683732948741</v>
      </c>
      <c r="G19" s="80">
        <f>G17-F17</f>
        <v>0.13509176224408842</v>
      </c>
      <c r="H19" s="80">
        <f t="shared" si="5"/>
        <v>0.10472229631324692</v>
      </c>
      <c r="I19" s="80">
        <f t="shared" si="5"/>
        <v>8.1180074661431623E-2</v>
      </c>
      <c r="J19" s="80">
        <f>J17-I17</f>
        <v>6.2930290435218361E-2</v>
      </c>
      <c r="K19" s="80">
        <f t="shared" si="5"/>
        <v>4.878317088001427E-2</v>
      </c>
      <c r="L19" s="80">
        <f t="shared" si="5"/>
        <v>3.7816411534894678E-2</v>
      </c>
      <c r="M19" s="80">
        <f t="shared" si="5"/>
        <v>2.9315047701468866E-2</v>
      </c>
      <c r="N19" s="80">
        <f t="shared" si="5"/>
        <v>2.272484317943313E-2</v>
      </c>
    </row>
    <row r="20" spans="1:15" ht="14.25" x14ac:dyDescent="0.45">
      <c r="B20" s="159"/>
      <c r="C20" s="177"/>
      <c r="D20" s="19" t="s">
        <v>131</v>
      </c>
      <c r="E20" s="80"/>
      <c r="F20" s="80"/>
      <c r="G20" s="80"/>
      <c r="H20" s="80"/>
      <c r="I20" s="80">
        <f>AVERAGE(E19:I19)</f>
        <v>0.14401374161280572</v>
      </c>
      <c r="J20" s="26"/>
      <c r="K20" s="26"/>
      <c r="L20" s="26"/>
      <c r="M20" s="26"/>
      <c r="N20" s="80">
        <f>AVERAGE(E19:N19)</f>
        <v>9.2163847179505792E-2</v>
      </c>
    </row>
    <row r="21" spans="1:15" ht="14.25" x14ac:dyDescent="0.45">
      <c r="B21" s="159"/>
      <c r="C21" s="177"/>
      <c r="D21" s="19" t="s">
        <v>132</v>
      </c>
      <c r="E21" s="80">
        <f>$E$11*E19</f>
        <v>0.44961240310077522</v>
      </c>
      <c r="F21" s="80">
        <f t="shared" ref="F21:N21" si="6">$E$11*F19</f>
        <v>0.3485367465897482</v>
      </c>
      <c r="G21" s="80">
        <f t="shared" si="6"/>
        <v>0.27018352448817684</v>
      </c>
      <c r="H21" s="80">
        <f t="shared" si="6"/>
        <v>0.20944459262649384</v>
      </c>
      <c r="I21" s="80">
        <f t="shared" si="6"/>
        <v>0.16236014932286325</v>
      </c>
      <c r="J21" s="80">
        <f t="shared" si="6"/>
        <v>0.12586058087043672</v>
      </c>
      <c r="K21" s="80">
        <f t="shared" si="6"/>
        <v>9.7566341760028541E-2</v>
      </c>
      <c r="L21" s="80">
        <f t="shared" si="6"/>
        <v>7.5632823069789357E-2</v>
      </c>
      <c r="M21" s="80">
        <f t="shared" si="6"/>
        <v>5.8630095402937732E-2</v>
      </c>
      <c r="N21" s="80">
        <f t="shared" si="6"/>
        <v>4.5449686358866259E-2</v>
      </c>
    </row>
    <row r="22" spans="1:15" ht="14.25" x14ac:dyDescent="0.45">
      <c r="B22" s="159"/>
      <c r="C22" s="177"/>
      <c r="D22" s="19" t="s">
        <v>133</v>
      </c>
      <c r="E22" s="80"/>
      <c r="F22" s="80"/>
      <c r="G22" s="80"/>
      <c r="H22" s="80"/>
      <c r="I22" s="80">
        <f>AVERAGE(E21:I21)</f>
        <v>0.28802748322561145</v>
      </c>
      <c r="J22" s="26"/>
      <c r="K22" s="26"/>
      <c r="L22" s="26"/>
      <c r="M22" s="26"/>
      <c r="N22" s="80">
        <f>AVERAGE(E21:N21)</f>
        <v>0.18432769435901158</v>
      </c>
    </row>
    <row r="23" spans="1:15" ht="14.25" x14ac:dyDescent="0.45">
      <c r="B23" s="159"/>
      <c r="C23" s="177"/>
      <c r="D23" s="15" t="s">
        <v>58</v>
      </c>
      <c r="E23" s="17">
        <f>E19+E21</f>
        <v>0.67441860465116288</v>
      </c>
      <c r="F23" s="17">
        <f t="shared" ref="F23:N23" si="7">F19+F21</f>
        <v>0.5228051198846223</v>
      </c>
      <c r="G23" s="17">
        <f t="shared" si="7"/>
        <v>0.40527528673226526</v>
      </c>
      <c r="H23" s="17">
        <f t="shared" si="7"/>
        <v>0.31416688893974076</v>
      </c>
      <c r="I23" s="17">
        <f t="shared" si="7"/>
        <v>0.24354022398429487</v>
      </c>
      <c r="J23" s="17">
        <f t="shared" si="7"/>
        <v>0.18879087130565508</v>
      </c>
      <c r="K23" s="17">
        <f t="shared" si="7"/>
        <v>0.14634951264004281</v>
      </c>
      <c r="L23" s="17">
        <f t="shared" si="7"/>
        <v>0.11344923460468403</v>
      </c>
      <c r="M23" s="17">
        <f t="shared" si="7"/>
        <v>8.7945143104406598E-2</v>
      </c>
      <c r="N23" s="17">
        <f t="shared" si="7"/>
        <v>6.8174529538299389E-2</v>
      </c>
    </row>
    <row r="24" spans="1:15" ht="14.25" x14ac:dyDescent="0.45">
      <c r="B24" s="160"/>
      <c r="C24" s="178"/>
      <c r="D24" s="15" t="s">
        <v>59</v>
      </c>
      <c r="E24" s="17"/>
      <c r="F24" s="17"/>
      <c r="G24" s="17"/>
      <c r="H24" s="17"/>
      <c r="I24" s="17">
        <f>AVERAGE(E23:I23)</f>
        <v>0.43204122483841728</v>
      </c>
      <c r="J24" s="16"/>
      <c r="K24" s="16"/>
      <c r="L24" s="16"/>
      <c r="M24" s="16"/>
      <c r="N24" s="17">
        <f>AVERAGE(E23:N23)</f>
        <v>0.2764915415385174</v>
      </c>
    </row>
    <row r="25" spans="1:15" ht="14.25" x14ac:dyDescent="0.45">
      <c r="B25" s="158" t="s">
        <v>141</v>
      </c>
      <c r="C25" s="176" t="s">
        <v>32</v>
      </c>
      <c r="D25" s="15" t="s">
        <v>43</v>
      </c>
      <c r="E25" s="17">
        <f>((1+$E$11)*$E$6)+($E$6*E18)</f>
        <v>7.5503875968992246E-2</v>
      </c>
      <c r="F25" s="17">
        <f t="shared" ref="F25:N25" si="8">((1+$E$11)*$E$6)+($E$6*F18)</f>
        <v>7.2018508503094769E-2</v>
      </c>
      <c r="G25" s="17">
        <f t="shared" si="8"/>
        <v>6.9316673258213002E-2</v>
      </c>
      <c r="H25" s="17">
        <f t="shared" si="8"/>
        <v>6.7222227331948062E-2</v>
      </c>
      <c r="I25" s="17">
        <f>((1+$E$11)*$E$6)+($E$6*I18)</f>
        <v>6.5598625838719421E-2</v>
      </c>
      <c r="J25" s="17">
        <f t="shared" si="8"/>
        <v>6.4340020030015058E-2</v>
      </c>
      <c r="K25" s="17">
        <f t="shared" si="8"/>
        <v>6.3364356612414768E-2</v>
      </c>
      <c r="L25" s="17">
        <f t="shared" si="8"/>
        <v>6.2608028381716876E-2</v>
      </c>
      <c r="M25" s="17">
        <f t="shared" si="8"/>
        <v>6.2021727427687502E-2</v>
      </c>
      <c r="N25" s="17">
        <f t="shared" si="8"/>
        <v>6.1567230564098838E-2</v>
      </c>
    </row>
    <row r="26" spans="1:15" ht="14.25" x14ac:dyDescent="0.45">
      <c r="B26" s="159"/>
      <c r="C26" s="177"/>
      <c r="D26" s="15" t="s">
        <v>44</v>
      </c>
      <c r="E26" s="17"/>
      <c r="F26" s="17"/>
      <c r="G26" s="17"/>
      <c r="H26" s="17"/>
      <c r="I26" s="17">
        <f>AVERAGE(E25:I25)</f>
        <v>6.9931982180193503E-2</v>
      </c>
      <c r="J26" s="16"/>
      <c r="K26" s="16"/>
      <c r="L26" s="16"/>
      <c r="M26" s="16"/>
      <c r="N26" s="17">
        <f>AVERAGE(E25:N25)</f>
        <v>6.6356127391690056E-2</v>
      </c>
    </row>
    <row r="27" spans="1:15" ht="14.25" x14ac:dyDescent="0.45">
      <c r="B27" s="159"/>
      <c r="C27" s="177"/>
      <c r="D27" s="19" t="s">
        <v>42</v>
      </c>
      <c r="E27" s="80">
        <f>E25</f>
        <v>7.5503875968992246E-2</v>
      </c>
      <c r="F27" s="80">
        <f>E27+F25</f>
        <v>0.14752238447208701</v>
      </c>
      <c r="G27" s="80">
        <f>F27+G25</f>
        <v>0.21683905773030002</v>
      </c>
      <c r="H27" s="80">
        <f t="shared" ref="H27:I27" si="9">G27+H25</f>
        <v>0.28406128506224809</v>
      </c>
      <c r="I27" s="80">
        <f t="shared" si="9"/>
        <v>0.34965991090096749</v>
      </c>
      <c r="J27" s="80">
        <f>I27+J25</f>
        <v>0.41399993093098253</v>
      </c>
      <c r="K27" s="80">
        <f t="shared" ref="K27:N27" si="10">J27+K25</f>
        <v>0.47736428754339733</v>
      </c>
      <c r="L27" s="80">
        <f t="shared" si="10"/>
        <v>0.53997231592511419</v>
      </c>
      <c r="M27" s="80">
        <f t="shared" si="10"/>
        <v>0.60199404335280171</v>
      </c>
      <c r="N27" s="80">
        <f t="shared" si="10"/>
        <v>0.66356127391690056</v>
      </c>
    </row>
    <row r="28" spans="1:15" ht="14.25" x14ac:dyDescent="0.45">
      <c r="B28" s="158" t="s">
        <v>17</v>
      </c>
      <c r="C28" s="176" t="s">
        <v>32</v>
      </c>
      <c r="D28" s="15" t="s">
        <v>43</v>
      </c>
      <c r="E28" s="17">
        <f t="shared" ref="E28:N28" si="11">((1+$E$11)*$E$7)+($E$7*E18)</f>
        <v>3.7751937984496123E-2</v>
      </c>
      <c r="F28" s="17">
        <f t="shared" si="11"/>
        <v>3.6009254251547385E-2</v>
      </c>
      <c r="G28" s="17">
        <f t="shared" si="11"/>
        <v>3.4658336629106501E-2</v>
      </c>
      <c r="H28" s="17">
        <f t="shared" si="11"/>
        <v>3.3611113665974031E-2</v>
      </c>
      <c r="I28" s="17">
        <f t="shared" si="11"/>
        <v>3.279931291935971E-2</v>
      </c>
      <c r="J28" s="17">
        <f t="shared" si="11"/>
        <v>3.2170010015007529E-2</v>
      </c>
      <c r="K28" s="17">
        <f t="shared" si="11"/>
        <v>3.1682178306207384E-2</v>
      </c>
      <c r="L28" s="17">
        <f t="shared" si="11"/>
        <v>3.1304014190858438E-2</v>
      </c>
      <c r="M28" s="17">
        <f t="shared" si="11"/>
        <v>3.1010863713843751E-2</v>
      </c>
      <c r="N28" s="17">
        <f t="shared" si="11"/>
        <v>3.0783615282049419E-2</v>
      </c>
    </row>
    <row r="29" spans="1:15" ht="15" customHeight="1" x14ac:dyDescent="0.45">
      <c r="B29" s="159"/>
      <c r="C29" s="177"/>
      <c r="D29" s="15" t="s">
        <v>44</v>
      </c>
      <c r="E29" s="17"/>
      <c r="F29" s="17"/>
      <c r="G29" s="17"/>
      <c r="H29" s="17"/>
      <c r="I29" s="17">
        <f>AVERAGE(E28:I28)</f>
        <v>3.4965991090096751E-2</v>
      </c>
      <c r="J29" s="16"/>
      <c r="K29" s="16"/>
      <c r="L29" s="16"/>
      <c r="M29" s="16"/>
      <c r="N29" s="17">
        <f>AVERAGE(E28:N28)</f>
        <v>3.3178063695845028E-2</v>
      </c>
    </row>
    <row r="30" spans="1:15" ht="14.25" x14ac:dyDescent="0.45">
      <c r="B30" s="159"/>
      <c r="C30" s="177"/>
      <c r="D30" s="19" t="s">
        <v>42</v>
      </c>
      <c r="E30" s="80">
        <f>E28</f>
        <v>3.7751937984496123E-2</v>
      </c>
      <c r="F30" s="80">
        <f t="shared" ref="F30:N30" si="12">E30+F28</f>
        <v>7.3761192236043507E-2</v>
      </c>
      <c r="G30" s="80">
        <f>F30+G28</f>
        <v>0.10841952886515001</v>
      </c>
      <c r="H30" s="80">
        <f t="shared" si="12"/>
        <v>0.14203064253112405</v>
      </c>
      <c r="I30" s="80">
        <f t="shared" si="12"/>
        <v>0.17482995545048374</v>
      </c>
      <c r="J30" s="80">
        <f>I30+J28</f>
        <v>0.20699996546549126</v>
      </c>
      <c r="K30" s="80">
        <f t="shared" si="12"/>
        <v>0.23868214377169866</v>
      </c>
      <c r="L30" s="80">
        <f t="shared" si="12"/>
        <v>0.26998615796255709</v>
      </c>
      <c r="M30" s="80">
        <f t="shared" si="12"/>
        <v>0.30099702167640086</v>
      </c>
      <c r="N30" s="80">
        <f t="shared" si="12"/>
        <v>0.33178063695845028</v>
      </c>
    </row>
    <row r="31" spans="1:15" ht="14.25" x14ac:dyDescent="0.45">
      <c r="B31" s="3"/>
      <c r="C31" s="1"/>
      <c r="D31" s="43"/>
      <c r="E31" s="31"/>
      <c r="F31" s="31"/>
      <c r="G31" s="31"/>
      <c r="H31" s="31"/>
      <c r="I31" s="31"/>
      <c r="J31" s="31"/>
      <c r="K31" s="31"/>
      <c r="L31" s="31"/>
      <c r="M31" s="31"/>
      <c r="N31" s="31"/>
    </row>
    <row r="32" spans="1:15" ht="14.25"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row>
    <row r="33" spans="2:14" ht="14.25" x14ac:dyDescent="0.45">
      <c r="B33" s="169"/>
      <c r="C33" s="171"/>
      <c r="D33" s="173"/>
      <c r="E33" s="149"/>
      <c r="F33" s="149"/>
      <c r="G33" s="149"/>
      <c r="H33" s="149"/>
      <c r="I33" s="149"/>
      <c r="J33" s="149"/>
      <c r="K33" s="149"/>
      <c r="L33" s="149"/>
      <c r="M33" s="149"/>
      <c r="N33" s="149"/>
    </row>
    <row r="34" spans="2:14" ht="14.25" x14ac:dyDescent="0.45">
      <c r="B34" s="158" t="s">
        <v>141</v>
      </c>
      <c r="C34" s="166" t="s">
        <v>32</v>
      </c>
      <c r="D34" s="15" t="s">
        <v>58</v>
      </c>
      <c r="E34" s="16">
        <f>E39*$E$4/E$15</f>
        <v>7.7519379844961239E-2</v>
      </c>
      <c r="F34" s="16">
        <f t="shared" ref="F34:N34" si="13">F39*$E$4/F$15</f>
        <v>6.0092542515473829E-2</v>
      </c>
      <c r="G34" s="16">
        <f t="shared" si="13"/>
        <v>4.6583366291064986E-2</v>
      </c>
      <c r="H34" s="16">
        <f t="shared" si="13"/>
        <v>3.6111136659740299E-2</v>
      </c>
      <c r="I34" s="16">
        <f t="shared" si="13"/>
        <v>2.7993129193597133E-2</v>
      </c>
      <c r="J34" s="16">
        <f t="shared" si="13"/>
        <v>2.1700100150075299E-2</v>
      </c>
      <c r="K34" s="16">
        <f t="shared" si="13"/>
        <v>1.6821783062073874E-2</v>
      </c>
      <c r="L34" s="16">
        <f t="shared" si="13"/>
        <v>1.3040141908584399E-2</v>
      </c>
      <c r="M34" s="16">
        <f t="shared" si="13"/>
        <v>1.010863713843752E-2</v>
      </c>
      <c r="N34" s="16">
        <f t="shared" si="13"/>
        <v>7.8361528204942011E-3</v>
      </c>
    </row>
    <row r="35" spans="2:14" ht="14.25" x14ac:dyDescent="0.45">
      <c r="B35" s="159"/>
      <c r="C35" s="166"/>
      <c r="D35" s="15" t="s">
        <v>59</v>
      </c>
      <c r="E35" s="16"/>
      <c r="F35" s="16"/>
      <c r="G35" s="16"/>
      <c r="H35" s="16"/>
      <c r="I35" s="82">
        <f>AVERAGE(E34:I34)</f>
        <v>4.9659910900967504E-2</v>
      </c>
      <c r="J35" s="16"/>
      <c r="K35" s="16"/>
      <c r="L35" s="16"/>
      <c r="M35" s="16"/>
      <c r="N35" s="17">
        <f>AVERAGE(E34:N34)</f>
        <v>3.1780636958450278E-2</v>
      </c>
    </row>
    <row r="36" spans="2:14" ht="14.25" x14ac:dyDescent="0.45">
      <c r="B36" s="159"/>
      <c r="C36" s="166"/>
      <c r="D36" s="15" t="s">
        <v>42</v>
      </c>
      <c r="E36" s="16">
        <f t="shared" ref="E36:N36" si="14">E$17*(E34/E$19)</f>
        <v>7.7519379844961239E-2</v>
      </c>
      <c r="F36" s="16">
        <f t="shared" si="14"/>
        <v>0.13761192236043507</v>
      </c>
      <c r="G36" s="16">
        <f>G$17*(G34/G$19)</f>
        <v>0.18419528865150009</v>
      </c>
      <c r="H36" s="16">
        <f>H$17*(H34/H$19)</f>
        <v>0.22030642531124023</v>
      </c>
      <c r="I36" s="16">
        <f>I$17*(I34/I$19)</f>
        <v>0.24829955450483765</v>
      </c>
      <c r="J36" s="16">
        <f t="shared" si="14"/>
        <v>0.26999965465491277</v>
      </c>
      <c r="K36" s="16">
        <f t="shared" si="14"/>
        <v>0.28682143771698643</v>
      </c>
      <c r="L36" s="16">
        <f t="shared" si="14"/>
        <v>0.29986157962557164</v>
      </c>
      <c r="M36" s="16">
        <f t="shared" si="14"/>
        <v>0.30997021676400793</v>
      </c>
      <c r="N36" s="16">
        <f t="shared" si="14"/>
        <v>0.31780636958450348</v>
      </c>
    </row>
    <row r="37" spans="2:14" ht="14.25" customHeight="1" x14ac:dyDescent="0.45">
      <c r="B37" s="159"/>
      <c r="C37" s="167"/>
      <c r="D37" s="19" t="s">
        <v>45</v>
      </c>
      <c r="E37" s="20">
        <f t="shared" ref="E37:N37" si="15">10*E34</f>
        <v>0.77519379844961245</v>
      </c>
      <c r="F37" s="20">
        <f t="shared" si="15"/>
        <v>0.60092542515473824</v>
      </c>
      <c r="G37" s="20">
        <f t="shared" si="15"/>
        <v>0.46583366291064987</v>
      </c>
      <c r="H37" s="20">
        <f t="shared" si="15"/>
        <v>0.36111136659740301</v>
      </c>
      <c r="I37" s="20">
        <f t="shared" si="15"/>
        <v>0.27993129193597133</v>
      </c>
      <c r="J37" s="20">
        <f t="shared" si="15"/>
        <v>0.21700100150075299</v>
      </c>
      <c r="K37" s="20">
        <f t="shared" si="15"/>
        <v>0.16821783062073875</v>
      </c>
      <c r="L37" s="20">
        <f t="shared" si="15"/>
        <v>0.13040141908584399</v>
      </c>
      <c r="M37" s="20">
        <f t="shared" si="15"/>
        <v>0.10108637138437521</v>
      </c>
      <c r="N37" s="20">
        <f t="shared" si="15"/>
        <v>7.8361528204942008E-2</v>
      </c>
    </row>
    <row r="38" spans="2:14" ht="14.25" x14ac:dyDescent="0.45">
      <c r="B38" s="159"/>
      <c r="C38" s="167"/>
      <c r="D38" s="19" t="s">
        <v>46</v>
      </c>
      <c r="E38" s="20">
        <f>10*E36</f>
        <v>0.77519379844961245</v>
      </c>
      <c r="F38" s="20">
        <f>10*F36</f>
        <v>1.3761192236043507</v>
      </c>
      <c r="G38" s="20">
        <f>10*G36</f>
        <v>1.841952886515001</v>
      </c>
      <c r="H38" s="20">
        <f t="shared" ref="H38:N38" si="16">10*H36</f>
        <v>2.2030642531124025</v>
      </c>
      <c r="I38" s="20">
        <f t="shared" si="16"/>
        <v>2.4829955450483765</v>
      </c>
      <c r="J38" s="20">
        <f t="shared" si="16"/>
        <v>2.6999965465491278</v>
      </c>
      <c r="K38" s="20">
        <f t="shared" si="16"/>
        <v>2.8682143771698643</v>
      </c>
      <c r="L38" s="20">
        <f t="shared" si="16"/>
        <v>2.9986157962557165</v>
      </c>
      <c r="M38" s="20">
        <f t="shared" si="16"/>
        <v>3.0997021676400793</v>
      </c>
      <c r="N38" s="20">
        <f t="shared" si="16"/>
        <v>3.1780636958450348</v>
      </c>
    </row>
    <row r="39" spans="2:14" ht="14.25" x14ac:dyDescent="0.45">
      <c r="B39" s="159"/>
      <c r="C39" s="165" t="s">
        <v>36</v>
      </c>
      <c r="D39" s="15" t="s">
        <v>43</v>
      </c>
      <c r="E39" s="16">
        <f>E8</f>
        <v>0.1</v>
      </c>
      <c r="F39" s="16">
        <f>E39</f>
        <v>0.1</v>
      </c>
      <c r="G39" s="16">
        <f t="shared" ref="G39:N39" si="17">F39</f>
        <v>0.1</v>
      </c>
      <c r="H39" s="16">
        <f t="shared" si="17"/>
        <v>0.1</v>
      </c>
      <c r="I39" s="16">
        <f t="shared" si="17"/>
        <v>0.1</v>
      </c>
      <c r="J39" s="16">
        <f t="shared" si="17"/>
        <v>0.1</v>
      </c>
      <c r="K39" s="16">
        <f t="shared" si="17"/>
        <v>0.1</v>
      </c>
      <c r="L39" s="16">
        <f t="shared" si="17"/>
        <v>0.1</v>
      </c>
      <c r="M39" s="16">
        <f t="shared" si="17"/>
        <v>0.1</v>
      </c>
      <c r="N39" s="16">
        <f t="shared" si="17"/>
        <v>0.1</v>
      </c>
    </row>
    <row r="40" spans="2:14" ht="14.25" customHeight="1" x14ac:dyDescent="0.45">
      <c r="B40" s="159"/>
      <c r="C40" s="167"/>
      <c r="D40" s="19" t="s">
        <v>45</v>
      </c>
      <c r="E40" s="21">
        <f>E37*E$15</f>
        <v>100000</v>
      </c>
      <c r="F40" s="21">
        <f t="shared" ref="F40:N40" si="18">F37*F$15</f>
        <v>99999.999999999985</v>
      </c>
      <c r="G40" s="21">
        <f>G37*G$15</f>
        <v>100000</v>
      </c>
      <c r="H40" s="21">
        <f>H37*H$15</f>
        <v>100000</v>
      </c>
      <c r="I40" s="21">
        <f>I37*I$15</f>
        <v>100000</v>
      </c>
      <c r="J40" s="21">
        <f t="shared" si="18"/>
        <v>100000</v>
      </c>
      <c r="K40" s="21">
        <f t="shared" si="18"/>
        <v>100000</v>
      </c>
      <c r="L40" s="21">
        <f t="shared" si="18"/>
        <v>100000</v>
      </c>
      <c r="M40" s="21">
        <f t="shared" si="18"/>
        <v>100000.00000000001</v>
      </c>
      <c r="N40" s="21">
        <f t="shared" si="18"/>
        <v>99999.999999999985</v>
      </c>
    </row>
    <row r="41" spans="2:14" ht="14.25" x14ac:dyDescent="0.45">
      <c r="B41" s="159"/>
      <c r="C41" s="167"/>
      <c r="D41" s="19" t="s">
        <v>46</v>
      </c>
      <c r="E41" s="21">
        <f>E40</f>
        <v>100000</v>
      </c>
      <c r="F41" s="21">
        <f>E41+F40</f>
        <v>200000</v>
      </c>
      <c r="G41" s="21">
        <f>F41+G40</f>
        <v>300000</v>
      </c>
      <c r="H41" s="21">
        <f t="shared" ref="H41:N41" si="19">G41+H40</f>
        <v>400000</v>
      </c>
      <c r="I41" s="21">
        <f t="shared" si="19"/>
        <v>500000</v>
      </c>
      <c r="J41" s="21">
        <f>I41+J40</f>
        <v>600000</v>
      </c>
      <c r="K41" s="21">
        <f t="shared" si="19"/>
        <v>700000</v>
      </c>
      <c r="L41" s="21">
        <f t="shared" si="19"/>
        <v>800000</v>
      </c>
      <c r="M41" s="21">
        <f t="shared" si="19"/>
        <v>900000</v>
      </c>
      <c r="N41" s="21">
        <f t="shared" si="19"/>
        <v>1000000</v>
      </c>
    </row>
    <row r="42" spans="2:14" ht="14.25" x14ac:dyDescent="0.45">
      <c r="B42" s="159"/>
      <c r="C42" s="165" t="s">
        <v>35</v>
      </c>
      <c r="D42" s="15" t="s">
        <v>43</v>
      </c>
      <c r="E42" s="16">
        <f>E36*E$15/$E$4</f>
        <v>0.1</v>
      </c>
      <c r="F42" s="16">
        <f>F36*F$15/$E$4-E42</f>
        <v>0.129</v>
      </c>
      <c r="G42" s="16">
        <f>G36*G$15/$E$4-F42-E42</f>
        <v>0.16641000000000009</v>
      </c>
      <c r="H42" s="16">
        <f>H36*H$15/$E$4-G42-F42-E42</f>
        <v>0.21466889999999958</v>
      </c>
      <c r="I42" s="16">
        <f>I36*I$15/$E$4-H42-G42-F42-E42</f>
        <v>0.27692288100000084</v>
      </c>
      <c r="J42" s="16">
        <f>J36*J$15/$E$4-I42-H42-G42-F42-E42</f>
        <v>0.35723051648999904</v>
      </c>
      <c r="K42" s="16">
        <f>K36*K$15/$E$4-J42-I42-H42-G42-F42-E42</f>
        <v>0.46082736627209886</v>
      </c>
      <c r="L42" s="16">
        <f>L36*L$15/$E$4-K42-J42-I42-H42-G42-F42-E42</f>
        <v>0.59446730249101465</v>
      </c>
      <c r="M42" s="16">
        <f>M36*M$15/$E$4-L42-K42-J42-I42-H42-G42-F42-E42</f>
        <v>0.76686282021339069</v>
      </c>
      <c r="N42" s="16">
        <f>N36*N$15/$E$4-M42-L42-K42-J42-I42-H42-G42-F42-E42</f>
        <v>0.98925303807530207</v>
      </c>
    </row>
    <row r="43" spans="2:14" ht="14.25" x14ac:dyDescent="0.45">
      <c r="B43" s="159"/>
      <c r="C43" s="166"/>
      <c r="D43" s="15" t="s">
        <v>44</v>
      </c>
      <c r="E43" s="17"/>
      <c r="F43" s="17"/>
      <c r="G43" s="17"/>
      <c r="H43" s="17"/>
      <c r="I43" s="38">
        <f>AVERAGE(E42:I42)</f>
        <v>0.17740035620000011</v>
      </c>
      <c r="J43" s="17"/>
      <c r="K43" s="17"/>
      <c r="L43" s="17"/>
      <c r="M43" s="17"/>
      <c r="N43" s="17">
        <f>AVERAGE(E42:N42)</f>
        <v>0.40556428245418064</v>
      </c>
    </row>
    <row r="44" spans="2:14" ht="14.25" x14ac:dyDescent="0.45">
      <c r="B44" s="159"/>
      <c r="C44" s="167"/>
      <c r="D44" s="19" t="s">
        <v>45</v>
      </c>
      <c r="E44" s="22">
        <f>E46</f>
        <v>100000</v>
      </c>
      <c r="F44" s="22">
        <f>F46-E46</f>
        <v>129000</v>
      </c>
      <c r="G44" s="22">
        <f>G46-F46</f>
        <v>166410.00000000006</v>
      </c>
      <c r="H44" s="22">
        <f t="shared" ref="H44:N44" si="20">H46-G46</f>
        <v>214668.89999999962</v>
      </c>
      <c r="I44" s="22">
        <f t="shared" si="20"/>
        <v>276922.88100000075</v>
      </c>
      <c r="J44" s="22">
        <f>J46-I46</f>
        <v>357230.51648999937</v>
      </c>
      <c r="K44" s="22">
        <f t="shared" si="20"/>
        <v>460827.36627209862</v>
      </c>
      <c r="L44" s="22">
        <f t="shared" si="20"/>
        <v>594467.30249101459</v>
      </c>
      <c r="M44" s="22">
        <f t="shared" si="20"/>
        <v>766862.82021339051</v>
      </c>
      <c r="N44" s="22">
        <f t="shared" si="20"/>
        <v>989253.03807530319</v>
      </c>
    </row>
    <row r="45" spans="2:14" ht="15" customHeight="1" x14ac:dyDescent="0.45">
      <c r="B45" s="159"/>
      <c r="C45" s="167"/>
      <c r="D45" s="19" t="s">
        <v>47</v>
      </c>
      <c r="E45" s="22"/>
      <c r="F45" s="22"/>
      <c r="G45" s="22"/>
      <c r="H45" s="22"/>
      <c r="I45" s="22">
        <f>AVERAGE(E44:I44)</f>
        <v>177400.3562000001</v>
      </c>
      <c r="J45" s="22"/>
      <c r="K45" s="22"/>
      <c r="L45" s="22"/>
      <c r="M45" s="22"/>
      <c r="N45" s="22">
        <f>AVERAGE(E44:N44)</f>
        <v>405564.28245418065</v>
      </c>
    </row>
    <row r="46" spans="2:14" ht="14.25" x14ac:dyDescent="0.45">
      <c r="B46" s="160"/>
      <c r="C46" s="167"/>
      <c r="D46" s="19" t="s">
        <v>46</v>
      </c>
      <c r="E46" s="21">
        <f t="shared" ref="E46:N46" si="21">E38*E$15</f>
        <v>100000</v>
      </c>
      <c r="F46" s="21">
        <f t="shared" si="21"/>
        <v>229000</v>
      </c>
      <c r="G46" s="21">
        <f>G38*G$15</f>
        <v>395410.00000000006</v>
      </c>
      <c r="H46" s="21">
        <f>H38*H$15</f>
        <v>610078.89999999967</v>
      </c>
      <c r="I46" s="21">
        <f>I38*I$15</f>
        <v>887001.78100000042</v>
      </c>
      <c r="J46" s="21">
        <f t="shared" si="21"/>
        <v>1244232.2974899998</v>
      </c>
      <c r="K46" s="21">
        <f t="shared" si="21"/>
        <v>1705059.6637620984</v>
      </c>
      <c r="L46" s="21">
        <f t="shared" si="21"/>
        <v>2299526.966253113</v>
      </c>
      <c r="M46" s="21">
        <f t="shared" si="21"/>
        <v>3066389.7864665035</v>
      </c>
      <c r="N46" s="21">
        <f t="shared" si="21"/>
        <v>4055642.8245418067</v>
      </c>
    </row>
    <row r="47" spans="2:14" ht="14.25" x14ac:dyDescent="0.45">
      <c r="B47" s="3"/>
      <c r="C47" s="1"/>
      <c r="D47" s="43"/>
      <c r="E47" s="31"/>
      <c r="F47" s="31"/>
      <c r="G47" s="31"/>
      <c r="H47" s="31"/>
      <c r="I47" s="31"/>
      <c r="J47" s="31"/>
      <c r="K47" s="31"/>
      <c r="L47" s="31"/>
      <c r="M47" s="31"/>
      <c r="N47" s="31"/>
    </row>
    <row r="48" spans="2:14" ht="14.25"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5" ht="14.25" x14ac:dyDescent="0.45">
      <c r="B49" s="151"/>
      <c r="C49" s="175"/>
      <c r="D49" s="153"/>
      <c r="E49" s="149"/>
      <c r="F49" s="149"/>
      <c r="G49" s="149"/>
      <c r="H49" s="149"/>
      <c r="I49" s="149"/>
      <c r="J49" s="149"/>
      <c r="K49" s="149"/>
      <c r="L49" s="149"/>
      <c r="M49" s="149"/>
      <c r="N49" s="149"/>
    </row>
    <row r="50" spans="1:15" ht="14.25" x14ac:dyDescent="0.45">
      <c r="B50" s="158" t="s">
        <v>141</v>
      </c>
      <c r="C50" s="166" t="s">
        <v>32</v>
      </c>
      <c r="D50" s="15" t="s">
        <v>43</v>
      </c>
      <c r="E50" s="16">
        <f>E55*$E$4/E$15</f>
        <v>0.15503875968992248</v>
      </c>
      <c r="F50" s="16">
        <f t="shared" ref="F50:N50" si="22">F55*$E$4/F$15</f>
        <v>0.12018508503094766</v>
      </c>
      <c r="G50" s="16">
        <f t="shared" si="22"/>
        <v>9.3166732582129971E-2</v>
      </c>
      <c r="H50" s="16">
        <f t="shared" si="22"/>
        <v>7.2222273319480598E-2</v>
      </c>
      <c r="I50" s="16">
        <f t="shared" si="22"/>
        <v>5.5986258387194267E-2</v>
      </c>
      <c r="J50" s="16">
        <f t="shared" si="22"/>
        <v>4.3400200300150599E-2</v>
      </c>
      <c r="K50" s="16">
        <f t="shared" si="22"/>
        <v>3.3643566124147747E-2</v>
      </c>
      <c r="L50" s="16">
        <f t="shared" si="22"/>
        <v>2.6080283817168797E-2</v>
      </c>
      <c r="M50" s="16">
        <f t="shared" si="22"/>
        <v>2.0217274276875041E-2</v>
      </c>
      <c r="N50" s="16">
        <f t="shared" si="22"/>
        <v>1.5672305640988402E-2</v>
      </c>
    </row>
    <row r="51" spans="1:15" ht="14.25" x14ac:dyDescent="0.45">
      <c r="B51" s="159"/>
      <c r="C51" s="166"/>
      <c r="D51" s="15" t="s">
        <v>44</v>
      </c>
      <c r="E51" s="16"/>
      <c r="F51" s="16"/>
      <c r="G51" s="16"/>
      <c r="H51" s="16"/>
      <c r="I51" s="127">
        <f>AVERAGE(E50:I50)</f>
        <v>9.9319821801935007E-2</v>
      </c>
      <c r="J51" s="16"/>
      <c r="K51" s="16"/>
      <c r="L51" s="16"/>
      <c r="M51" s="16"/>
      <c r="N51" s="17">
        <f>AVERAGE(E50:N50)</f>
        <v>6.3561273916900557E-2</v>
      </c>
    </row>
    <row r="52" spans="1:15" ht="14.25" x14ac:dyDescent="0.45">
      <c r="B52" s="159"/>
      <c r="C52" s="166"/>
      <c r="D52" s="15" t="s">
        <v>42</v>
      </c>
      <c r="E52" s="16">
        <f t="shared" ref="E52:N52" si="23">E$17*(E50/E$19)</f>
        <v>0.15503875968992248</v>
      </c>
      <c r="F52" s="16">
        <f t="shared" si="23"/>
        <v>0.27522384472087014</v>
      </c>
      <c r="G52" s="16">
        <f t="shared" si="23"/>
        <v>0.36839057730300018</v>
      </c>
      <c r="H52" s="16">
        <f t="shared" si="23"/>
        <v>0.44061285062248046</v>
      </c>
      <c r="I52" s="16">
        <f t="shared" si="23"/>
        <v>0.4965991090096753</v>
      </c>
      <c r="J52" s="16">
        <f t="shared" si="23"/>
        <v>0.53999930930982554</v>
      </c>
      <c r="K52" s="16">
        <f t="shared" si="23"/>
        <v>0.57364287543397285</v>
      </c>
      <c r="L52" s="16">
        <f t="shared" si="23"/>
        <v>0.59972315925114328</v>
      </c>
      <c r="M52" s="16">
        <f t="shared" si="23"/>
        <v>0.61994043352801587</v>
      </c>
      <c r="N52" s="16">
        <f t="shared" si="23"/>
        <v>0.63561273916900696</v>
      </c>
    </row>
    <row r="53" spans="1:15" ht="14.25" customHeight="1" x14ac:dyDescent="0.45">
      <c r="B53" s="159"/>
      <c r="C53" s="167"/>
      <c r="D53" s="19" t="s">
        <v>45</v>
      </c>
      <c r="E53" s="20">
        <f>10*E50</f>
        <v>1.5503875968992249</v>
      </c>
      <c r="F53" s="20">
        <f t="shared" ref="F53:N53" si="24">10*F50</f>
        <v>1.2018508503094765</v>
      </c>
      <c r="G53" s="20">
        <f t="shared" si="24"/>
        <v>0.93166732582129974</v>
      </c>
      <c r="H53" s="20">
        <f t="shared" si="24"/>
        <v>0.72222273319480601</v>
      </c>
      <c r="I53" s="20">
        <f t="shared" si="24"/>
        <v>0.55986258387194265</v>
      </c>
      <c r="J53" s="20">
        <f t="shared" si="24"/>
        <v>0.43400200300150599</v>
      </c>
      <c r="K53" s="20">
        <f t="shared" si="24"/>
        <v>0.3364356612414775</v>
      </c>
      <c r="L53" s="20">
        <f t="shared" si="24"/>
        <v>0.26080283817168798</v>
      </c>
      <c r="M53" s="20">
        <f t="shared" si="24"/>
        <v>0.20217274276875041</v>
      </c>
      <c r="N53" s="20">
        <f t="shared" si="24"/>
        <v>0.15672305640988402</v>
      </c>
    </row>
    <row r="54" spans="1:15" ht="14.25" x14ac:dyDescent="0.45">
      <c r="B54" s="159"/>
      <c r="C54" s="167"/>
      <c r="D54" s="19" t="s">
        <v>46</v>
      </c>
      <c r="E54" s="20">
        <f>10*E52</f>
        <v>1.5503875968992249</v>
      </c>
      <c r="F54" s="20">
        <f>10*F52</f>
        <v>2.7522384472087014</v>
      </c>
      <c r="G54" s="20">
        <f>10*G52</f>
        <v>3.683905773030002</v>
      </c>
      <c r="H54" s="20">
        <f t="shared" ref="H54:N54" si="25">10*H52</f>
        <v>4.406128506224805</v>
      </c>
      <c r="I54" s="20">
        <f t="shared" si="25"/>
        <v>4.965991090096753</v>
      </c>
      <c r="J54" s="20">
        <f t="shared" si="25"/>
        <v>5.3999930930982556</v>
      </c>
      <c r="K54" s="20">
        <f t="shared" si="25"/>
        <v>5.7364287543397285</v>
      </c>
      <c r="L54" s="20">
        <f t="shared" si="25"/>
        <v>5.997231592511433</v>
      </c>
      <c r="M54" s="20">
        <f t="shared" si="25"/>
        <v>6.1994043352801587</v>
      </c>
      <c r="N54" s="20">
        <f t="shared" si="25"/>
        <v>6.3561273916900696</v>
      </c>
    </row>
    <row r="55" spans="1:15" ht="14.25" x14ac:dyDescent="0.45">
      <c r="B55" s="159"/>
      <c r="C55" s="165" t="s">
        <v>36</v>
      </c>
      <c r="D55" s="15" t="s">
        <v>43</v>
      </c>
      <c r="E55" s="16">
        <f t="shared" ref="E55:N55" si="26">$E9+($E$10*$E$11)</f>
        <v>0.2</v>
      </c>
      <c r="F55" s="16">
        <f t="shared" si="26"/>
        <v>0.2</v>
      </c>
      <c r="G55" s="16">
        <f t="shared" si="26"/>
        <v>0.2</v>
      </c>
      <c r="H55" s="16">
        <f t="shared" si="26"/>
        <v>0.2</v>
      </c>
      <c r="I55" s="16">
        <f t="shared" si="26"/>
        <v>0.2</v>
      </c>
      <c r="J55" s="16">
        <f t="shared" si="26"/>
        <v>0.2</v>
      </c>
      <c r="K55" s="16">
        <f t="shared" si="26"/>
        <v>0.2</v>
      </c>
      <c r="L55" s="16">
        <f t="shared" si="26"/>
        <v>0.2</v>
      </c>
      <c r="M55" s="16">
        <f t="shared" si="26"/>
        <v>0.2</v>
      </c>
      <c r="N55" s="16">
        <f t="shared" si="26"/>
        <v>0.2</v>
      </c>
    </row>
    <row r="56" spans="1:15" ht="14.25" customHeight="1" x14ac:dyDescent="0.45">
      <c r="B56" s="159"/>
      <c r="C56" s="167"/>
      <c r="D56" s="19" t="s">
        <v>45</v>
      </c>
      <c r="E56" s="21">
        <f t="shared" ref="E56:N56" si="27">E53*E$15</f>
        <v>200000</v>
      </c>
      <c r="F56" s="21">
        <f t="shared" si="27"/>
        <v>199999.99999999997</v>
      </c>
      <c r="G56" s="21">
        <f t="shared" si="27"/>
        <v>200000</v>
      </c>
      <c r="H56" s="21">
        <f t="shared" si="27"/>
        <v>200000</v>
      </c>
      <c r="I56" s="21">
        <f t="shared" si="27"/>
        <v>200000</v>
      </c>
      <c r="J56" s="21">
        <f t="shared" si="27"/>
        <v>200000</v>
      </c>
      <c r="K56" s="21">
        <f t="shared" si="27"/>
        <v>200000</v>
      </c>
      <c r="L56" s="21">
        <f t="shared" si="27"/>
        <v>200000</v>
      </c>
      <c r="M56" s="21">
        <f t="shared" si="27"/>
        <v>200000.00000000003</v>
      </c>
      <c r="N56" s="21">
        <f t="shared" si="27"/>
        <v>199999.99999999997</v>
      </c>
    </row>
    <row r="57" spans="1:15" ht="14.25" x14ac:dyDescent="0.45">
      <c r="B57" s="159"/>
      <c r="C57" s="167"/>
      <c r="D57" s="19" t="s">
        <v>46</v>
      </c>
      <c r="E57" s="21">
        <f>E56</f>
        <v>200000</v>
      </c>
      <c r="F57" s="21">
        <f>E57+F56</f>
        <v>400000</v>
      </c>
      <c r="G57" s="21">
        <f>F57+G56</f>
        <v>600000</v>
      </c>
      <c r="H57" s="21">
        <f t="shared" ref="H57:N57" si="28">G57+H56</f>
        <v>800000</v>
      </c>
      <c r="I57" s="21">
        <f t="shared" si="28"/>
        <v>1000000</v>
      </c>
      <c r="J57" s="21">
        <f>I57+J56</f>
        <v>1200000</v>
      </c>
      <c r="K57" s="21">
        <f t="shared" si="28"/>
        <v>1400000</v>
      </c>
      <c r="L57" s="21">
        <f t="shared" si="28"/>
        <v>1600000</v>
      </c>
      <c r="M57" s="21">
        <f t="shared" si="28"/>
        <v>1800000</v>
      </c>
      <c r="N57" s="21">
        <f t="shared" si="28"/>
        <v>2000000</v>
      </c>
    </row>
    <row r="58" spans="1:15" ht="14.25" x14ac:dyDescent="0.45">
      <c r="B58" s="159"/>
      <c r="C58" s="165" t="s">
        <v>35</v>
      </c>
      <c r="D58" s="15" t="s">
        <v>43</v>
      </c>
      <c r="E58" s="16">
        <f>E52*E$15/$E$4</f>
        <v>0.2</v>
      </c>
      <c r="F58" s="16">
        <f>F52*F$15/$E$4-E58</f>
        <v>0.25800000000000001</v>
      </c>
      <c r="G58" s="16">
        <f>G52*G$15/$E$4-F58-E58</f>
        <v>0.33282000000000017</v>
      </c>
      <c r="H58" s="16">
        <f>H52*H$15/$E$4-G58-F58-E58</f>
        <v>0.42933779999999916</v>
      </c>
      <c r="I58" s="16">
        <f>I52*I$15/$E$4-H58-G58-F58-E58</f>
        <v>0.55384576200000168</v>
      </c>
      <c r="J58" s="16">
        <f>J52*J$15/$E$4-I58-H58-G58-F58-E58</f>
        <v>0.71446103297999808</v>
      </c>
      <c r="K58" s="16">
        <f>K52*K$15/$E$4-J58-I58-H58-G58-F58-E58</f>
        <v>0.92165473254419772</v>
      </c>
      <c r="L58" s="16">
        <f>L52*L$15/$E$4-K58-J58-I58-H58-G58-F58-E58</f>
        <v>1.1889346049820293</v>
      </c>
      <c r="M58" s="16">
        <f>M52*M$15/$E$4-L58-K58-J58-I58-H58-G58-F58-E58</f>
        <v>1.5337256404267814</v>
      </c>
      <c r="N58" s="16">
        <f>N52*N$15/$E$4-M58-L58-K58-J58-I58-H58-G58-F58-E58</f>
        <v>1.9785060761506041</v>
      </c>
    </row>
    <row r="59" spans="1:15" ht="14.25" x14ac:dyDescent="0.45">
      <c r="B59" s="159"/>
      <c r="C59" s="166"/>
      <c r="D59" s="15" t="s">
        <v>44</v>
      </c>
      <c r="E59" s="17"/>
      <c r="F59" s="17"/>
      <c r="G59" s="17"/>
      <c r="H59" s="17"/>
      <c r="I59" s="17">
        <f>AVERAGE(E58:I58)</f>
        <v>0.35480071240000022</v>
      </c>
      <c r="J59" s="17"/>
      <c r="K59" s="17"/>
      <c r="L59" s="17"/>
      <c r="M59" s="17"/>
      <c r="N59" s="17">
        <f>AVERAGE(E58:N58)</f>
        <v>0.81112856490836127</v>
      </c>
    </row>
    <row r="60" spans="1:15" ht="14.25" x14ac:dyDescent="0.45">
      <c r="B60" s="159"/>
      <c r="C60" s="167"/>
      <c r="D60" s="19" t="s">
        <v>45</v>
      </c>
      <c r="E60" s="22">
        <f>E62</f>
        <v>200000</v>
      </c>
      <c r="F60" s="22">
        <f>F62-E62</f>
        <v>258000</v>
      </c>
      <c r="G60" s="22">
        <f>G62-F62</f>
        <v>332820.00000000012</v>
      </c>
      <c r="H60" s="22">
        <f t="shared" ref="H60:N60" si="29">H62-G62</f>
        <v>429337.79999999923</v>
      </c>
      <c r="I60" s="22">
        <f t="shared" si="29"/>
        <v>553845.7620000015</v>
      </c>
      <c r="J60" s="22">
        <f>J62-I62</f>
        <v>714461.03297999874</v>
      </c>
      <c r="K60" s="22">
        <f t="shared" si="29"/>
        <v>921654.73254419724</v>
      </c>
      <c r="L60" s="22">
        <f t="shared" si="29"/>
        <v>1188934.6049820292</v>
      </c>
      <c r="M60" s="22">
        <f t="shared" si="29"/>
        <v>1533725.640426781</v>
      </c>
      <c r="N60" s="22">
        <f t="shared" si="29"/>
        <v>1978506.0761506064</v>
      </c>
    </row>
    <row r="61" spans="1:15" ht="15" customHeight="1" x14ac:dyDescent="0.45">
      <c r="B61" s="159"/>
      <c r="C61" s="167"/>
      <c r="D61" s="19" t="s">
        <v>47</v>
      </c>
      <c r="E61" s="22"/>
      <c r="F61" s="22"/>
      <c r="G61" s="22"/>
      <c r="H61" s="22"/>
      <c r="I61" s="22">
        <f>AVERAGE(E60:I60)</f>
        <v>354800.71240000019</v>
      </c>
      <c r="J61" s="22"/>
      <c r="K61" s="22"/>
      <c r="L61" s="22"/>
      <c r="M61" s="22"/>
      <c r="N61" s="22">
        <f>AVERAGE(E60:N60)</f>
        <v>811128.5649083613</v>
      </c>
    </row>
    <row r="62" spans="1:15" ht="14.25" x14ac:dyDescent="0.45">
      <c r="B62" s="160"/>
      <c r="C62" s="167"/>
      <c r="D62" s="19" t="s">
        <v>46</v>
      </c>
      <c r="E62" s="21">
        <f t="shared" ref="E62:N62" si="30">E54*E$15</f>
        <v>200000</v>
      </c>
      <c r="F62" s="21">
        <f t="shared" si="30"/>
        <v>458000</v>
      </c>
      <c r="G62" s="21">
        <f t="shared" si="30"/>
        <v>790820.00000000012</v>
      </c>
      <c r="H62" s="21">
        <f t="shared" si="30"/>
        <v>1220157.7999999993</v>
      </c>
      <c r="I62" s="21">
        <f t="shared" si="30"/>
        <v>1774003.5620000008</v>
      </c>
      <c r="J62" s="21">
        <f t="shared" si="30"/>
        <v>2488464.5949799996</v>
      </c>
      <c r="K62" s="21">
        <f t="shared" si="30"/>
        <v>3410119.3275241968</v>
      </c>
      <c r="L62" s="21">
        <f t="shared" si="30"/>
        <v>4599053.932506226</v>
      </c>
      <c r="M62" s="21">
        <f t="shared" si="30"/>
        <v>6132779.572933007</v>
      </c>
      <c r="N62" s="21">
        <f t="shared" si="30"/>
        <v>8111285.6490836134</v>
      </c>
    </row>
    <row r="63" spans="1:15" ht="14.25" x14ac:dyDescent="0.45">
      <c r="A63" s="8"/>
      <c r="B63" s="3"/>
      <c r="C63" s="1"/>
      <c r="D63" s="43"/>
      <c r="E63" s="31"/>
      <c r="F63" s="31"/>
      <c r="G63" s="31"/>
      <c r="H63" s="31"/>
      <c r="I63" s="31"/>
      <c r="J63" s="31"/>
      <c r="K63" s="31"/>
      <c r="L63" s="31"/>
      <c r="M63" s="31"/>
      <c r="N63" s="31"/>
      <c r="O63" s="8"/>
    </row>
    <row r="64" spans="1:15" ht="14.25"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4.25" x14ac:dyDescent="0.45">
      <c r="B65" s="164"/>
      <c r="C65" s="162"/>
      <c r="D65" s="155"/>
      <c r="E65" s="149"/>
      <c r="F65" s="149"/>
      <c r="G65" s="149"/>
      <c r="H65" s="149"/>
      <c r="I65" s="149"/>
      <c r="J65" s="149"/>
      <c r="K65" s="149"/>
      <c r="L65" s="149"/>
      <c r="M65" s="149"/>
      <c r="N65" s="149"/>
    </row>
    <row r="66" spans="2:14" ht="14.25" x14ac:dyDescent="0.45">
      <c r="B66" s="167" t="s">
        <v>16</v>
      </c>
      <c r="C66" s="166" t="s">
        <v>32</v>
      </c>
      <c r="D66" s="15" t="s">
        <v>58</v>
      </c>
      <c r="E66" s="16">
        <f>E$23</f>
        <v>0.67441860465116288</v>
      </c>
      <c r="F66" s="16">
        <f t="shared" ref="F66:N66" si="31">F$23</f>
        <v>0.5228051198846223</v>
      </c>
      <c r="G66" s="16">
        <f t="shared" si="31"/>
        <v>0.40527528673226526</v>
      </c>
      <c r="H66" s="16">
        <f t="shared" si="31"/>
        <v>0.31416688893974076</v>
      </c>
      <c r="I66" s="16">
        <f t="shared" si="31"/>
        <v>0.24354022398429487</v>
      </c>
      <c r="J66" s="16">
        <f t="shared" si="31"/>
        <v>0.18879087130565508</v>
      </c>
      <c r="K66" s="16">
        <f t="shared" si="31"/>
        <v>0.14634951264004281</v>
      </c>
      <c r="L66" s="16">
        <f t="shared" si="31"/>
        <v>0.11344923460468403</v>
      </c>
      <c r="M66" s="16">
        <f t="shared" si="31"/>
        <v>8.7945143104406598E-2</v>
      </c>
      <c r="N66" s="16">
        <f t="shared" si="31"/>
        <v>6.8174529538299389E-2</v>
      </c>
    </row>
    <row r="67" spans="2:14" ht="14.25" x14ac:dyDescent="0.45">
      <c r="B67" s="167"/>
      <c r="C67" s="166"/>
      <c r="D67" s="15" t="s">
        <v>59</v>
      </c>
      <c r="E67" s="16"/>
      <c r="F67" s="16"/>
      <c r="G67" s="16"/>
      <c r="H67" s="16"/>
      <c r="I67" s="82">
        <f>AVERAGE(E66:I66)</f>
        <v>0.43204122483841728</v>
      </c>
      <c r="J67" s="16"/>
      <c r="K67" s="16"/>
      <c r="L67" s="16"/>
      <c r="M67" s="16"/>
      <c r="N67" s="17">
        <f>AVERAGE(E66:N66)</f>
        <v>0.2764915415385174</v>
      </c>
    </row>
    <row r="68" spans="2:14" ht="14.25" x14ac:dyDescent="0.45">
      <c r="B68" s="167"/>
      <c r="C68" s="166"/>
      <c r="D68" s="15" t="s">
        <v>42</v>
      </c>
      <c r="E68" s="16">
        <f>E$17*(E66/E$19)</f>
        <v>0.67441860465116288</v>
      </c>
      <c r="F68" s="16">
        <f t="shared" ref="F68:N68" si="32">F$17*(F66/F$19)</f>
        <v>1.1972237245357851</v>
      </c>
      <c r="G68" s="16">
        <f>G$17*(G66/G$19)</f>
        <v>1.6024990112680504</v>
      </c>
      <c r="H68" s="16">
        <f>H$17*(H66/H$19)</f>
        <v>1.916665900207791</v>
      </c>
      <c r="I68" s="16">
        <f>I$17*(I66/I$19)</f>
        <v>2.160206124192086</v>
      </c>
      <c r="J68" s="16">
        <f t="shared" si="32"/>
        <v>2.3489969954977412</v>
      </c>
      <c r="K68" s="16">
        <f t="shared" si="32"/>
        <v>2.4953465081377839</v>
      </c>
      <c r="L68" s="16">
        <f t="shared" si="32"/>
        <v>2.6087957427424682</v>
      </c>
      <c r="M68" s="16">
        <f t="shared" si="32"/>
        <v>2.6967408858468747</v>
      </c>
      <c r="N68" s="16">
        <f t="shared" si="32"/>
        <v>2.764915415385174</v>
      </c>
    </row>
    <row r="69" spans="2:14" ht="14.25" customHeight="1" x14ac:dyDescent="0.45">
      <c r="B69" s="167"/>
      <c r="C69" s="167"/>
      <c r="D69" s="19" t="s">
        <v>45</v>
      </c>
      <c r="E69" s="20">
        <f>10*E66</f>
        <v>6.7441860465116292</v>
      </c>
      <c r="F69" s="20">
        <f t="shared" ref="F69:N69" si="33">10*F66</f>
        <v>5.2280511988462228</v>
      </c>
      <c r="G69" s="20">
        <f t="shared" si="33"/>
        <v>4.0527528673226527</v>
      </c>
      <c r="H69" s="20">
        <f t="shared" si="33"/>
        <v>3.1416688893974074</v>
      </c>
      <c r="I69" s="20">
        <f t="shared" si="33"/>
        <v>2.4354022398429489</v>
      </c>
      <c r="J69" s="20">
        <f t="shared" si="33"/>
        <v>1.8879087130565508</v>
      </c>
      <c r="K69" s="20">
        <f t="shared" si="33"/>
        <v>1.4634951264004281</v>
      </c>
      <c r="L69" s="20">
        <f t="shared" si="33"/>
        <v>1.1344923460468403</v>
      </c>
      <c r="M69" s="20">
        <f t="shared" si="33"/>
        <v>0.87945143104406598</v>
      </c>
      <c r="N69" s="20">
        <f t="shared" si="33"/>
        <v>0.68174529538299389</v>
      </c>
    </row>
    <row r="70" spans="2:14" ht="14.25" x14ac:dyDescent="0.45">
      <c r="B70" s="167"/>
      <c r="C70" s="167"/>
      <c r="D70" s="19" t="s">
        <v>46</v>
      </c>
      <c r="E70" s="20">
        <f>10*E68</f>
        <v>6.7441860465116292</v>
      </c>
      <c r="F70" s="20">
        <f>10*F68</f>
        <v>11.972237245357851</v>
      </c>
      <c r="G70" s="20">
        <f>10*G68</f>
        <v>16.024990112680506</v>
      </c>
      <c r="H70" s="20">
        <f t="shared" ref="H70:N70" si="34">10*H68</f>
        <v>19.16665900207791</v>
      </c>
      <c r="I70" s="20">
        <f t="shared" si="34"/>
        <v>21.602061241920861</v>
      </c>
      <c r="J70" s="20">
        <f t="shared" si="34"/>
        <v>23.489969954977411</v>
      </c>
      <c r="K70" s="20">
        <f t="shared" si="34"/>
        <v>24.953465081377839</v>
      </c>
      <c r="L70" s="20">
        <f t="shared" si="34"/>
        <v>26.087957427424683</v>
      </c>
      <c r="M70" s="20">
        <f t="shared" si="34"/>
        <v>26.967408858468747</v>
      </c>
      <c r="N70" s="20">
        <f t="shared" si="34"/>
        <v>27.64915415385174</v>
      </c>
    </row>
    <row r="71" spans="2:14" ht="14.25" x14ac:dyDescent="0.45">
      <c r="B71" s="167"/>
      <c r="C71" s="165" t="s">
        <v>36</v>
      </c>
      <c r="D71" s="15" t="s">
        <v>43</v>
      </c>
      <c r="E71" s="16">
        <f t="shared" ref="E71:N71" si="35">E66*E$15/$E$4</f>
        <v>0.87000000000000011</v>
      </c>
      <c r="F71" s="16">
        <f t="shared" si="35"/>
        <v>0.87</v>
      </c>
      <c r="G71" s="16">
        <f t="shared" si="35"/>
        <v>0.86999999999999966</v>
      </c>
      <c r="H71" s="16">
        <f t="shared" si="35"/>
        <v>0.87000000000000044</v>
      </c>
      <c r="I71" s="16">
        <f t="shared" si="35"/>
        <v>0.86999999999999922</v>
      </c>
      <c r="J71" s="16">
        <f t="shared" si="35"/>
        <v>0.86999999999999988</v>
      </c>
      <c r="K71" s="16">
        <f t="shared" si="35"/>
        <v>0.87000000000000055</v>
      </c>
      <c r="L71" s="16">
        <f t="shared" si="35"/>
        <v>0.86999999999999811</v>
      </c>
      <c r="M71" s="16">
        <f t="shared" si="35"/>
        <v>0.87000000000000177</v>
      </c>
      <c r="N71" s="16">
        <f t="shared" si="35"/>
        <v>0.869999999999998</v>
      </c>
    </row>
    <row r="72" spans="2:14" ht="14.25" customHeight="1" x14ac:dyDescent="0.45">
      <c r="B72" s="167"/>
      <c r="C72" s="167"/>
      <c r="D72" s="19" t="s">
        <v>45</v>
      </c>
      <c r="E72" s="21">
        <f t="shared" ref="E72:N72" si="36">E69*E$15</f>
        <v>870000.00000000012</v>
      </c>
      <c r="F72" s="21">
        <f t="shared" si="36"/>
        <v>869999.99999999988</v>
      </c>
      <c r="G72" s="21">
        <f>G69*G$15</f>
        <v>869999.99999999977</v>
      </c>
      <c r="H72" s="21">
        <f>H69*H$15</f>
        <v>870000.00000000035</v>
      </c>
      <c r="I72" s="21">
        <f>I69*I$15</f>
        <v>869999.99999999942</v>
      </c>
      <c r="J72" s="21">
        <f t="shared" si="36"/>
        <v>869999.99999999988</v>
      </c>
      <c r="K72" s="21">
        <f t="shared" si="36"/>
        <v>870000.00000000058</v>
      </c>
      <c r="L72" s="21">
        <f t="shared" si="36"/>
        <v>869999.99999999814</v>
      </c>
      <c r="M72" s="21">
        <f t="shared" si="36"/>
        <v>870000.00000000175</v>
      </c>
      <c r="N72" s="21">
        <f t="shared" si="36"/>
        <v>869999.9999999979</v>
      </c>
    </row>
    <row r="73" spans="2:14" ht="14.25" x14ac:dyDescent="0.45">
      <c r="B73" s="167"/>
      <c r="C73" s="167"/>
      <c r="D73" s="19" t="s">
        <v>46</v>
      </c>
      <c r="E73" s="21">
        <f>E72</f>
        <v>870000.00000000012</v>
      </c>
      <c r="F73" s="21">
        <f>E73+F72</f>
        <v>1740000</v>
      </c>
      <c r="G73" s="21">
        <f>F73+G72</f>
        <v>2610000</v>
      </c>
      <c r="H73" s="21">
        <f t="shared" ref="H73:N73" si="37">G73+H72</f>
        <v>3480000.0000000005</v>
      </c>
      <c r="I73" s="21">
        <f t="shared" si="37"/>
        <v>4350000</v>
      </c>
      <c r="J73" s="21">
        <f>I73+J72</f>
        <v>5220000</v>
      </c>
      <c r="K73" s="21">
        <f t="shared" si="37"/>
        <v>6090000.0000000009</v>
      </c>
      <c r="L73" s="21">
        <f t="shared" si="37"/>
        <v>6959999.9999999991</v>
      </c>
      <c r="M73" s="21">
        <f t="shared" si="37"/>
        <v>7830000.0000000009</v>
      </c>
      <c r="N73" s="21">
        <f t="shared" si="37"/>
        <v>8699999.9999999981</v>
      </c>
    </row>
    <row r="74" spans="2:14" ht="14.25" x14ac:dyDescent="0.45">
      <c r="B74" s="167"/>
      <c r="C74" s="165" t="s">
        <v>35</v>
      </c>
      <c r="D74" s="15" t="s">
        <v>43</v>
      </c>
      <c r="E74" s="16">
        <f>E68*E$15/$E$4</f>
        <v>0.87000000000000011</v>
      </c>
      <c r="F74" s="16">
        <f>F68*F$15/$E$4-E74</f>
        <v>1.1222999999999999</v>
      </c>
      <c r="G74" s="16">
        <f>G68*G$15/$E$4-F74-E74</f>
        <v>1.4477669999999998</v>
      </c>
      <c r="H74" s="16">
        <f>H68*H$15/$E$4-G74-F74-E74</f>
        <v>1.8676194299999995</v>
      </c>
      <c r="I74" s="16">
        <f>I68*I$15/$E$4-H74-G74-F74-E74</f>
        <v>2.409229064699999</v>
      </c>
      <c r="J74" s="16">
        <f>J68*J$15/$E$4-I74-H74-G74-F74-E74</f>
        <v>3.1079054934629982</v>
      </c>
      <c r="K74" s="16">
        <f>K68*K$15/$E$4-J74-I74-H74-G74-F74-E74</f>
        <v>4.0091980865672712</v>
      </c>
      <c r="L74" s="16">
        <f>L68*L$15/$E$4-K74-J74-I74-H74-G74-F74-E74</f>
        <v>5.1718655316717781</v>
      </c>
      <c r="M74" s="16">
        <f>M68*M$15/$E$4-L74-K74-J74-I74-H74-G74-F74-E74</f>
        <v>6.6717065358565932</v>
      </c>
      <c r="N74" s="16">
        <f>N68*N$15/$E$4-M74-L74-K74-J74-I74-H74-G74-F74-E74</f>
        <v>8.6065014312550012</v>
      </c>
    </row>
    <row r="75" spans="2:14" ht="14.25" x14ac:dyDescent="0.45">
      <c r="B75" s="167"/>
      <c r="C75" s="166"/>
      <c r="D75" s="15" t="s">
        <v>44</v>
      </c>
      <c r="E75" s="17"/>
      <c r="F75" s="17"/>
      <c r="G75" s="17"/>
      <c r="H75" s="17"/>
      <c r="I75" s="17">
        <f>AVERAGE(E74:I74)</f>
        <v>1.5433830989399997</v>
      </c>
      <c r="J75" s="17"/>
      <c r="K75" s="17"/>
      <c r="L75" s="17"/>
      <c r="M75" s="17"/>
      <c r="N75" s="17">
        <f>AVERAGE(E74:N74)</f>
        <v>3.5284092573513641</v>
      </c>
    </row>
    <row r="76" spans="2:14" ht="14.25" x14ac:dyDescent="0.45">
      <c r="B76" s="167"/>
      <c r="C76" s="167"/>
      <c r="D76" s="19" t="s">
        <v>45</v>
      </c>
      <c r="E76" s="22">
        <f>E78</f>
        <v>870000.00000000012</v>
      </c>
      <c r="F76" s="22">
        <f>F78-E78</f>
        <v>1122300</v>
      </c>
      <c r="G76" s="22">
        <f>G78-F78</f>
        <v>1447767</v>
      </c>
      <c r="H76" s="22">
        <f t="shared" ref="H76:N76" si="38">H78-G78</f>
        <v>1867619.4299999997</v>
      </c>
      <c r="I76" s="22">
        <f t="shared" si="38"/>
        <v>2409229.0646999991</v>
      </c>
      <c r="J76" s="22">
        <f>J78-I78</f>
        <v>3107905.4934629994</v>
      </c>
      <c r="K76" s="22">
        <f t="shared" si="38"/>
        <v>4009198.0865672696</v>
      </c>
      <c r="L76" s="22">
        <f t="shared" si="38"/>
        <v>5171865.5316717792</v>
      </c>
      <c r="M76" s="22">
        <f t="shared" si="38"/>
        <v>6671706.5358565897</v>
      </c>
      <c r="N76" s="22">
        <f t="shared" si="38"/>
        <v>8606501.4312549978</v>
      </c>
    </row>
    <row r="77" spans="2:14" ht="14.25" x14ac:dyDescent="0.45">
      <c r="B77" s="167"/>
      <c r="C77" s="167"/>
      <c r="D77" s="19" t="s">
        <v>47</v>
      </c>
      <c r="E77" s="22"/>
      <c r="F77" s="22"/>
      <c r="G77" s="22"/>
      <c r="H77" s="22"/>
      <c r="I77" s="22">
        <f>AVERAGE(E76:I76)</f>
        <v>1543383.0989399997</v>
      </c>
      <c r="J77" s="22"/>
      <c r="K77" s="22"/>
      <c r="L77" s="22"/>
      <c r="M77" s="22"/>
      <c r="N77" s="22">
        <f>AVERAGE(E76:N76)</f>
        <v>3528409.2573513635</v>
      </c>
    </row>
    <row r="78" spans="2:14" ht="14.25" x14ac:dyDescent="0.45">
      <c r="B78" s="167"/>
      <c r="C78" s="167"/>
      <c r="D78" s="19" t="s">
        <v>46</v>
      </c>
      <c r="E78" s="21">
        <f t="shared" ref="E78:N78" si="39">E70*E$15</f>
        <v>870000.00000000012</v>
      </c>
      <c r="F78" s="21">
        <f t="shared" si="39"/>
        <v>1992300</v>
      </c>
      <c r="G78" s="21">
        <f>G70*G$15</f>
        <v>3440067</v>
      </c>
      <c r="H78" s="21">
        <f>H70*H$15</f>
        <v>5307686.43</v>
      </c>
      <c r="I78" s="21">
        <f>I70*I$15</f>
        <v>7716915.4946999988</v>
      </c>
      <c r="J78" s="21">
        <f t="shared" si="39"/>
        <v>10824820.988162998</v>
      </c>
      <c r="K78" s="21">
        <f t="shared" si="39"/>
        <v>14834019.074730268</v>
      </c>
      <c r="L78" s="21">
        <f t="shared" si="39"/>
        <v>20005884.606402047</v>
      </c>
      <c r="M78" s="21">
        <f t="shared" si="39"/>
        <v>26677591.142258637</v>
      </c>
      <c r="N78" s="21">
        <f t="shared" si="39"/>
        <v>35284092.573513635</v>
      </c>
    </row>
    <row r="79" spans="2:14" ht="14.25" x14ac:dyDescent="0.45">
      <c r="B79" s="167" t="s">
        <v>141</v>
      </c>
      <c r="C79" s="166" t="s">
        <v>32</v>
      </c>
      <c r="D79" s="15" t="s">
        <v>43</v>
      </c>
      <c r="E79" s="16">
        <f>E$25</f>
        <v>7.5503875968992246E-2</v>
      </c>
      <c r="F79" s="16">
        <f t="shared" ref="F79:N79" si="40">F$25</f>
        <v>7.2018508503094769E-2</v>
      </c>
      <c r="G79" s="16">
        <f t="shared" si="40"/>
        <v>6.9316673258213002E-2</v>
      </c>
      <c r="H79" s="16">
        <f t="shared" si="40"/>
        <v>6.7222227331948062E-2</v>
      </c>
      <c r="I79" s="16">
        <f t="shared" si="40"/>
        <v>6.5598625838719421E-2</v>
      </c>
      <c r="J79" s="16">
        <f t="shared" si="40"/>
        <v>6.4340020030015058E-2</v>
      </c>
      <c r="K79" s="16">
        <f t="shared" si="40"/>
        <v>6.3364356612414768E-2</v>
      </c>
      <c r="L79" s="16">
        <f t="shared" si="40"/>
        <v>6.2608028381716876E-2</v>
      </c>
      <c r="M79" s="16">
        <f t="shared" si="40"/>
        <v>6.2021727427687502E-2</v>
      </c>
      <c r="N79" s="16">
        <f t="shared" si="40"/>
        <v>6.1567230564098838E-2</v>
      </c>
    </row>
    <row r="80" spans="2:14" ht="14.25" x14ac:dyDescent="0.45">
      <c r="B80" s="167"/>
      <c r="C80" s="166"/>
      <c r="D80" s="15" t="s">
        <v>44</v>
      </c>
      <c r="E80" s="16"/>
      <c r="F80" s="16"/>
      <c r="G80" s="16"/>
      <c r="H80" s="16"/>
      <c r="I80" s="82">
        <f>AVERAGE(E79:I79)</f>
        <v>6.9931982180193503E-2</v>
      </c>
      <c r="J80" s="17"/>
      <c r="K80" s="17"/>
      <c r="L80" s="17"/>
      <c r="M80" s="17"/>
      <c r="N80" s="17">
        <f>AVERAGE(E79:N79)</f>
        <v>6.6356127391690056E-2</v>
      </c>
    </row>
    <row r="81" spans="2:14" ht="14.25" x14ac:dyDescent="0.45">
      <c r="B81" s="167"/>
      <c r="C81" s="166"/>
      <c r="D81" s="15" t="s">
        <v>42</v>
      </c>
      <c r="E81" s="16">
        <f>E$27</f>
        <v>7.5503875968992246E-2</v>
      </c>
      <c r="F81" s="16">
        <f t="shared" ref="F81:N81" si="41">F$27</f>
        <v>0.14752238447208701</v>
      </c>
      <c r="G81" s="16">
        <f t="shared" si="41"/>
        <v>0.21683905773030002</v>
      </c>
      <c r="H81" s="16">
        <f t="shared" si="41"/>
        <v>0.28406128506224809</v>
      </c>
      <c r="I81" s="16">
        <f t="shared" si="41"/>
        <v>0.34965991090096749</v>
      </c>
      <c r="J81" s="16">
        <f t="shared" si="41"/>
        <v>0.41399993093098253</v>
      </c>
      <c r="K81" s="16">
        <f t="shared" si="41"/>
        <v>0.47736428754339733</v>
      </c>
      <c r="L81" s="16">
        <f t="shared" si="41"/>
        <v>0.53997231592511419</v>
      </c>
      <c r="M81" s="16">
        <f t="shared" si="41"/>
        <v>0.60199404335280171</v>
      </c>
      <c r="N81" s="16">
        <f t="shared" si="41"/>
        <v>0.66356127391690056</v>
      </c>
    </row>
    <row r="82" spans="2:14" ht="14.25" customHeight="1" x14ac:dyDescent="0.45">
      <c r="B82" s="167"/>
      <c r="C82" s="167"/>
      <c r="D82" s="19" t="s">
        <v>45</v>
      </c>
      <c r="E82" s="20">
        <f t="shared" ref="E82:N82" si="42">10*E79</f>
        <v>0.7550387596899224</v>
      </c>
      <c r="F82" s="20">
        <f t="shared" si="42"/>
        <v>0.72018508503094769</v>
      </c>
      <c r="G82" s="20">
        <f t="shared" si="42"/>
        <v>0.69316673258213002</v>
      </c>
      <c r="H82" s="20">
        <f t="shared" si="42"/>
        <v>0.67222227331948059</v>
      </c>
      <c r="I82" s="20">
        <f t="shared" si="42"/>
        <v>0.65598625838719427</v>
      </c>
      <c r="J82" s="20">
        <f t="shared" si="42"/>
        <v>0.64340020030015055</v>
      </c>
      <c r="K82" s="20">
        <f t="shared" si="42"/>
        <v>0.63364356612414774</v>
      </c>
      <c r="L82" s="20">
        <f t="shared" si="42"/>
        <v>0.62608028381716874</v>
      </c>
      <c r="M82" s="20">
        <f t="shared" si="42"/>
        <v>0.62021727427687501</v>
      </c>
      <c r="N82" s="20">
        <f t="shared" si="42"/>
        <v>0.6156723056409884</v>
      </c>
    </row>
    <row r="83" spans="2:14" ht="14.25" x14ac:dyDescent="0.45">
      <c r="B83" s="167"/>
      <c r="C83" s="167"/>
      <c r="D83" s="19" t="s">
        <v>46</v>
      </c>
      <c r="E83" s="20">
        <f>10*E81</f>
        <v>0.7550387596899224</v>
      </c>
      <c r="F83" s="20">
        <f t="shared" ref="F83:N83" si="43">10*F81</f>
        <v>1.4752238447208701</v>
      </c>
      <c r="G83" s="20">
        <f t="shared" si="43"/>
        <v>2.1683905773030001</v>
      </c>
      <c r="H83" s="20">
        <f t="shared" si="43"/>
        <v>2.840612850622481</v>
      </c>
      <c r="I83" s="20">
        <f t="shared" si="43"/>
        <v>3.4965991090096749</v>
      </c>
      <c r="J83" s="20">
        <f t="shared" si="43"/>
        <v>4.1399993093098253</v>
      </c>
      <c r="K83" s="20">
        <f t="shared" si="43"/>
        <v>4.773642875433973</v>
      </c>
      <c r="L83" s="20">
        <f t="shared" si="43"/>
        <v>5.3997231592511419</v>
      </c>
      <c r="M83" s="20">
        <f t="shared" si="43"/>
        <v>6.0199404335280171</v>
      </c>
      <c r="N83" s="20">
        <f t="shared" si="43"/>
        <v>6.6356127391690052</v>
      </c>
    </row>
    <row r="84" spans="2:14" ht="14.25" x14ac:dyDescent="0.45">
      <c r="B84" s="167"/>
      <c r="C84" s="165" t="s">
        <v>36</v>
      </c>
      <c r="D84" s="15" t="s">
        <v>43</v>
      </c>
      <c r="E84" s="16">
        <f>E79*E$15/$E$4</f>
        <v>9.74E-2</v>
      </c>
      <c r="F84" s="16">
        <f t="shared" ref="F84:N84" si="44">F79*F$15/$E$4</f>
        <v>0.11984600000000001</v>
      </c>
      <c r="G84" s="16">
        <f t="shared" si="44"/>
        <v>0.14880134</v>
      </c>
      <c r="H84" s="16">
        <f t="shared" si="44"/>
        <v>0.18615372859999998</v>
      </c>
      <c r="I84" s="16">
        <f t="shared" si="44"/>
        <v>0.23433830989399995</v>
      </c>
      <c r="J84" s="16">
        <f t="shared" si="44"/>
        <v>0.29649641976325997</v>
      </c>
      <c r="K84" s="16">
        <f t="shared" si="44"/>
        <v>0.37668038149460531</v>
      </c>
      <c r="L84" s="16">
        <f t="shared" si="44"/>
        <v>0.4801176921280409</v>
      </c>
      <c r="M84" s="16">
        <f t="shared" si="44"/>
        <v>0.61355182284517262</v>
      </c>
      <c r="N84" s="16">
        <f t="shared" si="44"/>
        <v>0.7856818514702727</v>
      </c>
    </row>
    <row r="85" spans="2:14" ht="14.25" x14ac:dyDescent="0.45">
      <c r="B85" s="167"/>
      <c r="C85" s="166"/>
      <c r="D85" s="15" t="s">
        <v>44</v>
      </c>
      <c r="E85" s="16"/>
      <c r="F85" s="16"/>
      <c r="G85" s="16"/>
      <c r="H85" s="16"/>
      <c r="I85" s="17">
        <f>AVERAGE(E84:I84)</f>
        <v>0.15730787569879998</v>
      </c>
      <c r="J85" s="17"/>
      <c r="K85" s="17"/>
      <c r="L85" s="17"/>
      <c r="M85" s="17"/>
      <c r="N85" s="17">
        <f>AVERAGE(E84:N84)</f>
        <v>0.33390675461953517</v>
      </c>
    </row>
    <row r="86" spans="2:14" ht="14.25" x14ac:dyDescent="0.45">
      <c r="B86" s="167"/>
      <c r="C86" s="167"/>
      <c r="D86" s="19" t="s">
        <v>45</v>
      </c>
      <c r="E86" s="23">
        <f t="shared" ref="E86:F86" si="45">E82*E$15</f>
        <v>97399.999999999985</v>
      </c>
      <c r="F86" s="23">
        <f t="shared" si="45"/>
        <v>119846</v>
      </c>
      <c r="G86" s="23">
        <f>G82*G$15</f>
        <v>148801.34</v>
      </c>
      <c r="H86" s="23">
        <f>H82*H$15</f>
        <v>186153.7286</v>
      </c>
      <c r="I86" s="23">
        <f>I82*I$15</f>
        <v>234338.30989399998</v>
      </c>
      <c r="J86" s="23">
        <f t="shared" ref="J86:N86" si="46">J82*J$15</f>
        <v>296496.41976325994</v>
      </c>
      <c r="K86" s="23">
        <f t="shared" si="46"/>
        <v>376680.38149460533</v>
      </c>
      <c r="L86" s="23">
        <f t="shared" si="46"/>
        <v>480117.69212804083</v>
      </c>
      <c r="M86" s="23">
        <f t="shared" si="46"/>
        <v>613551.82284517272</v>
      </c>
      <c r="N86" s="23">
        <f t="shared" si="46"/>
        <v>785681.85147027276</v>
      </c>
    </row>
    <row r="87" spans="2:14" ht="14.25" customHeight="1" x14ac:dyDescent="0.45">
      <c r="B87" s="167"/>
      <c r="C87" s="167"/>
      <c r="D87" s="19" t="s">
        <v>47</v>
      </c>
      <c r="E87" s="24"/>
      <c r="F87" s="24"/>
      <c r="G87" s="24"/>
      <c r="H87" s="24"/>
      <c r="I87" s="23">
        <f>AVERAGE(E86:I86)</f>
        <v>157307.8756988</v>
      </c>
      <c r="J87" s="23"/>
      <c r="K87" s="23"/>
      <c r="L87" s="23"/>
      <c r="M87" s="23"/>
      <c r="N87" s="23">
        <f>AVERAGE(E86:N86)</f>
        <v>333906.75461953518</v>
      </c>
    </row>
    <row r="88" spans="2:14" ht="14.25" x14ac:dyDescent="0.45">
      <c r="B88" s="167"/>
      <c r="C88" s="167"/>
      <c r="D88" s="19" t="s">
        <v>46</v>
      </c>
      <c r="E88" s="24">
        <f>E86</f>
        <v>97399.999999999985</v>
      </c>
      <c r="F88" s="24">
        <f t="shared" ref="F88" si="47">E88+F86</f>
        <v>217246</v>
      </c>
      <c r="G88" s="24">
        <f>F88+G86</f>
        <v>366047.33999999997</v>
      </c>
      <c r="H88" s="24">
        <f t="shared" ref="H88:I88" si="48">G88+H86</f>
        <v>552201.0686</v>
      </c>
      <c r="I88" s="24">
        <f t="shared" si="48"/>
        <v>786539.37849399995</v>
      </c>
      <c r="J88" s="24">
        <f>I88+J86</f>
        <v>1083035.7982572599</v>
      </c>
      <c r="K88" s="24">
        <f t="shared" ref="K88:N88" si="49">J88+K86</f>
        <v>1459716.1797518651</v>
      </c>
      <c r="L88" s="24">
        <f t="shared" si="49"/>
        <v>1939833.8718799059</v>
      </c>
      <c r="M88" s="24">
        <f t="shared" si="49"/>
        <v>2553385.6947250785</v>
      </c>
      <c r="N88" s="24">
        <f t="shared" si="49"/>
        <v>3339067.5461953515</v>
      </c>
    </row>
    <row r="89" spans="2:14" ht="14.25" x14ac:dyDescent="0.45">
      <c r="B89" s="167"/>
      <c r="C89" s="165" t="s">
        <v>35</v>
      </c>
      <c r="D89" s="15" t="s">
        <v>43</v>
      </c>
      <c r="E89" s="16">
        <f>E81*E$15/$E$4</f>
        <v>9.74E-2</v>
      </c>
      <c r="F89" s="16">
        <f>F81*F$15/$E$4-E89</f>
        <v>0.148092</v>
      </c>
      <c r="G89" s="16">
        <f>G81*G$15/$E$4-F89-E89</f>
        <v>0.21999402000000001</v>
      </c>
      <c r="H89" s="16">
        <f>H81*H$15/$E$4-G89-F89-E89</f>
        <v>0.32114467440000011</v>
      </c>
      <c r="I89" s="16">
        <f>I81*I$15/$E$4-H89-G89-F89-E89</f>
        <v>0.46246121126999967</v>
      </c>
      <c r="J89" s="16">
        <f>J81*J$15/$E$4-I89-H89-G89-F89-E89</f>
        <v>0.65873307240755963</v>
      </c>
      <c r="K89" s="16">
        <f>K81*K$15/$E$4-J89-I89-H89-G89-F89-E89</f>
        <v>0.92994962513709767</v>
      </c>
      <c r="L89" s="16">
        <f>L81*L$15/$E$4-K89-J89-I89-H89-G89-F89-E89</f>
        <v>1.3030723270602911</v>
      </c>
      <c r="M89" s="16">
        <f>M81*M$15/$E$4-L89-K89-J89-I89-H89-G89-F89-E89</f>
        <v>1.8143974326249079</v>
      </c>
      <c r="N89" s="16">
        <f>N81*N$15/$E$4-M89-L89-K89-J89-I89-H89-G89-F89-E89</f>
        <v>2.5127027167112321</v>
      </c>
    </row>
    <row r="90" spans="2:14" ht="14.25" x14ac:dyDescent="0.45">
      <c r="B90" s="167"/>
      <c r="C90" s="166"/>
      <c r="D90" s="15" t="s">
        <v>44</v>
      </c>
      <c r="E90" s="17"/>
      <c r="F90" s="17"/>
      <c r="G90" s="17"/>
      <c r="H90" s="17"/>
      <c r="I90" s="17">
        <f>AVERAGE(E89:I89)</f>
        <v>0.24981838113399996</v>
      </c>
      <c r="J90" s="17"/>
      <c r="K90" s="17"/>
      <c r="L90" s="17"/>
      <c r="M90" s="17"/>
      <c r="N90" s="17">
        <f>AVERAGE(E89:N89)</f>
        <v>0.84679470796110878</v>
      </c>
    </row>
    <row r="91" spans="2:14" ht="14.25" x14ac:dyDescent="0.45">
      <c r="B91" s="167"/>
      <c r="C91" s="167"/>
      <c r="D91" s="19" t="s">
        <v>45</v>
      </c>
      <c r="E91" s="23">
        <f>E93</f>
        <v>97399.999999999985</v>
      </c>
      <c r="F91" s="23">
        <f>F93-E93</f>
        <v>148092</v>
      </c>
      <c r="G91" s="23">
        <f>G93-F93</f>
        <v>219994.01999999996</v>
      </c>
      <c r="H91" s="23">
        <f>H93-G93</f>
        <v>321144.67440000008</v>
      </c>
      <c r="I91" s="23">
        <f>I93-H93</f>
        <v>462461.21126999974</v>
      </c>
      <c r="J91" s="23">
        <f>J93-I93</f>
        <v>658733.07240755972</v>
      </c>
      <c r="K91" s="23">
        <f t="shared" ref="K91:N91" si="50">K93-J93</f>
        <v>929949.62513709744</v>
      </c>
      <c r="L91" s="23">
        <f t="shared" si="50"/>
        <v>1303072.3270602915</v>
      </c>
      <c r="M91" s="23">
        <f t="shared" si="50"/>
        <v>1814397.4326249082</v>
      </c>
      <c r="N91" s="23">
        <f t="shared" si="50"/>
        <v>2512702.7167112306</v>
      </c>
    </row>
    <row r="92" spans="2:14" ht="14.25" x14ac:dyDescent="0.45">
      <c r="B92" s="167"/>
      <c r="C92" s="167"/>
      <c r="D92" s="19" t="s">
        <v>47</v>
      </c>
      <c r="E92" s="23"/>
      <c r="F92" s="23"/>
      <c r="G92" s="23"/>
      <c r="H92" s="23"/>
      <c r="I92" s="23">
        <f>AVERAGE(E91:I91)</f>
        <v>249818.38113399997</v>
      </c>
      <c r="J92" s="23"/>
      <c r="K92" s="23"/>
      <c r="L92" s="23"/>
      <c r="M92" s="23"/>
      <c r="N92" s="23">
        <f>AVERAGE(E91:N91)</f>
        <v>846794.70796110877</v>
      </c>
    </row>
    <row r="93" spans="2:14" ht="14.25" x14ac:dyDescent="0.45">
      <c r="B93" s="167"/>
      <c r="C93" s="167"/>
      <c r="D93" s="19" t="s">
        <v>46</v>
      </c>
      <c r="E93" s="24">
        <f t="shared" ref="E93:F93" si="51">E83*E$15</f>
        <v>97399.999999999985</v>
      </c>
      <c r="F93" s="24">
        <f t="shared" si="51"/>
        <v>245492</v>
      </c>
      <c r="G93" s="24">
        <f>G83*G$15</f>
        <v>465486.01999999996</v>
      </c>
      <c r="H93" s="24">
        <f>H83*H$15</f>
        <v>786630.69440000004</v>
      </c>
      <c r="I93" s="24">
        <f>I83*I$15</f>
        <v>1249091.9056699998</v>
      </c>
      <c r="J93" s="24">
        <f t="shared" ref="J93:N93" si="52">J83*J$15</f>
        <v>1907824.9780775595</v>
      </c>
      <c r="K93" s="24">
        <f t="shared" si="52"/>
        <v>2837774.6032146569</v>
      </c>
      <c r="L93" s="24">
        <f t="shared" si="52"/>
        <v>4140846.9302749485</v>
      </c>
      <c r="M93" s="24">
        <f t="shared" si="52"/>
        <v>5955244.3628998566</v>
      </c>
      <c r="N93" s="24">
        <f t="shared" si="52"/>
        <v>8467947.0796110872</v>
      </c>
    </row>
    <row r="94" spans="2:14" ht="14.25" x14ac:dyDescent="0.45">
      <c r="B94" s="167" t="s">
        <v>17</v>
      </c>
      <c r="C94" s="166" t="s">
        <v>32</v>
      </c>
      <c r="D94" s="15" t="s">
        <v>43</v>
      </c>
      <c r="E94" s="16">
        <f>E$28</f>
        <v>3.7751937984496123E-2</v>
      </c>
      <c r="F94" s="16">
        <f t="shared" ref="F94:N94" si="53">F$28</f>
        <v>3.6009254251547385E-2</v>
      </c>
      <c r="G94" s="16">
        <f t="shared" si="53"/>
        <v>3.4658336629106501E-2</v>
      </c>
      <c r="H94" s="16">
        <f t="shared" si="53"/>
        <v>3.3611113665974031E-2</v>
      </c>
      <c r="I94" s="16">
        <f t="shared" si="53"/>
        <v>3.279931291935971E-2</v>
      </c>
      <c r="J94" s="16">
        <f t="shared" si="53"/>
        <v>3.2170010015007529E-2</v>
      </c>
      <c r="K94" s="16">
        <f t="shared" si="53"/>
        <v>3.1682178306207384E-2</v>
      </c>
      <c r="L94" s="16">
        <f t="shared" si="53"/>
        <v>3.1304014190858438E-2</v>
      </c>
      <c r="M94" s="16">
        <f t="shared" si="53"/>
        <v>3.1010863713843751E-2</v>
      </c>
      <c r="N94" s="16">
        <f t="shared" si="53"/>
        <v>3.0783615282049419E-2</v>
      </c>
    </row>
    <row r="95" spans="2:14" ht="14.25" x14ac:dyDescent="0.45">
      <c r="B95" s="167"/>
      <c r="C95" s="166"/>
      <c r="D95" s="15" t="s">
        <v>44</v>
      </c>
      <c r="E95" s="16"/>
      <c r="F95" s="16"/>
      <c r="G95" s="16"/>
      <c r="H95" s="16"/>
      <c r="I95" s="82">
        <f>AVERAGE(E94:I94)</f>
        <v>3.4965991090096751E-2</v>
      </c>
      <c r="J95" s="17"/>
      <c r="K95" s="17"/>
      <c r="L95" s="17"/>
      <c r="M95" s="17"/>
      <c r="N95" s="17">
        <f>AVERAGE(E94:N94)</f>
        <v>3.3178063695845028E-2</v>
      </c>
    </row>
    <row r="96" spans="2:14" ht="14.25" x14ac:dyDescent="0.45">
      <c r="B96" s="167"/>
      <c r="C96" s="166"/>
      <c r="D96" s="15" t="s">
        <v>42</v>
      </c>
      <c r="E96" s="16">
        <f t="shared" ref="E96:N96" si="54">E$30</f>
        <v>3.7751937984496123E-2</v>
      </c>
      <c r="F96" s="16">
        <f t="shared" si="54"/>
        <v>7.3761192236043507E-2</v>
      </c>
      <c r="G96" s="16">
        <f t="shared" si="54"/>
        <v>0.10841952886515001</v>
      </c>
      <c r="H96" s="16">
        <f t="shared" si="54"/>
        <v>0.14203064253112405</v>
      </c>
      <c r="I96" s="16">
        <f t="shared" si="54"/>
        <v>0.17482995545048374</v>
      </c>
      <c r="J96" s="16">
        <f t="shared" si="54"/>
        <v>0.20699996546549126</v>
      </c>
      <c r="K96" s="16">
        <f t="shared" si="54"/>
        <v>0.23868214377169866</v>
      </c>
      <c r="L96" s="16">
        <f t="shared" si="54"/>
        <v>0.26998615796255709</v>
      </c>
      <c r="M96" s="16">
        <f t="shared" si="54"/>
        <v>0.30099702167640086</v>
      </c>
      <c r="N96" s="16">
        <f t="shared" si="54"/>
        <v>0.33178063695845028</v>
      </c>
    </row>
    <row r="97" spans="2:14" ht="14.25" customHeight="1" x14ac:dyDescent="0.45">
      <c r="B97" s="167"/>
      <c r="C97" s="167"/>
      <c r="D97" s="19" t="s">
        <v>45</v>
      </c>
      <c r="E97" s="20">
        <f t="shared" ref="E97:N97" si="55">10*E94</f>
        <v>0.3775193798449612</v>
      </c>
      <c r="F97" s="20">
        <f t="shared" si="55"/>
        <v>0.36009254251547385</v>
      </c>
      <c r="G97" s="20">
        <f t="shared" si="55"/>
        <v>0.34658336629106501</v>
      </c>
      <c r="H97" s="20">
        <f t="shared" si="55"/>
        <v>0.33611113665974029</v>
      </c>
      <c r="I97" s="20">
        <f t="shared" si="55"/>
        <v>0.32799312919359713</v>
      </c>
      <c r="J97" s="20">
        <f t="shared" si="55"/>
        <v>0.32170010015007527</v>
      </c>
      <c r="K97" s="20">
        <f t="shared" si="55"/>
        <v>0.31682178306207387</v>
      </c>
      <c r="L97" s="20">
        <f t="shared" si="55"/>
        <v>0.31304014190858437</v>
      </c>
      <c r="M97" s="20">
        <f t="shared" si="55"/>
        <v>0.3101086371384375</v>
      </c>
      <c r="N97" s="20">
        <f t="shared" si="55"/>
        <v>0.3078361528204942</v>
      </c>
    </row>
    <row r="98" spans="2:14" ht="14.25" x14ac:dyDescent="0.45">
      <c r="B98" s="167"/>
      <c r="C98" s="167"/>
      <c r="D98" s="19" t="s">
        <v>46</v>
      </c>
      <c r="E98" s="20">
        <f>10*E96</f>
        <v>0.3775193798449612</v>
      </c>
      <c r="F98" s="20">
        <f t="shared" ref="F98:N98" si="56">10*F96</f>
        <v>0.73761192236043505</v>
      </c>
      <c r="G98" s="20">
        <f t="shared" si="56"/>
        <v>1.0841952886515001</v>
      </c>
      <c r="H98" s="20">
        <f t="shared" si="56"/>
        <v>1.4203064253112405</v>
      </c>
      <c r="I98" s="20">
        <f t="shared" si="56"/>
        <v>1.7482995545048374</v>
      </c>
      <c r="J98" s="20">
        <f t="shared" si="56"/>
        <v>2.0699996546549126</v>
      </c>
      <c r="K98" s="20">
        <f t="shared" si="56"/>
        <v>2.3868214377169865</v>
      </c>
      <c r="L98" s="20">
        <f t="shared" si="56"/>
        <v>2.6998615796255709</v>
      </c>
      <c r="M98" s="20">
        <f t="shared" si="56"/>
        <v>3.0099702167640086</v>
      </c>
      <c r="N98" s="20">
        <f t="shared" si="56"/>
        <v>3.3178063695845026</v>
      </c>
    </row>
    <row r="99" spans="2:14" ht="14.25" x14ac:dyDescent="0.45">
      <c r="B99" s="167"/>
      <c r="C99" s="165" t="s">
        <v>36</v>
      </c>
      <c r="D99" s="15" t="s">
        <v>43</v>
      </c>
      <c r="E99" s="16">
        <f t="shared" ref="E99:N99" si="57">E94*E$15/$E$4</f>
        <v>4.87E-2</v>
      </c>
      <c r="F99" s="16">
        <f t="shared" si="57"/>
        <v>5.9923000000000004E-2</v>
      </c>
      <c r="G99" s="16">
        <f t="shared" si="57"/>
        <v>7.4400670000000002E-2</v>
      </c>
      <c r="H99" s="16">
        <f t="shared" si="57"/>
        <v>9.3076864299999992E-2</v>
      </c>
      <c r="I99" s="16">
        <f t="shared" si="57"/>
        <v>0.11716915494699998</v>
      </c>
      <c r="J99" s="16">
        <f t="shared" si="57"/>
        <v>0.14824820988162998</v>
      </c>
      <c r="K99" s="16">
        <f t="shared" si="57"/>
        <v>0.18834019074730265</v>
      </c>
      <c r="L99" s="16">
        <f t="shared" si="57"/>
        <v>0.24005884606402045</v>
      </c>
      <c r="M99" s="16">
        <f t="shared" si="57"/>
        <v>0.30677591142258631</v>
      </c>
      <c r="N99" s="16">
        <f t="shared" si="57"/>
        <v>0.39284092573513635</v>
      </c>
    </row>
    <row r="100" spans="2:14" ht="14.25" x14ac:dyDescent="0.45">
      <c r="B100" s="167"/>
      <c r="C100" s="166"/>
      <c r="D100" s="15" t="s">
        <v>44</v>
      </c>
      <c r="E100" s="16"/>
      <c r="F100" s="16"/>
      <c r="G100" s="16"/>
      <c r="H100" s="16"/>
      <c r="I100" s="17">
        <f>AVERAGE(E99:I99)</f>
        <v>7.8653937849399988E-2</v>
      </c>
      <c r="J100" s="17"/>
      <c r="K100" s="17"/>
      <c r="L100" s="17"/>
      <c r="M100" s="17"/>
      <c r="N100" s="17">
        <f>AVERAGE(E99:N99)</f>
        <v>0.16695337730976759</v>
      </c>
    </row>
    <row r="101" spans="2:14" ht="14.25" x14ac:dyDescent="0.45">
      <c r="B101" s="167"/>
      <c r="C101" s="167"/>
      <c r="D101" s="19" t="s">
        <v>45</v>
      </c>
      <c r="E101" s="23">
        <f t="shared" ref="E101:N101" si="58">E97*E$15</f>
        <v>48699.999999999993</v>
      </c>
      <c r="F101" s="23">
        <f t="shared" si="58"/>
        <v>59923</v>
      </c>
      <c r="G101" s="23">
        <f>G97*G$15</f>
        <v>74400.67</v>
      </c>
      <c r="H101" s="23">
        <f>H97*H$15</f>
        <v>93076.864300000001</v>
      </c>
      <c r="I101" s="23">
        <f>I97*I$15</f>
        <v>117169.15494699999</v>
      </c>
      <c r="J101" s="23">
        <f t="shared" si="58"/>
        <v>148248.20988162997</v>
      </c>
      <c r="K101" s="23">
        <f t="shared" si="58"/>
        <v>188340.19074730267</v>
      </c>
      <c r="L101" s="23">
        <f t="shared" si="58"/>
        <v>240058.84606402041</v>
      </c>
      <c r="M101" s="23">
        <f t="shared" si="58"/>
        <v>306775.91142258636</v>
      </c>
      <c r="N101" s="23">
        <f t="shared" si="58"/>
        <v>392840.92573513638</v>
      </c>
    </row>
    <row r="102" spans="2:14" ht="14.25" customHeight="1" x14ac:dyDescent="0.45">
      <c r="B102" s="167"/>
      <c r="C102" s="167"/>
      <c r="D102" s="19" t="s">
        <v>47</v>
      </c>
      <c r="E102" s="24"/>
      <c r="F102" s="24"/>
      <c r="G102" s="24"/>
      <c r="H102" s="24"/>
      <c r="I102" s="23">
        <f>AVERAGE(E101:I101)</f>
        <v>78653.937849399998</v>
      </c>
      <c r="J102" s="23"/>
      <c r="K102" s="23"/>
      <c r="L102" s="23"/>
      <c r="M102" s="23"/>
      <c r="N102" s="23">
        <f>AVERAGE(E101:N101)</f>
        <v>166953.37730976759</v>
      </c>
    </row>
    <row r="103" spans="2:14" ht="14.25" x14ac:dyDescent="0.45">
      <c r="B103" s="167"/>
      <c r="C103" s="167"/>
      <c r="D103" s="19" t="s">
        <v>46</v>
      </c>
      <c r="E103" s="24">
        <f>E101</f>
        <v>48699.999999999993</v>
      </c>
      <c r="F103" s="24">
        <f t="shared" ref="F103:N103" si="59">E103+F101</f>
        <v>108623</v>
      </c>
      <c r="G103" s="24">
        <f>F103+G101</f>
        <v>183023.66999999998</v>
      </c>
      <c r="H103" s="24">
        <f t="shared" si="59"/>
        <v>276100.5343</v>
      </c>
      <c r="I103" s="24">
        <f t="shared" si="59"/>
        <v>393269.68924699997</v>
      </c>
      <c r="J103" s="24">
        <f>I103+J101</f>
        <v>541517.89912862994</v>
      </c>
      <c r="K103" s="24">
        <f t="shared" si="59"/>
        <v>729858.08987593255</v>
      </c>
      <c r="L103" s="24">
        <f t="shared" si="59"/>
        <v>969916.93593995296</v>
      </c>
      <c r="M103" s="24">
        <f t="shared" si="59"/>
        <v>1276692.8473625393</v>
      </c>
      <c r="N103" s="24">
        <f t="shared" si="59"/>
        <v>1669533.7730976758</v>
      </c>
    </row>
    <row r="104" spans="2:14" ht="14.25" x14ac:dyDescent="0.45">
      <c r="B104" s="167"/>
      <c r="C104" s="165" t="s">
        <v>35</v>
      </c>
      <c r="D104" s="15" t="s">
        <v>43</v>
      </c>
      <c r="E104" s="16">
        <f>E96*E$15/$E$4</f>
        <v>4.87E-2</v>
      </c>
      <c r="F104" s="16">
        <f>F96*F$15/$E$4-E104</f>
        <v>7.4046000000000001E-2</v>
      </c>
      <c r="G104" s="16">
        <f>G96*G$15/$E$4-F104-E104</f>
        <v>0.10999701000000001</v>
      </c>
      <c r="H104" s="16">
        <f>H96*H$15/$E$4-G104-F104-E104</f>
        <v>0.16057233720000005</v>
      </c>
      <c r="I104" s="16">
        <f>I96*I$15/$E$4-H104-G104-F104-E104</f>
        <v>0.23123060563499984</v>
      </c>
      <c r="J104" s="16">
        <f>J96*J$15/$E$4-I104-H104-G104-F104-E104</f>
        <v>0.32936653620377981</v>
      </c>
      <c r="K104" s="16">
        <f>K96*K$15/$E$4-J104-I104-H104-G104-F104-E104</f>
        <v>0.46497481256854883</v>
      </c>
      <c r="L104" s="16">
        <f>L96*L$15/$E$4-K104-J104-I104-H104-G104-F104-E104</f>
        <v>0.65153616353014554</v>
      </c>
      <c r="M104" s="16">
        <f>M96*M$15/$E$4-L104-K104-J104-I104-H104-G104-F104-E104</f>
        <v>0.90719871631245397</v>
      </c>
      <c r="N104" s="16">
        <f>N96*N$15/$E$4-M104-L104-K104-J104-I104-H104-G104-F104-E104</f>
        <v>1.2563513583556161</v>
      </c>
    </row>
    <row r="105" spans="2:14" ht="14.25" x14ac:dyDescent="0.45">
      <c r="B105" s="167"/>
      <c r="C105" s="166"/>
      <c r="D105" s="15" t="s">
        <v>44</v>
      </c>
      <c r="E105" s="17"/>
      <c r="F105" s="17"/>
      <c r="G105" s="17"/>
      <c r="H105" s="17"/>
      <c r="I105" s="17">
        <f>AVERAGE(E104:I104)</f>
        <v>0.12490919056699998</v>
      </c>
      <c r="J105" s="17"/>
      <c r="K105" s="17"/>
      <c r="L105" s="17"/>
      <c r="M105" s="17"/>
      <c r="N105" s="17">
        <f>AVERAGE(E104:N104)</f>
        <v>0.42339735398055439</v>
      </c>
    </row>
    <row r="106" spans="2:14" ht="14.25" x14ac:dyDescent="0.45">
      <c r="B106" s="167"/>
      <c r="C106" s="167"/>
      <c r="D106" s="19" t="s">
        <v>45</v>
      </c>
      <c r="E106" s="23">
        <f>E108</f>
        <v>48699.999999999993</v>
      </c>
      <c r="F106" s="23">
        <f>F108-E108</f>
        <v>74046</v>
      </c>
      <c r="G106" s="23">
        <f>G108-F108</f>
        <v>109997.00999999998</v>
      </c>
      <c r="H106" s="23">
        <f>H108-G108</f>
        <v>160572.33720000004</v>
      </c>
      <c r="I106" s="23">
        <f>I108-H108</f>
        <v>231230.60563499987</v>
      </c>
      <c r="J106" s="23">
        <f>J108-I108</f>
        <v>329366.53620377986</v>
      </c>
      <c r="K106" s="23">
        <f t="shared" ref="K106:N106" si="60">K108-J108</f>
        <v>464974.81256854872</v>
      </c>
      <c r="L106" s="23">
        <f t="shared" si="60"/>
        <v>651536.16353014577</v>
      </c>
      <c r="M106" s="23">
        <f t="shared" si="60"/>
        <v>907198.71631245408</v>
      </c>
      <c r="N106" s="23">
        <f t="shared" si="60"/>
        <v>1256351.3583556153</v>
      </c>
    </row>
    <row r="107" spans="2:14" ht="15" customHeight="1" x14ac:dyDescent="0.45">
      <c r="B107" s="167"/>
      <c r="C107" s="167"/>
      <c r="D107" s="19" t="s">
        <v>47</v>
      </c>
      <c r="E107" s="23"/>
      <c r="F107" s="23"/>
      <c r="G107" s="23"/>
      <c r="H107" s="23"/>
      <c r="I107" s="23">
        <f>AVERAGE(E106:I106)</f>
        <v>124909.19056699998</v>
      </c>
      <c r="J107" s="23"/>
      <c r="K107" s="23"/>
      <c r="L107" s="23"/>
      <c r="M107" s="23"/>
      <c r="N107" s="23">
        <f>AVERAGE(E106:N106)</f>
        <v>423397.35398055438</v>
      </c>
    </row>
    <row r="108" spans="2:14" ht="14.25" x14ac:dyDescent="0.45">
      <c r="B108" s="167"/>
      <c r="C108" s="167"/>
      <c r="D108" s="19" t="s">
        <v>46</v>
      </c>
      <c r="E108" s="24">
        <f t="shared" ref="E108:N108" si="61">E98*E$15</f>
        <v>48699.999999999993</v>
      </c>
      <c r="F108" s="24">
        <f t="shared" si="61"/>
        <v>122746</v>
      </c>
      <c r="G108" s="24">
        <f>G98*G$15</f>
        <v>232743.00999999998</v>
      </c>
      <c r="H108" s="24">
        <f>H98*H$15</f>
        <v>393315.34720000002</v>
      </c>
      <c r="I108" s="24">
        <f>I98*I$15</f>
        <v>624545.95283499989</v>
      </c>
      <c r="J108" s="24">
        <f t="shared" si="61"/>
        <v>953912.48903877975</v>
      </c>
      <c r="K108" s="24">
        <f t="shared" si="61"/>
        <v>1418887.3016073285</v>
      </c>
      <c r="L108" s="24">
        <f t="shared" si="61"/>
        <v>2070423.4651374742</v>
      </c>
      <c r="M108" s="24">
        <f t="shared" si="61"/>
        <v>2977622.1814499283</v>
      </c>
      <c r="N108" s="24">
        <f t="shared" si="61"/>
        <v>4233973.5398055436</v>
      </c>
    </row>
    <row r="109" spans="2:14" ht="14.25" x14ac:dyDescent="0.45">
      <c r="B109" s="167" t="s">
        <v>18</v>
      </c>
      <c r="C109" s="166" t="s">
        <v>32</v>
      </c>
      <c r="D109" s="15" t="s">
        <v>43</v>
      </c>
      <c r="E109" s="16">
        <f>E66+E79+E94-E34-E50</f>
        <v>0.55511627906976746</v>
      </c>
      <c r="F109" s="16">
        <f t="shared" ref="F109:N109" si="62">F66+F79+F94-F34-F50</f>
        <v>0.45055525509284294</v>
      </c>
      <c r="G109" s="16">
        <f t="shared" si="62"/>
        <v>0.36950019774638981</v>
      </c>
      <c r="H109" s="16">
        <f t="shared" si="62"/>
        <v>0.30666681995844192</v>
      </c>
      <c r="I109" s="16">
        <f t="shared" si="62"/>
        <v>0.25795877516158261</v>
      </c>
      <c r="J109" s="16">
        <f t="shared" si="62"/>
        <v>0.22020060090045177</v>
      </c>
      <c r="K109" s="16">
        <f t="shared" si="62"/>
        <v>0.19093069837244331</v>
      </c>
      <c r="L109" s="16">
        <f t="shared" si="62"/>
        <v>0.16824085145150613</v>
      </c>
      <c r="M109" s="16">
        <f t="shared" si="62"/>
        <v>0.15065182283062531</v>
      </c>
      <c r="N109" s="16">
        <f t="shared" si="62"/>
        <v>0.13701691692296505</v>
      </c>
    </row>
    <row r="110" spans="2:14" ht="14.25" x14ac:dyDescent="0.45">
      <c r="B110" s="167"/>
      <c r="C110" s="166"/>
      <c r="D110" s="15" t="s">
        <v>44</v>
      </c>
      <c r="E110" s="16"/>
      <c r="F110" s="16"/>
      <c r="G110" s="16"/>
      <c r="H110" s="16"/>
      <c r="I110" s="38">
        <f>AVERAGE(E109:I109)</f>
        <v>0.38795946540580495</v>
      </c>
      <c r="J110" s="16"/>
      <c r="K110" s="16"/>
      <c r="L110" s="16"/>
      <c r="M110" s="16"/>
      <c r="N110" s="17">
        <f>AVERAGE(E109:N109)</f>
        <v>0.28068382175070161</v>
      </c>
    </row>
    <row r="111" spans="2:14" ht="14.25" x14ac:dyDescent="0.45">
      <c r="B111" s="167"/>
      <c r="C111" s="166"/>
      <c r="D111" s="15" t="s">
        <v>42</v>
      </c>
      <c r="E111" s="16">
        <f>E68+E81+E96-E36-E52</f>
        <v>0.55511627906976746</v>
      </c>
      <c r="F111" s="16">
        <f t="shared" ref="F111:N111" si="63">F68+F81+F96-F36-F52</f>
        <v>1.0056715341626103</v>
      </c>
      <c r="G111" s="16">
        <f t="shared" si="63"/>
        <v>1.375171731909</v>
      </c>
      <c r="H111" s="16">
        <f t="shared" si="63"/>
        <v>1.6818385518674421</v>
      </c>
      <c r="I111" s="16">
        <f t="shared" si="63"/>
        <v>1.9397973270290243</v>
      </c>
      <c r="J111" s="16">
        <f t="shared" si="63"/>
        <v>2.1599979279294765</v>
      </c>
      <c r="K111" s="16">
        <f t="shared" si="63"/>
        <v>2.3509286263019207</v>
      </c>
      <c r="L111" s="16">
        <f t="shared" si="63"/>
        <v>2.5191694777534246</v>
      </c>
      <c r="M111" s="16">
        <f t="shared" si="63"/>
        <v>2.6698213005840534</v>
      </c>
      <c r="N111" s="16">
        <f t="shared" si="63"/>
        <v>2.8068382175070146</v>
      </c>
    </row>
    <row r="112" spans="2:14" ht="14.25" x14ac:dyDescent="0.45">
      <c r="B112" s="167"/>
      <c r="C112" s="167"/>
      <c r="D112" s="19" t="s">
        <v>45</v>
      </c>
      <c r="E112" s="20">
        <f>10*E109</f>
        <v>5.5511627906976742</v>
      </c>
      <c r="F112" s="20">
        <f t="shared" ref="F112:N112" si="64">10*F109</f>
        <v>4.5055525509284298</v>
      </c>
      <c r="G112" s="20">
        <f t="shared" si="64"/>
        <v>3.6950019774638982</v>
      </c>
      <c r="H112" s="20">
        <f t="shared" si="64"/>
        <v>3.0666681995844192</v>
      </c>
      <c r="I112" s="20">
        <f t="shared" si="64"/>
        <v>2.5795877516158261</v>
      </c>
      <c r="J112" s="20">
        <f t="shared" si="64"/>
        <v>2.2020060090045175</v>
      </c>
      <c r="K112" s="20">
        <f t="shared" si="64"/>
        <v>1.909306983724433</v>
      </c>
      <c r="L112" s="20">
        <f t="shared" si="64"/>
        <v>1.6824085145150613</v>
      </c>
      <c r="M112" s="20">
        <f t="shared" si="64"/>
        <v>1.506518228306253</v>
      </c>
      <c r="N112" s="20">
        <f t="shared" si="64"/>
        <v>1.3701691692296505</v>
      </c>
    </row>
    <row r="113" spans="1:15" ht="14.25" x14ac:dyDescent="0.45">
      <c r="B113" s="167"/>
      <c r="C113" s="167"/>
      <c r="D113" s="19" t="s">
        <v>46</v>
      </c>
      <c r="E113" s="20">
        <f>10*E111</f>
        <v>5.5511627906976742</v>
      </c>
      <c r="F113" s="20">
        <f>10*F111</f>
        <v>10.056715341626104</v>
      </c>
      <c r="G113" s="20">
        <f>10*G111</f>
        <v>13.75171731909</v>
      </c>
      <c r="H113" s="20">
        <f t="shared" ref="H113:N113" si="65">10*H111</f>
        <v>16.818385518674422</v>
      </c>
      <c r="I113" s="20">
        <f t="shared" si="65"/>
        <v>19.397973270290244</v>
      </c>
      <c r="J113" s="20">
        <f t="shared" si="65"/>
        <v>21.599979279294764</v>
      </c>
      <c r="K113" s="20">
        <f t="shared" si="65"/>
        <v>23.509286263019206</v>
      </c>
      <c r="L113" s="20">
        <f t="shared" si="65"/>
        <v>25.191694777534245</v>
      </c>
      <c r="M113" s="20">
        <f t="shared" si="65"/>
        <v>26.698213005840536</v>
      </c>
      <c r="N113" s="20">
        <f t="shared" si="65"/>
        <v>28.068382175070145</v>
      </c>
    </row>
    <row r="114" spans="1:15" ht="14.25" x14ac:dyDescent="0.45">
      <c r="B114" s="167"/>
      <c r="C114" s="165" t="s">
        <v>36</v>
      </c>
      <c r="D114" s="15" t="s">
        <v>43</v>
      </c>
      <c r="E114" s="16">
        <f>E71+E84+E99-E39-E55</f>
        <v>0.71610000000000018</v>
      </c>
      <c r="F114" s="16">
        <f t="shared" ref="F114:N114" si="66">F71+F84+F99-F39-F55</f>
        <v>0.74976899999999991</v>
      </c>
      <c r="G114" s="16">
        <f t="shared" si="66"/>
        <v>0.79320200999999946</v>
      </c>
      <c r="H114" s="16">
        <f t="shared" si="66"/>
        <v>0.84923059290000036</v>
      </c>
      <c r="I114" s="16">
        <f t="shared" si="66"/>
        <v>0.9215074648409991</v>
      </c>
      <c r="J114" s="16">
        <f t="shared" si="66"/>
        <v>1.0147446296448899</v>
      </c>
      <c r="K114" s="16">
        <f t="shared" si="66"/>
        <v>1.1350205722419084</v>
      </c>
      <c r="L114" s="16">
        <f t="shared" si="66"/>
        <v>1.2901765381920594</v>
      </c>
      <c r="M114" s="16">
        <f t="shared" si="66"/>
        <v>1.4903277342677608</v>
      </c>
      <c r="N114" s="16">
        <f t="shared" si="66"/>
        <v>1.7485227772054068</v>
      </c>
    </row>
    <row r="115" spans="1:15" ht="14.25" x14ac:dyDescent="0.45">
      <c r="B115" s="167"/>
      <c r="C115" s="166"/>
      <c r="D115" s="15" t="s">
        <v>44</v>
      </c>
      <c r="E115" s="16"/>
      <c r="F115" s="16"/>
      <c r="G115" s="16"/>
      <c r="H115" s="16"/>
      <c r="I115" s="17">
        <f>AVERAGE(E114:I114)</f>
        <v>0.80596181354819973</v>
      </c>
      <c r="J115" s="17"/>
      <c r="K115" s="17"/>
      <c r="L115" s="17"/>
      <c r="M115" s="17"/>
      <c r="N115" s="17">
        <f>AVERAGE(E114:N114)</f>
        <v>1.0708601319293023</v>
      </c>
    </row>
    <row r="116" spans="1:15" ht="14.25" x14ac:dyDescent="0.45">
      <c r="B116" s="167"/>
      <c r="C116" s="167"/>
      <c r="D116" s="19" t="s">
        <v>45</v>
      </c>
      <c r="E116" s="22">
        <f t="shared" ref="E116:N116" si="67">E112*E$15</f>
        <v>716100</v>
      </c>
      <c r="F116" s="22">
        <f t="shared" si="67"/>
        <v>749769</v>
      </c>
      <c r="G116" s="22">
        <f>G112*G$15</f>
        <v>793202.00999999978</v>
      </c>
      <c r="H116" s="22">
        <f>H112*H$15</f>
        <v>849230.5929000004</v>
      </c>
      <c r="I116" s="22">
        <f>I112*I$15</f>
        <v>921507.46484099922</v>
      </c>
      <c r="J116" s="22">
        <f t="shared" si="67"/>
        <v>1014744.6296448897</v>
      </c>
      <c r="K116" s="22">
        <f t="shared" si="67"/>
        <v>1135020.5722419082</v>
      </c>
      <c r="L116" s="22">
        <f t="shared" si="67"/>
        <v>1290176.5381920594</v>
      </c>
      <c r="M116" s="22">
        <f t="shared" si="67"/>
        <v>1490327.734267761</v>
      </c>
      <c r="N116" s="22">
        <f t="shared" si="67"/>
        <v>1748522.7772054072</v>
      </c>
    </row>
    <row r="117" spans="1:15" ht="14.25" x14ac:dyDescent="0.45">
      <c r="B117" s="167"/>
      <c r="C117" s="167"/>
      <c r="D117" s="19" t="s">
        <v>47</v>
      </c>
      <c r="E117" s="21"/>
      <c r="F117" s="21"/>
      <c r="G117" s="21"/>
      <c r="H117" s="21"/>
      <c r="I117" s="22">
        <f>AVERAGE(E116:I116)</f>
        <v>805961.81354819995</v>
      </c>
      <c r="J117" s="22"/>
      <c r="K117" s="22"/>
      <c r="L117" s="22"/>
      <c r="M117" s="22"/>
      <c r="N117" s="22">
        <f>AVERAGE(E116:N116)</f>
        <v>1070860.1319293026</v>
      </c>
    </row>
    <row r="118" spans="1:15" ht="14.25" x14ac:dyDescent="0.45">
      <c r="B118" s="167"/>
      <c r="C118" s="167"/>
      <c r="D118" s="19" t="s">
        <v>46</v>
      </c>
      <c r="E118" s="21">
        <f>E116</f>
        <v>716100</v>
      </c>
      <c r="F118" s="21">
        <f t="shared" ref="F118:N118" si="68">E118+F116</f>
        <v>1465869</v>
      </c>
      <c r="G118" s="21">
        <f>F118+G116</f>
        <v>2259071.0099999998</v>
      </c>
      <c r="H118" s="21">
        <f t="shared" si="68"/>
        <v>3108301.6029000003</v>
      </c>
      <c r="I118" s="21">
        <f t="shared" si="68"/>
        <v>4029809.0677409996</v>
      </c>
      <c r="J118" s="21">
        <f>I118+J116</f>
        <v>5044553.6973858895</v>
      </c>
      <c r="K118" s="21">
        <f t="shared" si="68"/>
        <v>6179574.2696277974</v>
      </c>
      <c r="L118" s="21">
        <f t="shared" si="68"/>
        <v>7469750.8078198563</v>
      </c>
      <c r="M118" s="21">
        <f t="shared" si="68"/>
        <v>8960078.5420876183</v>
      </c>
      <c r="N118" s="21">
        <f t="shared" si="68"/>
        <v>10708601.319293026</v>
      </c>
    </row>
    <row r="119" spans="1:15" ht="15" customHeight="1" x14ac:dyDescent="0.45">
      <c r="B119" s="167"/>
      <c r="C119" s="165" t="s">
        <v>35</v>
      </c>
      <c r="D119" s="15" t="s">
        <v>43</v>
      </c>
      <c r="E119" s="16">
        <f>E74+E89+E104-E42-E58</f>
        <v>0.71610000000000018</v>
      </c>
      <c r="F119" s="16">
        <f t="shared" ref="F119:N119" si="69">F74+F89+F104-F42-F58</f>
        <v>0.95743799999999979</v>
      </c>
      <c r="G119" s="16">
        <f t="shared" si="69"/>
        <v>1.2785280299999997</v>
      </c>
      <c r="H119" s="16">
        <f t="shared" si="69"/>
        <v>1.7053297416000011</v>
      </c>
      <c r="I119" s="16">
        <f t="shared" si="69"/>
        <v>2.2721522386049959</v>
      </c>
      <c r="J119" s="16">
        <f t="shared" si="69"/>
        <v>3.0243135526043403</v>
      </c>
      <c r="K119" s="16">
        <f t="shared" si="69"/>
        <v>4.0216404254566207</v>
      </c>
      <c r="L119" s="16">
        <f t="shared" si="69"/>
        <v>5.3430721147891713</v>
      </c>
      <c r="M119" s="16">
        <f t="shared" si="69"/>
        <v>7.0927142241537835</v>
      </c>
      <c r="N119" s="16">
        <f t="shared" si="69"/>
        <v>9.4077963920959427</v>
      </c>
    </row>
    <row r="120" spans="1:15" ht="15" customHeight="1" x14ac:dyDescent="0.45">
      <c r="B120" s="167"/>
      <c r="C120" s="166"/>
      <c r="D120" s="15" t="s">
        <v>44</v>
      </c>
      <c r="E120" s="17"/>
      <c r="F120" s="17"/>
      <c r="G120" s="17"/>
      <c r="H120" s="17"/>
      <c r="I120" s="17">
        <f>AVERAGE(E119:I119)</f>
        <v>1.3859096020409993</v>
      </c>
      <c r="J120" s="17"/>
      <c r="K120" s="17"/>
      <c r="L120" s="17"/>
      <c r="M120" s="17"/>
      <c r="N120" s="17">
        <f>AVERAGE(E119:N119)</f>
        <v>3.5819084719304852</v>
      </c>
    </row>
    <row r="121" spans="1:15" ht="15" customHeight="1" x14ac:dyDescent="0.45">
      <c r="B121" s="167"/>
      <c r="C121" s="167"/>
      <c r="D121" s="19" t="s">
        <v>45</v>
      </c>
      <c r="E121" s="22">
        <f>E123</f>
        <v>716100</v>
      </c>
      <c r="F121" s="22">
        <f>F123-E123</f>
        <v>957438</v>
      </c>
      <c r="G121" s="22">
        <f>G123-F123</f>
        <v>1278528.0299999993</v>
      </c>
      <c r="H121" s="22">
        <f t="shared" ref="H121:N121" si="70">H123-G123</f>
        <v>1705329.7416000003</v>
      </c>
      <c r="I121" s="22">
        <f t="shared" si="70"/>
        <v>2272152.2386049973</v>
      </c>
      <c r="J121" s="22">
        <f>J123-I123</f>
        <v>3024313.55260434</v>
      </c>
      <c r="K121" s="22">
        <f t="shared" si="70"/>
        <v>4021640.4254566208</v>
      </c>
      <c r="L121" s="22">
        <f t="shared" si="70"/>
        <v>5343072.1147891693</v>
      </c>
      <c r="M121" s="22">
        <f t="shared" si="70"/>
        <v>7092714.2241537869</v>
      </c>
      <c r="N121" s="22">
        <f t="shared" si="70"/>
        <v>9407796.3920959383</v>
      </c>
    </row>
    <row r="122" spans="1:15" ht="15" customHeight="1" x14ac:dyDescent="0.45">
      <c r="A122" s="8"/>
      <c r="B122" s="167"/>
      <c r="C122" s="167"/>
      <c r="D122" s="19" t="s">
        <v>47</v>
      </c>
      <c r="E122" s="22"/>
      <c r="F122" s="22"/>
      <c r="G122" s="22"/>
      <c r="H122" s="22"/>
      <c r="I122" s="22">
        <f>AVERAGE(E121:I121)</f>
        <v>1385909.6020409993</v>
      </c>
      <c r="J122" s="22"/>
      <c r="K122" s="22"/>
      <c r="L122" s="22"/>
      <c r="M122" s="22"/>
      <c r="N122" s="22">
        <f>AVERAGE(E121:N121)</f>
        <v>3581908.4719304852</v>
      </c>
      <c r="O122" s="8"/>
    </row>
    <row r="123" spans="1:15" ht="15" customHeight="1" x14ac:dyDescent="0.45">
      <c r="B123" s="167"/>
      <c r="C123" s="167"/>
      <c r="D123" s="19" t="s">
        <v>46</v>
      </c>
      <c r="E123" s="21">
        <f t="shared" ref="E123:N123" si="71">E113*E$15</f>
        <v>716100</v>
      </c>
      <c r="F123" s="21">
        <f t="shared" si="71"/>
        <v>1673538</v>
      </c>
      <c r="G123" s="21">
        <f>G113*G$15</f>
        <v>2952066.0299999993</v>
      </c>
      <c r="H123" s="21">
        <f>H113*H$15</f>
        <v>4657395.7715999996</v>
      </c>
      <c r="I123" s="21">
        <f>I113*I$15</f>
        <v>6929548.0102049969</v>
      </c>
      <c r="J123" s="21">
        <f t="shared" si="71"/>
        <v>9953861.5628093369</v>
      </c>
      <c r="K123" s="21">
        <f t="shared" si="71"/>
        <v>13975501.988265958</v>
      </c>
      <c r="L123" s="21">
        <f t="shared" si="71"/>
        <v>19318574.103055127</v>
      </c>
      <c r="M123" s="21">
        <f t="shared" si="71"/>
        <v>26411288.327208914</v>
      </c>
      <c r="N123" s="21">
        <f t="shared" si="71"/>
        <v>35819084.719304852</v>
      </c>
    </row>
    <row r="124" spans="1:15" ht="15" customHeight="1" x14ac:dyDescent="0.45">
      <c r="B124" s="1"/>
      <c r="C124" s="1"/>
      <c r="D124" s="40"/>
      <c r="E124" s="10"/>
      <c r="F124" s="10"/>
      <c r="G124" s="10"/>
      <c r="H124" s="10"/>
      <c r="I124" s="10"/>
      <c r="J124" s="10"/>
      <c r="K124" s="10"/>
      <c r="L124" s="10"/>
      <c r="M124" s="10"/>
      <c r="N124" s="10"/>
    </row>
    <row r="125" spans="1:15"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5" ht="15" customHeight="1" x14ac:dyDescent="0.45">
      <c r="B126" s="151"/>
      <c r="C126" s="153"/>
      <c r="D126" s="153"/>
      <c r="E126" s="149"/>
      <c r="F126" s="149"/>
      <c r="G126" s="149"/>
      <c r="H126" s="149"/>
      <c r="I126" s="149"/>
      <c r="J126" s="149"/>
      <c r="K126" s="149"/>
      <c r="L126" s="149"/>
      <c r="M126" s="149"/>
      <c r="N126" s="149"/>
    </row>
    <row r="127" spans="1:15" ht="15" customHeight="1" x14ac:dyDescent="0.45">
      <c r="B127" s="158" t="s">
        <v>141</v>
      </c>
      <c r="C127" s="156">
        <v>20000</v>
      </c>
      <c r="D127" s="44" t="s">
        <v>19</v>
      </c>
      <c r="E127" s="27">
        <f t="shared" ref="E127:N127" si="72">E$53/10*$C127/(2+$E$11)</f>
        <v>775.19379844961236</v>
      </c>
      <c r="F127" s="27">
        <f t="shared" si="72"/>
        <v>600.92542515473826</v>
      </c>
      <c r="G127" s="27">
        <f t="shared" si="72"/>
        <v>465.83366291064988</v>
      </c>
      <c r="H127" s="27">
        <f t="shared" si="72"/>
        <v>361.11136659740299</v>
      </c>
      <c r="I127" s="27">
        <f t="shared" si="72"/>
        <v>279.93129193597133</v>
      </c>
      <c r="J127" s="27">
        <f t="shared" si="72"/>
        <v>217.00100150075301</v>
      </c>
      <c r="K127" s="27">
        <f t="shared" si="72"/>
        <v>168.21783062073874</v>
      </c>
      <c r="L127" s="27">
        <f t="shared" si="72"/>
        <v>130.401419085844</v>
      </c>
      <c r="M127" s="27">
        <f t="shared" si="72"/>
        <v>101.0863713843752</v>
      </c>
      <c r="N127" s="27">
        <f t="shared" si="72"/>
        <v>78.361528204942005</v>
      </c>
    </row>
    <row r="128" spans="1:15" ht="15" customHeight="1" x14ac:dyDescent="0.45">
      <c r="B128" s="159"/>
      <c r="C128" s="156"/>
      <c r="D128" s="19" t="s">
        <v>22</v>
      </c>
      <c r="E128" s="27"/>
      <c r="F128" s="27"/>
      <c r="G128" s="27"/>
      <c r="H128" s="27"/>
      <c r="I128" s="28">
        <f>AVERAGE(E127:I127)</f>
        <v>496.59910900967498</v>
      </c>
      <c r="J128" s="27"/>
      <c r="K128" s="27"/>
      <c r="L128" s="27"/>
      <c r="M128" s="27"/>
      <c r="N128" s="27">
        <f>AVERAGE(E127:N127)</f>
        <v>317.8063695845027</v>
      </c>
    </row>
    <row r="129" spans="2:14" ht="15" customHeight="1" x14ac:dyDescent="0.45">
      <c r="B129" s="159"/>
      <c r="C129" s="156"/>
      <c r="D129" s="19" t="s">
        <v>41</v>
      </c>
      <c r="E129" s="27">
        <f t="shared" ref="E129:N129" si="73">E$54/10*$C127/(2+$E$11)</f>
        <v>775.19379844961236</v>
      </c>
      <c r="F129" s="27">
        <f t="shared" si="73"/>
        <v>1376.1192236043507</v>
      </c>
      <c r="G129" s="27">
        <f t="shared" si="73"/>
        <v>1841.952886515001</v>
      </c>
      <c r="H129" s="27">
        <f t="shared" si="73"/>
        <v>2203.0642531124026</v>
      </c>
      <c r="I129" s="28">
        <f t="shared" si="73"/>
        <v>2482.9955450483767</v>
      </c>
      <c r="J129" s="27">
        <f t="shared" si="73"/>
        <v>2699.9965465491277</v>
      </c>
      <c r="K129" s="27">
        <f t="shared" si="73"/>
        <v>2868.2143771698643</v>
      </c>
      <c r="L129" s="27">
        <f t="shared" si="73"/>
        <v>2998.6157962557163</v>
      </c>
      <c r="M129" s="27">
        <f t="shared" si="73"/>
        <v>3099.7021676400796</v>
      </c>
      <c r="N129" s="27">
        <f t="shared" si="73"/>
        <v>3178.063695845035</v>
      </c>
    </row>
    <row r="130" spans="2:14" ht="15" customHeight="1" x14ac:dyDescent="0.45">
      <c r="B130" s="159"/>
      <c r="C130" s="156">
        <v>400000</v>
      </c>
      <c r="D130" s="44" t="s">
        <v>19</v>
      </c>
      <c r="E130" s="27">
        <f t="shared" ref="E130:N130" si="74">E$53/10*$C130/(2+$E$11)</f>
        <v>15503.875968992248</v>
      </c>
      <c r="F130" s="27">
        <f t="shared" si="74"/>
        <v>12018.508503094765</v>
      </c>
      <c r="G130" s="27">
        <f t="shared" si="74"/>
        <v>9316.6732582129971</v>
      </c>
      <c r="H130" s="27">
        <f t="shared" si="74"/>
        <v>7222.2273319480601</v>
      </c>
      <c r="I130" s="27">
        <f t="shared" si="74"/>
        <v>5598.6258387194266</v>
      </c>
      <c r="J130" s="27">
        <f t="shared" si="74"/>
        <v>4340.02003001506</v>
      </c>
      <c r="K130" s="27">
        <f t="shared" si="74"/>
        <v>3364.3566124147746</v>
      </c>
      <c r="L130" s="27">
        <f t="shared" si="74"/>
        <v>2608.0283817168797</v>
      </c>
      <c r="M130" s="27">
        <f t="shared" si="74"/>
        <v>2021.7274276875041</v>
      </c>
      <c r="N130" s="27">
        <f t="shared" si="74"/>
        <v>1567.2305640988402</v>
      </c>
    </row>
    <row r="131" spans="2:14" ht="15" customHeight="1" x14ac:dyDescent="0.45">
      <c r="B131" s="159"/>
      <c r="C131" s="156"/>
      <c r="D131" s="19" t="s">
        <v>22</v>
      </c>
      <c r="E131" s="27"/>
      <c r="F131" s="27"/>
      <c r="G131" s="27"/>
      <c r="H131" s="27"/>
      <c r="I131" s="28">
        <f>AVERAGE(E130:I130)</f>
        <v>9931.9821801934995</v>
      </c>
      <c r="J131" s="27"/>
      <c r="K131" s="27"/>
      <c r="L131" s="27"/>
      <c r="M131" s="27"/>
      <c r="N131" s="27">
        <f>AVERAGE(E130:N130)</f>
        <v>6356.1273916900554</v>
      </c>
    </row>
    <row r="132" spans="2:14" ht="15" customHeight="1" x14ac:dyDescent="0.45">
      <c r="B132" s="159"/>
      <c r="C132" s="156"/>
      <c r="D132" s="19" t="s">
        <v>41</v>
      </c>
      <c r="E132" s="27">
        <f t="shared" ref="E132:N132" si="75">E$54/10*$C130/(2+$E$11)</f>
        <v>15503.875968992248</v>
      </c>
      <c r="F132" s="27">
        <f t="shared" si="75"/>
        <v>27522.384472087015</v>
      </c>
      <c r="G132" s="27">
        <f t="shared" si="75"/>
        <v>36839.057730300017</v>
      </c>
      <c r="H132" s="27">
        <f t="shared" si="75"/>
        <v>44061.285062248055</v>
      </c>
      <c r="I132" s="28">
        <f t="shared" si="75"/>
        <v>49659.91090096753</v>
      </c>
      <c r="J132" s="27">
        <f t="shared" si="75"/>
        <v>53999.930930982555</v>
      </c>
      <c r="K132" s="27">
        <f t="shared" si="75"/>
        <v>57364.287543397288</v>
      </c>
      <c r="L132" s="27">
        <f t="shared" si="75"/>
        <v>59972.31592511433</v>
      </c>
      <c r="M132" s="27">
        <f t="shared" si="75"/>
        <v>61994.043352801586</v>
      </c>
      <c r="N132" s="27">
        <f t="shared" si="75"/>
        <v>63561.273916900696</v>
      </c>
    </row>
    <row r="133" spans="2:14" ht="15" customHeight="1" x14ac:dyDescent="0.45">
      <c r="B133" s="159"/>
      <c r="C133" s="157">
        <v>1000000</v>
      </c>
      <c r="D133" s="15" t="s">
        <v>19</v>
      </c>
      <c r="E133" s="29">
        <f t="shared" ref="E133:N133" si="76">E$53/10*$C133/(2+$E$11)</f>
        <v>38759.689922480618</v>
      </c>
      <c r="F133" s="29">
        <f t="shared" si="76"/>
        <v>30046.271257736909</v>
      </c>
      <c r="G133" s="29">
        <f t="shared" si="76"/>
        <v>23291.683145532494</v>
      </c>
      <c r="H133" s="29">
        <f t="shared" si="76"/>
        <v>18055.568329870148</v>
      </c>
      <c r="I133" s="29">
        <f t="shared" si="76"/>
        <v>13996.564596798567</v>
      </c>
      <c r="J133" s="29">
        <f t="shared" si="76"/>
        <v>10850.05007503765</v>
      </c>
      <c r="K133" s="29">
        <f t="shared" si="76"/>
        <v>8410.8915310369375</v>
      </c>
      <c r="L133" s="29">
        <f t="shared" si="76"/>
        <v>6520.0709542921995</v>
      </c>
      <c r="M133" s="29">
        <f t="shared" si="76"/>
        <v>5054.3185692187599</v>
      </c>
      <c r="N133" s="29">
        <f t="shared" si="76"/>
        <v>3918.0764102471007</v>
      </c>
    </row>
    <row r="134" spans="2:14" ht="15" customHeight="1" x14ac:dyDescent="0.45">
      <c r="B134" s="159"/>
      <c r="C134" s="157"/>
      <c r="D134" s="15" t="s">
        <v>22</v>
      </c>
      <c r="E134" s="29"/>
      <c r="F134" s="29"/>
      <c r="G134" s="29"/>
      <c r="H134" s="29"/>
      <c r="I134" s="30">
        <f>AVERAGE(E133:I133)</f>
        <v>24829.955450483751</v>
      </c>
      <c r="J134" s="29"/>
      <c r="K134" s="29"/>
      <c r="L134" s="29"/>
      <c r="M134" s="29"/>
      <c r="N134" s="29">
        <f>AVERAGE(E133:N133)</f>
        <v>15890.318479225138</v>
      </c>
    </row>
    <row r="135" spans="2:14" ht="15" customHeight="1" x14ac:dyDescent="0.45">
      <c r="B135" s="160"/>
      <c r="C135" s="157"/>
      <c r="D135" s="15" t="s">
        <v>41</v>
      </c>
      <c r="E135" s="29">
        <f t="shared" ref="E135:N135" si="77">E$54/10*$C133/(2+$E$11)</f>
        <v>38759.689922480618</v>
      </c>
      <c r="F135" s="29">
        <f t="shared" si="77"/>
        <v>68805.961180217535</v>
      </c>
      <c r="G135" s="29">
        <f t="shared" si="77"/>
        <v>92097.64432575005</v>
      </c>
      <c r="H135" s="29">
        <f t="shared" si="77"/>
        <v>110153.21265562013</v>
      </c>
      <c r="I135" s="30">
        <f t="shared" si="77"/>
        <v>124149.77725241882</v>
      </c>
      <c r="J135" s="29">
        <f t="shared" si="77"/>
        <v>134999.82732745638</v>
      </c>
      <c r="K135" s="29">
        <f t="shared" si="77"/>
        <v>143410.7188584932</v>
      </c>
      <c r="L135" s="29">
        <f t="shared" si="77"/>
        <v>149930.78981278581</v>
      </c>
      <c r="M135" s="29">
        <f t="shared" si="77"/>
        <v>154985.10838200396</v>
      </c>
      <c r="N135" s="29">
        <f t="shared" si="77"/>
        <v>158903.18479225173</v>
      </c>
    </row>
    <row r="136" spans="2:14" ht="15" customHeight="1" x14ac:dyDescent="0.45">
      <c r="B136" s="3"/>
      <c r="C136" s="1"/>
      <c r="D136" s="40"/>
      <c r="E136" s="10"/>
      <c r="F136" s="10"/>
      <c r="G136" s="10"/>
      <c r="H136" s="10"/>
      <c r="I136" s="10"/>
      <c r="J136" s="10"/>
      <c r="K136" s="10"/>
      <c r="L136" s="10"/>
      <c r="M136" s="10"/>
      <c r="N136" s="10"/>
    </row>
  </sheetData>
  <mergeCells count="105">
    <mergeCell ref="B13:B14"/>
    <mergeCell ref="C13:C14"/>
    <mergeCell ref="D13:D14"/>
    <mergeCell ref="E13:E14"/>
    <mergeCell ref="F13:F14"/>
    <mergeCell ref="G13:G14"/>
    <mergeCell ref="H13:H14"/>
    <mergeCell ref="I13:I14"/>
    <mergeCell ref="J13:J14"/>
    <mergeCell ref="K13:K14"/>
    <mergeCell ref="L13:L14"/>
    <mergeCell ref="M13:M14"/>
    <mergeCell ref="N13:N14"/>
    <mergeCell ref="B64:B65"/>
    <mergeCell ref="C64:C65"/>
    <mergeCell ref="D64:D65"/>
    <mergeCell ref="E64:E65"/>
    <mergeCell ref="F64:F65"/>
    <mergeCell ref="D2:E3"/>
    <mergeCell ref="G2:I3"/>
    <mergeCell ref="K2:N2"/>
    <mergeCell ref="B2:C11"/>
    <mergeCell ref="B94:B108"/>
    <mergeCell ref="C94:C98"/>
    <mergeCell ref="C99:C103"/>
    <mergeCell ref="C104:C108"/>
    <mergeCell ref="B109:B123"/>
    <mergeCell ref="C109:C113"/>
    <mergeCell ref="C114:C118"/>
    <mergeCell ref="B15:B16"/>
    <mergeCell ref="C15:C16"/>
    <mergeCell ref="B25:B27"/>
    <mergeCell ref="C25:C27"/>
    <mergeCell ref="B17:B24"/>
    <mergeCell ref="C17:C24"/>
    <mergeCell ref="B28:B30"/>
    <mergeCell ref="C28:C30"/>
    <mergeCell ref="B32:B33"/>
    <mergeCell ref="C32:C33"/>
    <mergeCell ref="D32:D33"/>
    <mergeCell ref="E32:E33"/>
    <mergeCell ref="F32:F33"/>
    <mergeCell ref="G32:G33"/>
    <mergeCell ref="H32:H33"/>
    <mergeCell ref="I32:I33"/>
    <mergeCell ref="J32:J33"/>
    <mergeCell ref="K32:K33"/>
    <mergeCell ref="L32:L33"/>
    <mergeCell ref="M32:M33"/>
    <mergeCell ref="N32:N33"/>
    <mergeCell ref="B34:B46"/>
    <mergeCell ref="C34:C38"/>
    <mergeCell ref="C39:C41"/>
    <mergeCell ref="C42:C46"/>
    <mergeCell ref="B48:B49"/>
    <mergeCell ref="C48:C49"/>
    <mergeCell ref="D48:D49"/>
    <mergeCell ref="E48:E49"/>
    <mergeCell ref="F48:F49"/>
    <mergeCell ref="G48:G49"/>
    <mergeCell ref="H48:H49"/>
    <mergeCell ref="I48:I49"/>
    <mergeCell ref="J48:J49"/>
    <mergeCell ref="K48:K49"/>
    <mergeCell ref="L48:L49"/>
    <mergeCell ref="M48:M49"/>
    <mergeCell ref="N48:N49"/>
    <mergeCell ref="B50:B62"/>
    <mergeCell ref="C50:C54"/>
    <mergeCell ref="C55:C57"/>
    <mergeCell ref="C58:C62"/>
    <mergeCell ref="G64:G65"/>
    <mergeCell ref="H64:H65"/>
    <mergeCell ref="I64:I65"/>
    <mergeCell ref="J64:J65"/>
    <mergeCell ref="K64:K65"/>
    <mergeCell ref="L64:L65"/>
    <mergeCell ref="M64:M65"/>
    <mergeCell ref="N64:N65"/>
    <mergeCell ref="B66:B78"/>
    <mergeCell ref="C66:C70"/>
    <mergeCell ref="C71:C73"/>
    <mergeCell ref="C74:C78"/>
    <mergeCell ref="B79:B93"/>
    <mergeCell ref="C79:C83"/>
    <mergeCell ref="C84:C88"/>
    <mergeCell ref="C89:C93"/>
    <mergeCell ref="C119:C123"/>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B127:B135"/>
    <mergeCell ref="C127:C129"/>
    <mergeCell ref="C130:C132"/>
    <mergeCell ref="C133:C135"/>
  </mergeCells>
  <pageMargins left="0.7" right="0.7" top="0.75" bottom="0.75" header="0.3" footer="0.3"/>
  <pageSetup orientation="portrait" r:id="rId1"/>
  <headerFooter>
    <oddHeader>&amp;R&amp;"Aptos"&amp;12&amp;K000000 Unclassified / Non 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E345-B4CF-476E-A51D-CA5CA4CDE3E4}">
  <dimension ref="A1:O136"/>
  <sheetViews>
    <sheetView zoomScaleNormal="100" workbookViewId="0">
      <selection activeCell="B2" sqref="B2:C11"/>
    </sheetView>
  </sheetViews>
  <sheetFormatPr defaultColWidth="9" defaultRowHeight="15" customHeight="1" x14ac:dyDescent="0.45"/>
  <cols>
    <col min="1" max="1" width="1.73046875" style="4" customWidth="1"/>
    <col min="2" max="2" width="43.73046875" style="2" bestFit="1" customWidth="1"/>
    <col min="3" max="3" width="16.73046875" style="2" bestFit="1" customWidth="1"/>
    <col min="4" max="4" width="33.3984375" style="2" bestFit="1" customWidth="1"/>
    <col min="5" max="5" width="10.3984375" style="2" bestFit="1" customWidth="1"/>
    <col min="6" max="6" width="9.3984375" style="2" bestFit="1" customWidth="1"/>
    <col min="7" max="7" width="16.1328125" style="2" bestFit="1" customWidth="1"/>
    <col min="8" max="8" width="15.3984375" style="2" bestFit="1" customWidth="1"/>
    <col min="9" max="9" width="9.3984375" style="2" bestFit="1" customWidth="1"/>
    <col min="10" max="10" width="10.3984375" style="2" bestFit="1" customWidth="1"/>
    <col min="11" max="11" width="12.59765625" style="2" bestFit="1" customWidth="1"/>
    <col min="12" max="12" width="13.1328125" style="2" bestFit="1" customWidth="1"/>
    <col min="13" max="13" width="10.3984375" style="2" bestFit="1" customWidth="1"/>
    <col min="14" max="14" width="10.59765625" style="2" bestFit="1" customWidth="1"/>
    <col min="15" max="15" width="1.73046875" style="4" customWidth="1"/>
    <col min="16" max="16384" width="9" style="2"/>
  </cols>
  <sheetData>
    <row r="1" spans="1:15" ht="15" customHeight="1" x14ac:dyDescent="0.45">
      <c r="A1" s="8"/>
      <c r="B1" s="8"/>
      <c r="C1" s="8"/>
      <c r="D1" s="8"/>
      <c r="E1" s="8"/>
      <c r="F1" s="8"/>
      <c r="G1" s="8"/>
      <c r="H1" s="8"/>
      <c r="I1" s="8"/>
      <c r="J1" s="8"/>
      <c r="K1" s="63"/>
      <c r="L1" s="63"/>
      <c r="M1" s="63"/>
      <c r="N1" s="63"/>
      <c r="O1" s="8"/>
    </row>
    <row r="2" spans="1:15" ht="58.5" customHeight="1" x14ac:dyDescent="0.45">
      <c r="A2" s="8"/>
      <c r="B2" s="179" t="s">
        <v>114</v>
      </c>
      <c r="C2" s="180"/>
      <c r="D2" s="185" t="s">
        <v>139</v>
      </c>
      <c r="E2" s="186"/>
      <c r="F2" s="8"/>
      <c r="G2" s="188" t="s">
        <v>125</v>
      </c>
      <c r="H2" s="185"/>
      <c r="I2" s="185"/>
      <c r="J2" s="4"/>
      <c r="K2" s="191" t="s">
        <v>117</v>
      </c>
      <c r="L2" s="191"/>
      <c r="M2" s="191"/>
      <c r="N2" s="191"/>
      <c r="O2" s="8"/>
    </row>
    <row r="3" spans="1:15" ht="14.25" x14ac:dyDescent="0.45">
      <c r="A3" s="8"/>
      <c r="B3" s="181"/>
      <c r="C3" s="182"/>
      <c r="D3" s="184"/>
      <c r="E3" s="187"/>
      <c r="F3" s="8"/>
      <c r="G3" s="189"/>
      <c r="H3" s="190"/>
      <c r="I3" s="190"/>
      <c r="J3" s="4"/>
      <c r="K3" s="64" t="s">
        <v>53</v>
      </c>
      <c r="L3" s="64" t="s">
        <v>51</v>
      </c>
      <c r="M3" s="64" t="s">
        <v>32</v>
      </c>
      <c r="N3" s="64" t="s">
        <v>33</v>
      </c>
      <c r="O3" s="8"/>
    </row>
    <row r="4" spans="1:15" ht="14.25" customHeight="1" x14ac:dyDescent="0.45">
      <c r="A4" s="9"/>
      <c r="B4" s="181"/>
      <c r="C4" s="182"/>
      <c r="D4" s="32" t="s">
        <v>2</v>
      </c>
      <c r="E4" s="33">
        <v>100000</v>
      </c>
      <c r="F4" s="9"/>
      <c r="G4" s="76" t="s">
        <v>34</v>
      </c>
      <c r="H4" s="75" t="s">
        <v>39</v>
      </c>
      <c r="I4" s="41">
        <f>I43</f>
        <v>0.17740035620000011</v>
      </c>
      <c r="J4" s="9"/>
      <c r="K4" s="68">
        <f>C127</f>
        <v>20000</v>
      </c>
      <c r="L4" s="69" t="s">
        <v>40</v>
      </c>
      <c r="M4" s="42">
        <f>I128</f>
        <v>524.18794839910129</v>
      </c>
      <c r="N4" s="65">
        <f t="shared" ref="N4:N9" si="0">M4*$I$15</f>
        <v>187255931.54444438</v>
      </c>
      <c r="O4" s="9"/>
    </row>
    <row r="5" spans="1:15" ht="14.25" customHeight="1" x14ac:dyDescent="0.45">
      <c r="A5" s="37"/>
      <c r="B5" s="181"/>
      <c r="C5" s="182"/>
      <c r="D5" s="18" t="s">
        <v>127</v>
      </c>
      <c r="E5" s="35">
        <f>SUMMARY!H6</f>
        <v>0.28999999999999998</v>
      </c>
      <c r="F5" s="37"/>
      <c r="G5" s="45" t="s">
        <v>37</v>
      </c>
      <c r="H5" s="66" t="s">
        <v>39</v>
      </c>
      <c r="I5" s="81">
        <f>I67</f>
        <v>0.50404809564482012</v>
      </c>
      <c r="J5" s="37"/>
      <c r="K5" s="68">
        <f>C127</f>
        <v>20000</v>
      </c>
      <c r="L5" s="67" t="s">
        <v>41</v>
      </c>
      <c r="M5" s="42">
        <f>I129</f>
        <v>2620.9397419955089</v>
      </c>
      <c r="N5" s="65">
        <f t="shared" si="0"/>
        <v>936279657.72222292</v>
      </c>
      <c r="O5" s="37"/>
    </row>
    <row r="6" spans="1:15" ht="14.25" customHeight="1" x14ac:dyDescent="0.45">
      <c r="A6" s="37"/>
      <c r="B6" s="181"/>
      <c r="C6" s="182"/>
      <c r="D6" s="18" t="s">
        <v>140</v>
      </c>
      <c r="E6" s="34">
        <f>SUMMARY!L6</f>
        <v>0.02</v>
      </c>
      <c r="F6" s="37"/>
      <c r="G6" s="45" t="s">
        <v>124</v>
      </c>
      <c r="H6" s="66" t="s">
        <v>39</v>
      </c>
      <c r="I6" s="81">
        <f>I80</f>
        <v>7.9931982180193512E-2</v>
      </c>
      <c r="J6" s="37"/>
      <c r="K6" s="68">
        <f>C130</f>
        <v>400000</v>
      </c>
      <c r="L6" s="69" t="s">
        <v>40</v>
      </c>
      <c r="M6" s="42">
        <f>I131</f>
        <v>10483.758967982027</v>
      </c>
      <c r="N6" s="65">
        <f t="shared" si="0"/>
        <v>3745118630.8888884</v>
      </c>
      <c r="O6" s="37"/>
    </row>
    <row r="7" spans="1:15" ht="14.25" customHeight="1" x14ac:dyDescent="0.45">
      <c r="A7" s="37"/>
      <c r="B7" s="181"/>
      <c r="C7" s="182"/>
      <c r="D7" s="18" t="s">
        <v>126</v>
      </c>
      <c r="E7" s="34">
        <f>SUMMARY!P6</f>
        <v>0.01</v>
      </c>
      <c r="F7" s="37"/>
      <c r="G7" s="45" t="s">
        <v>57</v>
      </c>
      <c r="H7" s="66" t="s">
        <v>39</v>
      </c>
      <c r="I7" s="81">
        <f>I95</f>
        <v>3.9965991090096756E-2</v>
      </c>
      <c r="J7" s="37"/>
      <c r="K7" s="68">
        <f>C130</f>
        <v>400000</v>
      </c>
      <c r="L7" s="67" t="s">
        <v>41</v>
      </c>
      <c r="M7" s="42">
        <f>I132</f>
        <v>52418.794839910181</v>
      </c>
      <c r="N7" s="65">
        <f t="shared" si="0"/>
        <v>18725593154.444458</v>
      </c>
      <c r="O7" s="37"/>
    </row>
    <row r="8" spans="1:15" ht="14.25" customHeight="1" x14ac:dyDescent="0.45">
      <c r="A8" s="9"/>
      <c r="B8" s="181"/>
      <c r="C8" s="182"/>
      <c r="D8" s="32" t="s">
        <v>134</v>
      </c>
      <c r="E8" s="36">
        <f>SUMMARY!P21</f>
        <v>0.1</v>
      </c>
      <c r="F8" s="9"/>
      <c r="G8" s="45" t="s">
        <v>122</v>
      </c>
      <c r="H8" s="66" t="s">
        <v>39</v>
      </c>
      <c r="I8" s="81">
        <f>-I35</f>
        <v>-4.9659910900967504E-2</v>
      </c>
      <c r="J8" s="9"/>
      <c r="K8" s="77">
        <f>C133</f>
        <v>1000000</v>
      </c>
      <c r="L8" s="78" t="s">
        <v>40</v>
      </c>
      <c r="M8" s="42">
        <f>I134</f>
        <v>26209.397419955068</v>
      </c>
      <c r="N8" s="65">
        <f t="shared" si="0"/>
        <v>9362796577.2222214</v>
      </c>
      <c r="O8" s="9"/>
    </row>
    <row r="9" spans="1:15" ht="14.25" customHeight="1" x14ac:dyDescent="0.45">
      <c r="A9" s="9"/>
      <c r="B9" s="181"/>
      <c r="C9" s="182"/>
      <c r="D9" s="32" t="s">
        <v>135</v>
      </c>
      <c r="E9" s="36">
        <f>SUMMARY!P22</f>
        <v>0.05</v>
      </c>
      <c r="F9" s="9"/>
      <c r="G9" s="45" t="s">
        <v>121</v>
      </c>
      <c r="H9" s="66" t="s">
        <v>39</v>
      </c>
      <c r="I9" s="81">
        <f>-I51</f>
        <v>-0.11794228838979781</v>
      </c>
      <c r="J9" s="9"/>
      <c r="K9" s="77">
        <f>C133</f>
        <v>1000000</v>
      </c>
      <c r="L9" s="79" t="s">
        <v>41</v>
      </c>
      <c r="M9" s="42">
        <f>I135</f>
        <v>131046.98709977545</v>
      </c>
      <c r="N9" s="65">
        <f t="shared" si="0"/>
        <v>46813982886.111145</v>
      </c>
      <c r="O9" s="9"/>
    </row>
    <row r="10" spans="1:15" ht="14.25" customHeight="1" x14ac:dyDescent="0.45">
      <c r="A10" s="9"/>
      <c r="B10" s="181"/>
      <c r="C10" s="182"/>
      <c r="D10" s="32" t="s">
        <v>136</v>
      </c>
      <c r="E10" s="36">
        <f>SUMMARY!P23</f>
        <v>7.4999999999999997E-2</v>
      </c>
      <c r="F10" s="9"/>
      <c r="G10" s="74" t="s">
        <v>38</v>
      </c>
      <c r="H10" s="75" t="s">
        <v>39</v>
      </c>
      <c r="I10" s="41">
        <f>I110</f>
        <v>0.45634386962434503</v>
      </c>
      <c r="J10" s="8"/>
      <c r="K10" s="10"/>
      <c r="L10" s="10"/>
      <c r="M10" s="3"/>
      <c r="N10" s="8"/>
      <c r="O10" s="9"/>
    </row>
    <row r="11" spans="1:15" ht="15" customHeight="1" x14ac:dyDescent="0.45">
      <c r="A11" s="9"/>
      <c r="B11" s="181"/>
      <c r="C11" s="182"/>
      <c r="D11" s="32" t="s">
        <v>137</v>
      </c>
      <c r="E11" s="36">
        <f>SUMMARY!P10</f>
        <v>2.5</v>
      </c>
      <c r="F11" s="3"/>
      <c r="G11" s="10"/>
      <c r="H11" s="10"/>
      <c r="I11" s="3"/>
      <c r="J11" s="8"/>
      <c r="K11" s="8"/>
      <c r="L11" s="8"/>
      <c r="M11" s="8"/>
      <c r="N11" s="8"/>
      <c r="O11" s="9"/>
    </row>
    <row r="12" spans="1:15" ht="14.25" x14ac:dyDescent="0.45">
      <c r="A12" s="8"/>
      <c r="B12" s="10"/>
      <c r="C12" s="8"/>
      <c r="D12" s="10"/>
      <c r="E12" s="3"/>
      <c r="F12" s="3"/>
      <c r="G12" s="10"/>
      <c r="H12" s="10"/>
      <c r="I12" s="3"/>
      <c r="J12" s="8"/>
      <c r="K12" s="8"/>
      <c r="L12" s="8"/>
      <c r="M12" s="8"/>
      <c r="N12" s="8"/>
      <c r="O12" s="8"/>
    </row>
    <row r="13" spans="1:15" ht="14.25"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5" ht="14.25" x14ac:dyDescent="0.45">
      <c r="B14" s="184"/>
      <c r="C14" s="184"/>
      <c r="D14" s="184"/>
      <c r="E14" s="149"/>
      <c r="F14" s="149"/>
      <c r="G14" s="149"/>
      <c r="H14" s="149"/>
      <c r="I14" s="149"/>
      <c r="J14" s="149"/>
      <c r="K14" s="149"/>
      <c r="L14" s="149"/>
      <c r="M14" s="149"/>
      <c r="N14" s="149"/>
    </row>
    <row r="15" spans="1:15" ht="14.25" x14ac:dyDescent="0.45">
      <c r="B15" s="158" t="s">
        <v>20</v>
      </c>
      <c r="C15" s="158" t="s">
        <v>33</v>
      </c>
      <c r="D15" s="19" t="s">
        <v>48</v>
      </c>
      <c r="E15" s="21">
        <f>($E$4 * $E$5) + $E$4</f>
        <v>129000</v>
      </c>
      <c r="F15" s="21">
        <f t="shared" ref="F15:N15" si="1">(E15 * $E$5) + E15</f>
        <v>166410</v>
      </c>
      <c r="G15" s="21">
        <f t="shared" si="1"/>
        <v>214668.9</v>
      </c>
      <c r="H15" s="21">
        <f t="shared" si="1"/>
        <v>276922.88099999999</v>
      </c>
      <c r="I15" s="21">
        <f t="shared" si="1"/>
        <v>357230.51648999995</v>
      </c>
      <c r="J15" s="21">
        <f t="shared" si="1"/>
        <v>460827.3662720999</v>
      </c>
      <c r="K15" s="21">
        <f t="shared" si="1"/>
        <v>594467.30249100889</v>
      </c>
      <c r="L15" s="21">
        <f t="shared" si="1"/>
        <v>766862.82021340146</v>
      </c>
      <c r="M15" s="21">
        <f t="shared" si="1"/>
        <v>989253.03807528783</v>
      </c>
      <c r="N15" s="21">
        <f t="shared" si="1"/>
        <v>1276136.4191171213</v>
      </c>
    </row>
    <row r="16" spans="1:15" ht="14.25" x14ac:dyDescent="0.45">
      <c r="B16" s="160"/>
      <c r="C16" s="160"/>
      <c r="D16" s="19" t="s">
        <v>49</v>
      </c>
      <c r="E16" s="25">
        <f>E15*21000000</f>
        <v>2709000000000</v>
      </c>
      <c r="F16" s="25">
        <f t="shared" ref="F16:N16" si="2">F15*21000000</f>
        <v>3494610000000</v>
      </c>
      <c r="G16" s="25">
        <f t="shared" si="2"/>
        <v>4508046900000</v>
      </c>
      <c r="H16" s="25">
        <f t="shared" si="2"/>
        <v>5815380501000</v>
      </c>
      <c r="I16" s="25">
        <f t="shared" si="2"/>
        <v>7501840846289.999</v>
      </c>
      <c r="J16" s="25">
        <f t="shared" si="2"/>
        <v>9677374691714.0977</v>
      </c>
      <c r="K16" s="25">
        <f t="shared" si="2"/>
        <v>12483813352311.188</v>
      </c>
      <c r="L16" s="25">
        <f t="shared" si="2"/>
        <v>16104119224481.43</v>
      </c>
      <c r="M16" s="25">
        <f t="shared" si="2"/>
        <v>20774313799581.043</v>
      </c>
      <c r="N16" s="25">
        <f t="shared" si="2"/>
        <v>26798864801459.547</v>
      </c>
    </row>
    <row r="17" spans="1:15" ht="14.25" x14ac:dyDescent="0.45">
      <c r="B17" s="158" t="s">
        <v>16</v>
      </c>
      <c r="C17" s="176" t="s">
        <v>32</v>
      </c>
      <c r="D17" s="19" t="s">
        <v>128</v>
      </c>
      <c r="E17" s="26">
        <f>(E15-$E4)/E15</f>
        <v>0.22480620155038761</v>
      </c>
      <c r="F17" s="26">
        <f t="shared" ref="F17:N17" si="3">(F15-$E4)/F15</f>
        <v>0.39907457484526171</v>
      </c>
      <c r="G17" s="26">
        <f t="shared" si="3"/>
        <v>0.53416633708935013</v>
      </c>
      <c r="H17" s="26">
        <f t="shared" si="3"/>
        <v>0.63888863340259705</v>
      </c>
      <c r="I17" s="26">
        <f t="shared" si="3"/>
        <v>0.72006870806402867</v>
      </c>
      <c r="J17" s="26">
        <f t="shared" si="3"/>
        <v>0.78299899849924703</v>
      </c>
      <c r="K17" s="26">
        <f t="shared" si="3"/>
        <v>0.8317821693792613</v>
      </c>
      <c r="L17" s="26">
        <f t="shared" si="3"/>
        <v>0.86959858091415598</v>
      </c>
      <c r="M17" s="26">
        <f t="shared" si="3"/>
        <v>0.89891362861562485</v>
      </c>
      <c r="N17" s="26">
        <f t="shared" si="3"/>
        <v>0.92163847179505798</v>
      </c>
    </row>
    <row r="18" spans="1:15" ht="14.25" x14ac:dyDescent="0.45">
      <c r="B18" s="159"/>
      <c r="C18" s="177"/>
      <c r="D18" s="19" t="s">
        <v>129</v>
      </c>
      <c r="E18" s="26">
        <f>1-E17</f>
        <v>0.77519379844961245</v>
      </c>
      <c r="F18" s="26">
        <f t="shared" ref="F18:N18" si="4">1-F17</f>
        <v>0.60092542515473824</v>
      </c>
      <c r="G18" s="26">
        <f t="shared" si="4"/>
        <v>0.46583366291064987</v>
      </c>
      <c r="H18" s="26">
        <f t="shared" si="4"/>
        <v>0.36111136659740295</v>
      </c>
      <c r="I18" s="26">
        <f t="shared" si="4"/>
        <v>0.27993129193597133</v>
      </c>
      <c r="J18" s="26">
        <f t="shared" si="4"/>
        <v>0.21700100150075297</v>
      </c>
      <c r="K18" s="26">
        <f t="shared" si="4"/>
        <v>0.1682178306207387</v>
      </c>
      <c r="L18" s="26">
        <f t="shared" si="4"/>
        <v>0.13040141908584402</v>
      </c>
      <c r="M18" s="26">
        <f t="shared" si="4"/>
        <v>0.10108637138437515</v>
      </c>
      <c r="N18" s="26">
        <f t="shared" si="4"/>
        <v>7.8361528204942021E-2</v>
      </c>
    </row>
    <row r="19" spans="1:15" ht="14.25" x14ac:dyDescent="0.45">
      <c r="B19" s="159"/>
      <c r="C19" s="177"/>
      <c r="D19" s="19" t="s">
        <v>130</v>
      </c>
      <c r="E19" s="80">
        <f>E17</f>
        <v>0.22480620155038761</v>
      </c>
      <c r="F19" s="80">
        <f t="shared" ref="F19:N19" si="5">F17-E17</f>
        <v>0.1742683732948741</v>
      </c>
      <c r="G19" s="80">
        <f>G17-F17</f>
        <v>0.13509176224408842</v>
      </c>
      <c r="H19" s="80">
        <f t="shared" si="5"/>
        <v>0.10472229631324692</v>
      </c>
      <c r="I19" s="80">
        <f t="shared" si="5"/>
        <v>8.1180074661431623E-2</v>
      </c>
      <c r="J19" s="80">
        <f>J17-I17</f>
        <v>6.2930290435218361E-2</v>
      </c>
      <c r="K19" s="80">
        <f t="shared" si="5"/>
        <v>4.878317088001427E-2</v>
      </c>
      <c r="L19" s="80">
        <f t="shared" si="5"/>
        <v>3.7816411534894678E-2</v>
      </c>
      <c r="M19" s="80">
        <f t="shared" si="5"/>
        <v>2.9315047701468866E-2</v>
      </c>
      <c r="N19" s="80">
        <f t="shared" si="5"/>
        <v>2.272484317943313E-2</v>
      </c>
    </row>
    <row r="20" spans="1:15" ht="14.25" x14ac:dyDescent="0.45">
      <c r="B20" s="159"/>
      <c r="C20" s="177"/>
      <c r="D20" s="19" t="s">
        <v>131</v>
      </c>
      <c r="E20" s="80"/>
      <c r="F20" s="80"/>
      <c r="G20" s="80"/>
      <c r="H20" s="80"/>
      <c r="I20" s="80">
        <f>AVERAGE(E19:I19)</f>
        <v>0.14401374161280572</v>
      </c>
      <c r="J20" s="26"/>
      <c r="K20" s="26"/>
      <c r="L20" s="26"/>
      <c r="M20" s="26"/>
      <c r="N20" s="80">
        <f>AVERAGE(E19:N19)</f>
        <v>9.2163847179505792E-2</v>
      </c>
    </row>
    <row r="21" spans="1:15" ht="14.25" x14ac:dyDescent="0.45">
      <c r="B21" s="159"/>
      <c r="C21" s="177"/>
      <c r="D21" s="19" t="s">
        <v>132</v>
      </c>
      <c r="E21" s="80">
        <f>$E$11*E19</f>
        <v>0.56201550387596899</v>
      </c>
      <c r="F21" s="80">
        <f t="shared" ref="F21:N21" si="6">$E$11*F19</f>
        <v>0.43567093323718525</v>
      </c>
      <c r="G21" s="80">
        <f t="shared" si="6"/>
        <v>0.33772940561022102</v>
      </c>
      <c r="H21" s="80">
        <f t="shared" si="6"/>
        <v>0.2618057407831173</v>
      </c>
      <c r="I21" s="80">
        <f t="shared" si="6"/>
        <v>0.20295018665357906</v>
      </c>
      <c r="J21" s="80">
        <f t="shared" si="6"/>
        <v>0.1573257260880459</v>
      </c>
      <c r="K21" s="80">
        <f t="shared" si="6"/>
        <v>0.12195792720003568</v>
      </c>
      <c r="L21" s="80">
        <f t="shared" si="6"/>
        <v>9.4541028837236696E-2</v>
      </c>
      <c r="M21" s="80">
        <f t="shared" si="6"/>
        <v>7.3287619253672165E-2</v>
      </c>
      <c r="N21" s="80">
        <f t="shared" si="6"/>
        <v>5.6812107948582824E-2</v>
      </c>
    </row>
    <row r="22" spans="1:15" ht="14.25" x14ac:dyDescent="0.45">
      <c r="B22" s="159"/>
      <c r="C22" s="177"/>
      <c r="D22" s="19" t="s">
        <v>133</v>
      </c>
      <c r="E22" s="80"/>
      <c r="F22" s="80"/>
      <c r="G22" s="80"/>
      <c r="H22" s="80"/>
      <c r="I22" s="80">
        <f>AVERAGE(E21:I21)</f>
        <v>0.36003435403201434</v>
      </c>
      <c r="J22" s="26"/>
      <c r="K22" s="26"/>
      <c r="L22" s="26"/>
      <c r="M22" s="26"/>
      <c r="N22" s="80">
        <f>AVERAGE(E21:N21)</f>
        <v>0.23040961794876447</v>
      </c>
    </row>
    <row r="23" spans="1:15" ht="14.25" x14ac:dyDescent="0.45">
      <c r="B23" s="159"/>
      <c r="C23" s="177"/>
      <c r="D23" s="15" t="s">
        <v>58</v>
      </c>
      <c r="E23" s="17">
        <f>E19+E21</f>
        <v>0.78682170542635665</v>
      </c>
      <c r="F23" s="17">
        <f t="shared" ref="F23:N23" si="7">F19+F21</f>
        <v>0.6099393065320593</v>
      </c>
      <c r="G23" s="17">
        <f t="shared" si="7"/>
        <v>0.47282116785430944</v>
      </c>
      <c r="H23" s="17">
        <f t="shared" si="7"/>
        <v>0.36652803709636422</v>
      </c>
      <c r="I23" s="17">
        <f t="shared" si="7"/>
        <v>0.28413026131501068</v>
      </c>
      <c r="J23" s="17">
        <f t="shared" si="7"/>
        <v>0.22025601652326426</v>
      </c>
      <c r="K23" s="17">
        <f t="shared" si="7"/>
        <v>0.17074109808004995</v>
      </c>
      <c r="L23" s="17">
        <f t="shared" si="7"/>
        <v>0.13235744037213137</v>
      </c>
      <c r="M23" s="17">
        <f t="shared" si="7"/>
        <v>0.10260266695514103</v>
      </c>
      <c r="N23" s="17">
        <f t="shared" si="7"/>
        <v>7.9536951128015954E-2</v>
      </c>
    </row>
    <row r="24" spans="1:15" ht="14.25" x14ac:dyDescent="0.45">
      <c r="B24" s="160"/>
      <c r="C24" s="178"/>
      <c r="D24" s="15" t="s">
        <v>59</v>
      </c>
      <c r="E24" s="17"/>
      <c r="F24" s="17"/>
      <c r="G24" s="17"/>
      <c r="H24" s="17"/>
      <c r="I24" s="17">
        <f>AVERAGE(E23:I23)</f>
        <v>0.50404809564482012</v>
      </c>
      <c r="J24" s="16"/>
      <c r="K24" s="16"/>
      <c r="L24" s="16"/>
      <c r="M24" s="16"/>
      <c r="N24" s="17">
        <f>AVERAGE(E23:N23)</f>
        <v>0.32257346512827029</v>
      </c>
    </row>
    <row r="25" spans="1:15" ht="14.25" x14ac:dyDescent="0.45">
      <c r="B25" s="158" t="s">
        <v>141</v>
      </c>
      <c r="C25" s="176" t="s">
        <v>32</v>
      </c>
      <c r="D25" s="15" t="s">
        <v>43</v>
      </c>
      <c r="E25" s="17">
        <f>((1+$E$11)*$E$6)+($E$6*E18)</f>
        <v>8.5503875968992255E-2</v>
      </c>
      <c r="F25" s="17">
        <f t="shared" ref="F25:N25" si="8">((1+$E$11)*$E$6)+($E$6*F18)</f>
        <v>8.2018508503094778E-2</v>
      </c>
      <c r="G25" s="17">
        <f t="shared" si="8"/>
        <v>7.9316673258213011E-2</v>
      </c>
      <c r="H25" s="17">
        <f t="shared" si="8"/>
        <v>7.7222227331948071E-2</v>
      </c>
      <c r="I25" s="17">
        <f>((1+$E$11)*$E$6)+($E$6*I18)</f>
        <v>7.559862583871943E-2</v>
      </c>
      <c r="J25" s="17">
        <f t="shared" si="8"/>
        <v>7.4340020030015067E-2</v>
      </c>
      <c r="K25" s="17">
        <f t="shared" si="8"/>
        <v>7.3364356612414777E-2</v>
      </c>
      <c r="L25" s="17">
        <f t="shared" si="8"/>
        <v>7.2608028381716885E-2</v>
      </c>
      <c r="M25" s="17">
        <f t="shared" si="8"/>
        <v>7.2021727427687504E-2</v>
      </c>
      <c r="N25" s="17">
        <f t="shared" si="8"/>
        <v>7.1567230564098847E-2</v>
      </c>
    </row>
    <row r="26" spans="1:15" ht="14.25" x14ac:dyDescent="0.45">
      <c r="B26" s="159"/>
      <c r="C26" s="177"/>
      <c r="D26" s="15" t="s">
        <v>44</v>
      </c>
      <c r="E26" s="17"/>
      <c r="F26" s="17"/>
      <c r="G26" s="17"/>
      <c r="H26" s="17"/>
      <c r="I26" s="17">
        <f>AVERAGE(E25:I25)</f>
        <v>7.9931982180193512E-2</v>
      </c>
      <c r="J26" s="16"/>
      <c r="K26" s="16"/>
      <c r="L26" s="16"/>
      <c r="M26" s="16"/>
      <c r="N26" s="17">
        <f>AVERAGE(E25:N25)</f>
        <v>7.6356127391690065E-2</v>
      </c>
    </row>
    <row r="27" spans="1:15" ht="14.25" x14ac:dyDescent="0.45">
      <c r="B27" s="159"/>
      <c r="C27" s="177"/>
      <c r="D27" s="19" t="s">
        <v>42</v>
      </c>
      <c r="E27" s="80">
        <f>E25</f>
        <v>8.5503875968992255E-2</v>
      </c>
      <c r="F27" s="80">
        <f>E27+F25</f>
        <v>0.16752238447208703</v>
      </c>
      <c r="G27" s="80">
        <f>F27+G25</f>
        <v>0.24683905773030004</v>
      </c>
      <c r="H27" s="80">
        <f t="shared" ref="H27:I27" si="9">G27+H25</f>
        <v>0.32406128506224813</v>
      </c>
      <c r="I27" s="80">
        <f t="shared" si="9"/>
        <v>0.39965991090096753</v>
      </c>
      <c r="J27" s="80">
        <f>I27+J25</f>
        <v>0.47399993093098258</v>
      </c>
      <c r="K27" s="80">
        <f t="shared" ref="K27:N27" si="10">J27+K25</f>
        <v>0.54736428754339739</v>
      </c>
      <c r="L27" s="80">
        <f t="shared" si="10"/>
        <v>0.61997231592511426</v>
      </c>
      <c r="M27" s="80">
        <f t="shared" si="10"/>
        <v>0.69199404335280179</v>
      </c>
      <c r="N27" s="80">
        <f t="shared" si="10"/>
        <v>0.76356127391690065</v>
      </c>
    </row>
    <row r="28" spans="1:15" ht="14.25" x14ac:dyDescent="0.45">
      <c r="B28" s="158" t="s">
        <v>17</v>
      </c>
      <c r="C28" s="176" t="s">
        <v>32</v>
      </c>
      <c r="D28" s="15" t="s">
        <v>43</v>
      </c>
      <c r="E28" s="17">
        <f t="shared" ref="E28:N28" si="11">((1+$E$11)*$E$7)+($E$7*E18)</f>
        <v>4.2751937984496127E-2</v>
      </c>
      <c r="F28" s="17">
        <f t="shared" si="11"/>
        <v>4.1009254251547389E-2</v>
      </c>
      <c r="G28" s="17">
        <f t="shared" si="11"/>
        <v>3.9658336629106505E-2</v>
      </c>
      <c r="H28" s="17">
        <f t="shared" si="11"/>
        <v>3.8611113665974035E-2</v>
      </c>
      <c r="I28" s="17">
        <f t="shared" si="11"/>
        <v>3.7799312919359715E-2</v>
      </c>
      <c r="J28" s="17">
        <f t="shared" si="11"/>
        <v>3.7170010015007533E-2</v>
      </c>
      <c r="K28" s="17">
        <f t="shared" si="11"/>
        <v>3.6682178306207389E-2</v>
      </c>
      <c r="L28" s="17">
        <f t="shared" si="11"/>
        <v>3.6304014190858443E-2</v>
      </c>
      <c r="M28" s="17">
        <f t="shared" si="11"/>
        <v>3.6010863713843752E-2</v>
      </c>
      <c r="N28" s="17">
        <f t="shared" si="11"/>
        <v>3.5783615282049423E-2</v>
      </c>
    </row>
    <row r="29" spans="1:15" ht="15" customHeight="1" x14ac:dyDescent="0.45">
      <c r="B29" s="159"/>
      <c r="C29" s="177"/>
      <c r="D29" s="15" t="s">
        <v>44</v>
      </c>
      <c r="E29" s="17"/>
      <c r="F29" s="17"/>
      <c r="G29" s="17"/>
      <c r="H29" s="17"/>
      <c r="I29" s="17">
        <f>AVERAGE(E28:I28)</f>
        <v>3.9965991090096756E-2</v>
      </c>
      <c r="J29" s="16"/>
      <c r="K29" s="16"/>
      <c r="L29" s="16"/>
      <c r="M29" s="16"/>
      <c r="N29" s="17">
        <f>AVERAGE(E28:N28)</f>
        <v>3.8178063695845033E-2</v>
      </c>
    </row>
    <row r="30" spans="1:15" ht="14.25" x14ac:dyDescent="0.45">
      <c r="B30" s="159"/>
      <c r="C30" s="177"/>
      <c r="D30" s="19" t="s">
        <v>42</v>
      </c>
      <c r="E30" s="80">
        <f>E28</f>
        <v>4.2751937984496127E-2</v>
      </c>
      <c r="F30" s="80">
        <f t="shared" ref="F30:N30" si="12">E30+F28</f>
        <v>8.3761192236043516E-2</v>
      </c>
      <c r="G30" s="80">
        <f>F30+G28</f>
        <v>0.12341952886515002</v>
      </c>
      <c r="H30" s="80">
        <f t="shared" si="12"/>
        <v>0.16203064253112406</v>
      </c>
      <c r="I30" s="80">
        <f t="shared" si="12"/>
        <v>0.19982995545048376</v>
      </c>
      <c r="J30" s="80">
        <f>I30+J28</f>
        <v>0.23699996546549129</v>
      </c>
      <c r="K30" s="80">
        <f t="shared" si="12"/>
        <v>0.27368214377169869</v>
      </c>
      <c r="L30" s="80">
        <f t="shared" si="12"/>
        <v>0.30998615796255713</v>
      </c>
      <c r="M30" s="80">
        <f t="shared" si="12"/>
        <v>0.3459970216764009</v>
      </c>
      <c r="N30" s="80">
        <f t="shared" si="12"/>
        <v>0.38178063695845033</v>
      </c>
    </row>
    <row r="31" spans="1:15" ht="14.25" x14ac:dyDescent="0.45">
      <c r="B31" s="3"/>
      <c r="C31" s="1"/>
      <c r="D31" s="43"/>
      <c r="E31" s="31"/>
      <c r="F31" s="31"/>
      <c r="G31" s="31"/>
      <c r="H31" s="31"/>
      <c r="I31" s="31"/>
      <c r="J31" s="31"/>
      <c r="K31" s="31"/>
      <c r="L31" s="31"/>
      <c r="M31" s="31"/>
      <c r="N31" s="31"/>
    </row>
    <row r="32" spans="1:15" ht="14.25"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row>
    <row r="33" spans="2:14" ht="14.25" x14ac:dyDescent="0.45">
      <c r="B33" s="169"/>
      <c r="C33" s="171"/>
      <c r="D33" s="173"/>
      <c r="E33" s="149"/>
      <c r="F33" s="149"/>
      <c r="G33" s="149"/>
      <c r="H33" s="149"/>
      <c r="I33" s="149"/>
      <c r="J33" s="149"/>
      <c r="K33" s="149"/>
      <c r="L33" s="149"/>
      <c r="M33" s="149"/>
      <c r="N33" s="149"/>
    </row>
    <row r="34" spans="2:14" ht="14.25" x14ac:dyDescent="0.45">
      <c r="B34" s="158" t="s">
        <v>141</v>
      </c>
      <c r="C34" s="166" t="s">
        <v>32</v>
      </c>
      <c r="D34" s="15" t="s">
        <v>58</v>
      </c>
      <c r="E34" s="16">
        <f>E39*$E$4/E$15</f>
        <v>7.7519379844961239E-2</v>
      </c>
      <c r="F34" s="16">
        <f t="shared" ref="F34:N34" si="13">F39*$E$4/F$15</f>
        <v>6.0092542515473829E-2</v>
      </c>
      <c r="G34" s="16">
        <f t="shared" si="13"/>
        <v>4.6583366291064986E-2</v>
      </c>
      <c r="H34" s="16">
        <f t="shared" si="13"/>
        <v>3.6111136659740299E-2</v>
      </c>
      <c r="I34" s="16">
        <f t="shared" si="13"/>
        <v>2.7993129193597133E-2</v>
      </c>
      <c r="J34" s="16">
        <f t="shared" si="13"/>
        <v>2.1700100150075299E-2</v>
      </c>
      <c r="K34" s="16">
        <f t="shared" si="13"/>
        <v>1.6821783062073874E-2</v>
      </c>
      <c r="L34" s="16">
        <f t="shared" si="13"/>
        <v>1.3040141908584399E-2</v>
      </c>
      <c r="M34" s="16">
        <f t="shared" si="13"/>
        <v>1.010863713843752E-2</v>
      </c>
      <c r="N34" s="16">
        <f t="shared" si="13"/>
        <v>7.8361528204942011E-3</v>
      </c>
    </row>
    <row r="35" spans="2:14" ht="14.25" x14ac:dyDescent="0.45">
      <c r="B35" s="159"/>
      <c r="C35" s="166"/>
      <c r="D35" s="15" t="s">
        <v>59</v>
      </c>
      <c r="E35" s="16"/>
      <c r="F35" s="16"/>
      <c r="G35" s="16"/>
      <c r="H35" s="16"/>
      <c r="I35" s="82">
        <f>AVERAGE(E34:I34)</f>
        <v>4.9659910900967504E-2</v>
      </c>
      <c r="J35" s="16"/>
      <c r="K35" s="16"/>
      <c r="L35" s="16"/>
      <c r="M35" s="16"/>
      <c r="N35" s="17">
        <f>AVERAGE(E34:N34)</f>
        <v>3.1780636958450278E-2</v>
      </c>
    </row>
    <row r="36" spans="2:14" ht="14.25" x14ac:dyDescent="0.45">
      <c r="B36" s="159"/>
      <c r="C36" s="166"/>
      <c r="D36" s="15" t="s">
        <v>42</v>
      </c>
      <c r="E36" s="16">
        <f t="shared" ref="E36:N36" si="14">E$17*(E34/E$19)</f>
        <v>7.7519379844961239E-2</v>
      </c>
      <c r="F36" s="16">
        <f t="shared" si="14"/>
        <v>0.13761192236043507</v>
      </c>
      <c r="G36" s="16">
        <f>G$17*(G34/G$19)</f>
        <v>0.18419528865150009</v>
      </c>
      <c r="H36" s="16">
        <f>H$17*(H34/H$19)</f>
        <v>0.22030642531124023</v>
      </c>
      <c r="I36" s="16">
        <f>I$17*(I34/I$19)</f>
        <v>0.24829955450483765</v>
      </c>
      <c r="J36" s="16">
        <f t="shared" si="14"/>
        <v>0.26999965465491277</v>
      </c>
      <c r="K36" s="16">
        <f t="shared" si="14"/>
        <v>0.28682143771698643</v>
      </c>
      <c r="L36" s="16">
        <f t="shared" si="14"/>
        <v>0.29986157962557164</v>
      </c>
      <c r="M36" s="16">
        <f t="shared" si="14"/>
        <v>0.30997021676400793</v>
      </c>
      <c r="N36" s="16">
        <f t="shared" si="14"/>
        <v>0.31780636958450348</v>
      </c>
    </row>
    <row r="37" spans="2:14" ht="14.25" customHeight="1" x14ac:dyDescent="0.45">
      <c r="B37" s="159"/>
      <c r="C37" s="167"/>
      <c r="D37" s="19" t="s">
        <v>45</v>
      </c>
      <c r="E37" s="20">
        <f t="shared" ref="E37:N37" si="15">10*E34</f>
        <v>0.77519379844961245</v>
      </c>
      <c r="F37" s="20">
        <f t="shared" si="15"/>
        <v>0.60092542515473824</v>
      </c>
      <c r="G37" s="20">
        <f t="shared" si="15"/>
        <v>0.46583366291064987</v>
      </c>
      <c r="H37" s="20">
        <f t="shared" si="15"/>
        <v>0.36111136659740301</v>
      </c>
      <c r="I37" s="20">
        <f t="shared" si="15"/>
        <v>0.27993129193597133</v>
      </c>
      <c r="J37" s="20">
        <f t="shared" si="15"/>
        <v>0.21700100150075299</v>
      </c>
      <c r="K37" s="20">
        <f t="shared" si="15"/>
        <v>0.16821783062073875</v>
      </c>
      <c r="L37" s="20">
        <f t="shared" si="15"/>
        <v>0.13040141908584399</v>
      </c>
      <c r="M37" s="20">
        <f t="shared" si="15"/>
        <v>0.10108637138437521</v>
      </c>
      <c r="N37" s="20">
        <f t="shared" si="15"/>
        <v>7.8361528204942008E-2</v>
      </c>
    </row>
    <row r="38" spans="2:14" ht="14.25" x14ac:dyDescent="0.45">
      <c r="B38" s="159"/>
      <c r="C38" s="167"/>
      <c r="D38" s="19" t="s">
        <v>46</v>
      </c>
      <c r="E38" s="20">
        <f>10*E36</f>
        <v>0.77519379844961245</v>
      </c>
      <c r="F38" s="20">
        <f>10*F36</f>
        <v>1.3761192236043507</v>
      </c>
      <c r="G38" s="20">
        <f>10*G36</f>
        <v>1.841952886515001</v>
      </c>
      <c r="H38" s="20">
        <f t="shared" ref="H38:N38" si="16">10*H36</f>
        <v>2.2030642531124025</v>
      </c>
      <c r="I38" s="20">
        <f t="shared" si="16"/>
        <v>2.4829955450483765</v>
      </c>
      <c r="J38" s="20">
        <f t="shared" si="16"/>
        <v>2.6999965465491278</v>
      </c>
      <c r="K38" s="20">
        <f t="shared" si="16"/>
        <v>2.8682143771698643</v>
      </c>
      <c r="L38" s="20">
        <f t="shared" si="16"/>
        <v>2.9986157962557165</v>
      </c>
      <c r="M38" s="20">
        <f t="shared" si="16"/>
        <v>3.0997021676400793</v>
      </c>
      <c r="N38" s="20">
        <f t="shared" si="16"/>
        <v>3.1780636958450348</v>
      </c>
    </row>
    <row r="39" spans="2:14" ht="14.25" x14ac:dyDescent="0.45">
      <c r="B39" s="159"/>
      <c r="C39" s="165" t="s">
        <v>36</v>
      </c>
      <c r="D39" s="15" t="s">
        <v>43</v>
      </c>
      <c r="E39" s="16">
        <f>E8</f>
        <v>0.1</v>
      </c>
      <c r="F39" s="16">
        <f>E39</f>
        <v>0.1</v>
      </c>
      <c r="G39" s="16">
        <f t="shared" ref="G39:N39" si="17">F39</f>
        <v>0.1</v>
      </c>
      <c r="H39" s="16">
        <f t="shared" si="17"/>
        <v>0.1</v>
      </c>
      <c r="I39" s="16">
        <f t="shared" si="17"/>
        <v>0.1</v>
      </c>
      <c r="J39" s="16">
        <f t="shared" si="17"/>
        <v>0.1</v>
      </c>
      <c r="K39" s="16">
        <f t="shared" si="17"/>
        <v>0.1</v>
      </c>
      <c r="L39" s="16">
        <f t="shared" si="17"/>
        <v>0.1</v>
      </c>
      <c r="M39" s="16">
        <f t="shared" si="17"/>
        <v>0.1</v>
      </c>
      <c r="N39" s="16">
        <f t="shared" si="17"/>
        <v>0.1</v>
      </c>
    </row>
    <row r="40" spans="2:14" ht="14.25" customHeight="1" x14ac:dyDescent="0.45">
      <c r="B40" s="159"/>
      <c r="C40" s="167"/>
      <c r="D40" s="19" t="s">
        <v>45</v>
      </c>
      <c r="E40" s="21">
        <f>E37*E$15</f>
        <v>100000</v>
      </c>
      <c r="F40" s="21">
        <f t="shared" ref="F40:N40" si="18">F37*F$15</f>
        <v>99999.999999999985</v>
      </c>
      <c r="G40" s="21">
        <f>G37*G$15</f>
        <v>100000</v>
      </c>
      <c r="H40" s="21">
        <f>H37*H$15</f>
        <v>100000</v>
      </c>
      <c r="I40" s="21">
        <f>I37*I$15</f>
        <v>100000</v>
      </c>
      <c r="J40" s="21">
        <f t="shared" si="18"/>
        <v>100000</v>
      </c>
      <c r="K40" s="21">
        <f t="shared" si="18"/>
        <v>100000</v>
      </c>
      <c r="L40" s="21">
        <f t="shared" si="18"/>
        <v>100000</v>
      </c>
      <c r="M40" s="21">
        <f t="shared" si="18"/>
        <v>100000.00000000001</v>
      </c>
      <c r="N40" s="21">
        <f t="shared" si="18"/>
        <v>99999.999999999985</v>
      </c>
    </row>
    <row r="41" spans="2:14" ht="14.25" x14ac:dyDescent="0.45">
      <c r="B41" s="159"/>
      <c r="C41" s="167"/>
      <c r="D41" s="19" t="s">
        <v>46</v>
      </c>
      <c r="E41" s="21">
        <f>E40</f>
        <v>100000</v>
      </c>
      <c r="F41" s="21">
        <f>E41+F40</f>
        <v>200000</v>
      </c>
      <c r="G41" s="21">
        <f>F41+G40</f>
        <v>300000</v>
      </c>
      <c r="H41" s="21">
        <f t="shared" ref="H41:N41" si="19">G41+H40</f>
        <v>400000</v>
      </c>
      <c r="I41" s="21">
        <f t="shared" si="19"/>
        <v>500000</v>
      </c>
      <c r="J41" s="21">
        <f>I41+J40</f>
        <v>600000</v>
      </c>
      <c r="K41" s="21">
        <f t="shared" si="19"/>
        <v>700000</v>
      </c>
      <c r="L41" s="21">
        <f t="shared" si="19"/>
        <v>800000</v>
      </c>
      <c r="M41" s="21">
        <f t="shared" si="19"/>
        <v>900000</v>
      </c>
      <c r="N41" s="21">
        <f t="shared" si="19"/>
        <v>1000000</v>
      </c>
    </row>
    <row r="42" spans="2:14" ht="14.25" x14ac:dyDescent="0.45">
      <c r="B42" s="159"/>
      <c r="C42" s="165" t="s">
        <v>35</v>
      </c>
      <c r="D42" s="15" t="s">
        <v>43</v>
      </c>
      <c r="E42" s="16">
        <f>E36*E$15/$E$4</f>
        <v>0.1</v>
      </c>
      <c r="F42" s="16">
        <f>F36*F$15/$E$4-E42</f>
        <v>0.129</v>
      </c>
      <c r="G42" s="16">
        <f>G36*G$15/$E$4-F42-E42</f>
        <v>0.16641000000000009</v>
      </c>
      <c r="H42" s="16">
        <f>H36*H$15/$E$4-G42-F42-E42</f>
        <v>0.21466889999999958</v>
      </c>
      <c r="I42" s="16">
        <f>I36*I$15/$E$4-H42-G42-F42-E42</f>
        <v>0.27692288100000084</v>
      </c>
      <c r="J42" s="16">
        <f>J36*J$15/$E$4-I42-H42-G42-F42-E42</f>
        <v>0.35723051648999904</v>
      </c>
      <c r="K42" s="16">
        <f>K36*K$15/$E$4-J42-I42-H42-G42-F42-E42</f>
        <v>0.46082736627209886</v>
      </c>
      <c r="L42" s="16">
        <f>L36*L$15/$E$4-K42-J42-I42-H42-G42-F42-E42</f>
        <v>0.59446730249101465</v>
      </c>
      <c r="M42" s="16">
        <f>M36*M$15/$E$4-L42-K42-J42-I42-H42-G42-F42-E42</f>
        <v>0.76686282021339069</v>
      </c>
      <c r="N42" s="16">
        <f>N36*N$15/$E$4-M42-L42-K42-J42-I42-H42-G42-F42-E42</f>
        <v>0.98925303807530207</v>
      </c>
    </row>
    <row r="43" spans="2:14" ht="14.25" x14ac:dyDescent="0.45">
      <c r="B43" s="159"/>
      <c r="C43" s="166"/>
      <c r="D43" s="15" t="s">
        <v>44</v>
      </c>
      <c r="E43" s="17"/>
      <c r="F43" s="17"/>
      <c r="G43" s="17"/>
      <c r="H43" s="17"/>
      <c r="I43" s="38">
        <f>AVERAGE(E42:I42)</f>
        <v>0.17740035620000011</v>
      </c>
      <c r="J43" s="17"/>
      <c r="K43" s="17"/>
      <c r="L43" s="17"/>
      <c r="M43" s="17"/>
      <c r="N43" s="17">
        <f>AVERAGE(E42:N42)</f>
        <v>0.40556428245418064</v>
      </c>
    </row>
    <row r="44" spans="2:14" ht="14.25" x14ac:dyDescent="0.45">
      <c r="B44" s="159"/>
      <c r="C44" s="167"/>
      <c r="D44" s="19" t="s">
        <v>45</v>
      </c>
      <c r="E44" s="22">
        <f>E46</f>
        <v>100000</v>
      </c>
      <c r="F44" s="22">
        <f>F46-E46</f>
        <v>129000</v>
      </c>
      <c r="G44" s="22">
        <f>G46-F46</f>
        <v>166410.00000000006</v>
      </c>
      <c r="H44" s="22">
        <f t="shared" ref="H44:N44" si="20">H46-G46</f>
        <v>214668.89999999962</v>
      </c>
      <c r="I44" s="22">
        <f t="shared" si="20"/>
        <v>276922.88100000075</v>
      </c>
      <c r="J44" s="22">
        <f>J46-I46</f>
        <v>357230.51648999937</v>
      </c>
      <c r="K44" s="22">
        <f t="shared" si="20"/>
        <v>460827.36627209862</v>
      </c>
      <c r="L44" s="22">
        <f t="shared" si="20"/>
        <v>594467.30249101459</v>
      </c>
      <c r="M44" s="22">
        <f t="shared" si="20"/>
        <v>766862.82021339051</v>
      </c>
      <c r="N44" s="22">
        <f t="shared" si="20"/>
        <v>989253.03807530319</v>
      </c>
    </row>
    <row r="45" spans="2:14" ht="15" customHeight="1" x14ac:dyDescent="0.45">
      <c r="B45" s="159"/>
      <c r="C45" s="167"/>
      <c r="D45" s="19" t="s">
        <v>47</v>
      </c>
      <c r="E45" s="22"/>
      <c r="F45" s="22"/>
      <c r="G45" s="22"/>
      <c r="H45" s="22"/>
      <c r="I45" s="22">
        <f>AVERAGE(E44:I44)</f>
        <v>177400.3562000001</v>
      </c>
      <c r="J45" s="22"/>
      <c r="K45" s="22"/>
      <c r="L45" s="22"/>
      <c r="M45" s="22"/>
      <c r="N45" s="22">
        <f>AVERAGE(E44:N44)</f>
        <v>405564.28245418065</v>
      </c>
    </row>
    <row r="46" spans="2:14" ht="14.25" x14ac:dyDescent="0.45">
      <c r="B46" s="160"/>
      <c r="C46" s="167"/>
      <c r="D46" s="19" t="s">
        <v>46</v>
      </c>
      <c r="E46" s="21">
        <f t="shared" ref="E46:N46" si="21">E38*E$15</f>
        <v>100000</v>
      </c>
      <c r="F46" s="21">
        <f t="shared" si="21"/>
        <v>229000</v>
      </c>
      <c r="G46" s="21">
        <f>G38*G$15</f>
        <v>395410.00000000006</v>
      </c>
      <c r="H46" s="21">
        <f>H38*H$15</f>
        <v>610078.89999999967</v>
      </c>
      <c r="I46" s="21">
        <f>I38*I$15</f>
        <v>887001.78100000042</v>
      </c>
      <c r="J46" s="21">
        <f t="shared" si="21"/>
        <v>1244232.2974899998</v>
      </c>
      <c r="K46" s="21">
        <f t="shared" si="21"/>
        <v>1705059.6637620984</v>
      </c>
      <c r="L46" s="21">
        <f t="shared" si="21"/>
        <v>2299526.966253113</v>
      </c>
      <c r="M46" s="21">
        <f t="shared" si="21"/>
        <v>3066389.7864665035</v>
      </c>
      <c r="N46" s="21">
        <f t="shared" si="21"/>
        <v>4055642.8245418067</v>
      </c>
    </row>
    <row r="47" spans="2:14" ht="14.25" x14ac:dyDescent="0.45">
      <c r="B47" s="3"/>
      <c r="C47" s="1"/>
      <c r="D47" s="43"/>
      <c r="E47" s="31"/>
      <c r="F47" s="31"/>
      <c r="G47" s="31"/>
      <c r="H47" s="31"/>
      <c r="I47" s="31"/>
      <c r="J47" s="31"/>
      <c r="K47" s="31"/>
      <c r="L47" s="31"/>
      <c r="M47" s="31"/>
      <c r="N47" s="31"/>
    </row>
    <row r="48" spans="2:14" ht="14.25"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5" ht="14.25" x14ac:dyDescent="0.45">
      <c r="B49" s="151"/>
      <c r="C49" s="175"/>
      <c r="D49" s="153"/>
      <c r="E49" s="149"/>
      <c r="F49" s="149"/>
      <c r="G49" s="149"/>
      <c r="H49" s="149"/>
      <c r="I49" s="149"/>
      <c r="J49" s="149"/>
      <c r="K49" s="149"/>
      <c r="L49" s="149"/>
      <c r="M49" s="149"/>
      <c r="N49" s="149"/>
    </row>
    <row r="50" spans="1:15" ht="14.25" x14ac:dyDescent="0.45">
      <c r="B50" s="158" t="s">
        <v>141</v>
      </c>
      <c r="C50" s="166" t="s">
        <v>32</v>
      </c>
      <c r="D50" s="15" t="s">
        <v>43</v>
      </c>
      <c r="E50" s="16">
        <f>E55*$E$4/E$15</f>
        <v>0.18410852713178294</v>
      </c>
      <c r="F50" s="16">
        <f t="shared" ref="F50:N50" si="22">F55*$E$4/F$15</f>
        <v>0.14271978847425035</v>
      </c>
      <c r="G50" s="16">
        <f t="shared" si="22"/>
        <v>0.11063549494127935</v>
      </c>
      <c r="H50" s="16">
        <f t="shared" si="22"/>
        <v>8.5763949566883213E-2</v>
      </c>
      <c r="I50" s="16">
        <f t="shared" si="22"/>
        <v>6.6483681834793196E-2</v>
      </c>
      <c r="J50" s="16">
        <f t="shared" si="22"/>
        <v>5.1537737856428838E-2</v>
      </c>
      <c r="K50" s="16">
        <f t="shared" si="22"/>
        <v>3.9951734772425453E-2</v>
      </c>
      <c r="L50" s="16">
        <f t="shared" si="22"/>
        <v>3.097033703288795E-2</v>
      </c>
      <c r="M50" s="16">
        <f t="shared" si="22"/>
        <v>2.4008013203789109E-2</v>
      </c>
      <c r="N50" s="16">
        <f t="shared" si="22"/>
        <v>1.8610862948673729E-2</v>
      </c>
    </row>
    <row r="51" spans="1:15" ht="14.25" x14ac:dyDescent="0.45">
      <c r="B51" s="159"/>
      <c r="C51" s="166"/>
      <c r="D51" s="15" t="s">
        <v>44</v>
      </c>
      <c r="E51" s="16"/>
      <c r="F51" s="16"/>
      <c r="G51" s="16"/>
      <c r="H51" s="16"/>
      <c r="I51" s="127">
        <f>AVERAGE(E50:I50)</f>
        <v>0.11794228838979781</v>
      </c>
      <c r="J51" s="16"/>
      <c r="K51" s="16"/>
      <c r="L51" s="16"/>
      <c r="M51" s="16"/>
      <c r="N51" s="17">
        <f>AVERAGE(E50:N50)</f>
        <v>7.547901277631941E-2</v>
      </c>
    </row>
    <row r="52" spans="1:15" ht="14.25" x14ac:dyDescent="0.45">
      <c r="B52" s="159"/>
      <c r="C52" s="166"/>
      <c r="D52" s="15" t="s">
        <v>42</v>
      </c>
      <c r="E52" s="16">
        <f t="shared" ref="E52:N52" si="23">E$17*(E50/E$19)</f>
        <v>0.18410852713178294</v>
      </c>
      <c r="F52" s="16">
        <f t="shared" si="23"/>
        <v>0.32682831560603331</v>
      </c>
      <c r="G52" s="16">
        <f t="shared" si="23"/>
        <v>0.43746381054731276</v>
      </c>
      <c r="H52" s="16">
        <f t="shared" si="23"/>
        <v>0.52322776011419558</v>
      </c>
      <c r="I52" s="16">
        <f t="shared" si="23"/>
        <v>0.5897114419489895</v>
      </c>
      <c r="J52" s="16">
        <f t="shared" si="23"/>
        <v>0.64124917980541796</v>
      </c>
      <c r="K52" s="16">
        <f t="shared" si="23"/>
        <v>0.68120091457784282</v>
      </c>
      <c r="L52" s="16">
        <f t="shared" si="23"/>
        <v>0.7121712516107328</v>
      </c>
      <c r="M52" s="16">
        <f t="shared" si="23"/>
        <v>0.7361792648145189</v>
      </c>
      <c r="N52" s="16">
        <f t="shared" si="23"/>
        <v>0.75479012776319587</v>
      </c>
    </row>
    <row r="53" spans="1:15" ht="14.25" customHeight="1" x14ac:dyDescent="0.45">
      <c r="B53" s="159"/>
      <c r="C53" s="167"/>
      <c r="D53" s="19" t="s">
        <v>45</v>
      </c>
      <c r="E53" s="20">
        <f>10*E50</f>
        <v>1.8410852713178294</v>
      </c>
      <c r="F53" s="20">
        <f t="shared" ref="F53:N53" si="24">10*F50</f>
        <v>1.4271978847425035</v>
      </c>
      <c r="G53" s="20">
        <f t="shared" si="24"/>
        <v>1.1063549494127936</v>
      </c>
      <c r="H53" s="20">
        <f t="shared" si="24"/>
        <v>0.85763949566883213</v>
      </c>
      <c r="I53" s="20">
        <f t="shared" si="24"/>
        <v>0.66483681834793196</v>
      </c>
      <c r="J53" s="20">
        <f t="shared" si="24"/>
        <v>0.51537737856428834</v>
      </c>
      <c r="K53" s="20">
        <f t="shared" si="24"/>
        <v>0.39951734772425451</v>
      </c>
      <c r="L53" s="20">
        <f t="shared" si="24"/>
        <v>0.30970337032887951</v>
      </c>
      <c r="M53" s="20">
        <f t="shared" si="24"/>
        <v>0.24008013203789108</v>
      </c>
      <c r="N53" s="20">
        <f t="shared" si="24"/>
        <v>0.18610862948673729</v>
      </c>
    </row>
    <row r="54" spans="1:15" ht="14.25" x14ac:dyDescent="0.45">
      <c r="B54" s="159"/>
      <c r="C54" s="167"/>
      <c r="D54" s="19" t="s">
        <v>46</v>
      </c>
      <c r="E54" s="20">
        <f>10*E52</f>
        <v>1.8410852713178294</v>
      </c>
      <c r="F54" s="20">
        <f>10*F52</f>
        <v>3.2682831560603329</v>
      </c>
      <c r="G54" s="20">
        <f>10*G52</f>
        <v>4.374638105473128</v>
      </c>
      <c r="H54" s="20">
        <f t="shared" ref="H54:N54" si="25">10*H52</f>
        <v>5.2322776011419556</v>
      </c>
      <c r="I54" s="20">
        <f t="shared" si="25"/>
        <v>5.8971144194898955</v>
      </c>
      <c r="J54" s="20">
        <f t="shared" si="25"/>
        <v>6.4124917980541793</v>
      </c>
      <c r="K54" s="20">
        <f t="shared" si="25"/>
        <v>6.8120091457784282</v>
      </c>
      <c r="L54" s="20">
        <f t="shared" si="25"/>
        <v>7.121712516107328</v>
      </c>
      <c r="M54" s="20">
        <f t="shared" si="25"/>
        <v>7.3617926481451885</v>
      </c>
      <c r="N54" s="20">
        <f t="shared" si="25"/>
        <v>7.5479012776319587</v>
      </c>
    </row>
    <row r="55" spans="1:15" ht="14.25" x14ac:dyDescent="0.45">
      <c r="B55" s="159"/>
      <c r="C55" s="165" t="s">
        <v>36</v>
      </c>
      <c r="D55" s="15" t="s">
        <v>43</v>
      </c>
      <c r="E55" s="16">
        <f t="shared" ref="E55:N55" si="26">$E9+($E$10*$E$11)</f>
        <v>0.23749999999999999</v>
      </c>
      <c r="F55" s="16">
        <f t="shared" si="26"/>
        <v>0.23749999999999999</v>
      </c>
      <c r="G55" s="16">
        <f t="shared" si="26"/>
        <v>0.23749999999999999</v>
      </c>
      <c r="H55" s="16">
        <f t="shared" si="26"/>
        <v>0.23749999999999999</v>
      </c>
      <c r="I55" s="16">
        <f t="shared" si="26"/>
        <v>0.23749999999999999</v>
      </c>
      <c r="J55" s="16">
        <f t="shared" si="26"/>
        <v>0.23749999999999999</v>
      </c>
      <c r="K55" s="16">
        <f t="shared" si="26"/>
        <v>0.23749999999999999</v>
      </c>
      <c r="L55" s="16">
        <f t="shared" si="26"/>
        <v>0.23749999999999999</v>
      </c>
      <c r="M55" s="16">
        <f t="shared" si="26"/>
        <v>0.23749999999999999</v>
      </c>
      <c r="N55" s="16">
        <f t="shared" si="26"/>
        <v>0.23749999999999999</v>
      </c>
    </row>
    <row r="56" spans="1:15" ht="14.25" customHeight="1" x14ac:dyDescent="0.45">
      <c r="B56" s="159"/>
      <c r="C56" s="167"/>
      <c r="D56" s="19" t="s">
        <v>45</v>
      </c>
      <c r="E56" s="21">
        <f t="shared" ref="E56:N56" si="27">E53*E$15</f>
        <v>237500</v>
      </c>
      <c r="F56" s="21">
        <f t="shared" si="27"/>
        <v>237500</v>
      </c>
      <c r="G56" s="21">
        <f t="shared" si="27"/>
        <v>237500.00000000003</v>
      </c>
      <c r="H56" s="21">
        <f t="shared" si="27"/>
        <v>237500</v>
      </c>
      <c r="I56" s="21">
        <f t="shared" si="27"/>
        <v>237500</v>
      </c>
      <c r="J56" s="21">
        <f t="shared" si="27"/>
        <v>237500</v>
      </c>
      <c r="K56" s="21">
        <f t="shared" si="27"/>
        <v>237500</v>
      </c>
      <c r="L56" s="21">
        <f t="shared" si="27"/>
        <v>237500.00000000003</v>
      </c>
      <c r="M56" s="21">
        <f t="shared" si="27"/>
        <v>237500</v>
      </c>
      <c r="N56" s="21">
        <f t="shared" si="27"/>
        <v>237500</v>
      </c>
    </row>
    <row r="57" spans="1:15" ht="14.25" x14ac:dyDescent="0.45">
      <c r="B57" s="159"/>
      <c r="C57" s="167"/>
      <c r="D57" s="19" t="s">
        <v>46</v>
      </c>
      <c r="E57" s="21">
        <f>E56</f>
        <v>237500</v>
      </c>
      <c r="F57" s="21">
        <f>E57+F56</f>
        <v>475000</v>
      </c>
      <c r="G57" s="21">
        <f>F57+G56</f>
        <v>712500</v>
      </c>
      <c r="H57" s="21">
        <f t="shared" ref="H57:N57" si="28">G57+H56</f>
        <v>950000</v>
      </c>
      <c r="I57" s="21">
        <f t="shared" si="28"/>
        <v>1187500</v>
      </c>
      <c r="J57" s="21">
        <f>I57+J56</f>
        <v>1425000</v>
      </c>
      <c r="K57" s="21">
        <f t="shared" si="28"/>
        <v>1662500</v>
      </c>
      <c r="L57" s="21">
        <f t="shared" si="28"/>
        <v>1900000</v>
      </c>
      <c r="M57" s="21">
        <f t="shared" si="28"/>
        <v>2137500</v>
      </c>
      <c r="N57" s="21">
        <f t="shared" si="28"/>
        <v>2375000</v>
      </c>
    </row>
    <row r="58" spans="1:15" ht="14.25" x14ac:dyDescent="0.45">
      <c r="B58" s="159"/>
      <c r="C58" s="165" t="s">
        <v>35</v>
      </c>
      <c r="D58" s="15" t="s">
        <v>43</v>
      </c>
      <c r="E58" s="16">
        <f>E52*E$15/$E$4</f>
        <v>0.23749999999999999</v>
      </c>
      <c r="F58" s="16">
        <f>F52*F$15/$E$4-E58</f>
        <v>0.30637500000000012</v>
      </c>
      <c r="G58" s="16">
        <f>G52*G$15/$E$4-F58-E58</f>
        <v>0.39522375000000026</v>
      </c>
      <c r="H58" s="16">
        <f>H52*H$15/$E$4-G58-F58-E58</f>
        <v>0.50983863749999903</v>
      </c>
      <c r="I58" s="16">
        <f>I52*I$15/$E$4-H58-G58-F58-E58</f>
        <v>0.65769184237500222</v>
      </c>
      <c r="J58" s="16">
        <f>J52*J$15/$E$4-I58-H58-G58-F58-E58</f>
        <v>0.84842247666374848</v>
      </c>
      <c r="K58" s="16">
        <f>K52*K$15/$E$4-J58-I58-H58-G58-F58-E58</f>
        <v>1.0944649948962333</v>
      </c>
      <c r="L58" s="16">
        <f>L52*L$15/$E$4-K58-J58-I58-H58-G58-F58-E58</f>
        <v>1.4118598434161616</v>
      </c>
      <c r="M58" s="16">
        <f>M52*M$15/$E$4-L58-K58-J58-I58-H58-G58-F58-E58</f>
        <v>1.8212991980068007</v>
      </c>
      <c r="N58" s="16">
        <f>N52*N$15/$E$4-M58-L58-K58-J58-I58-H58-G58-F58-E58</f>
        <v>2.3494759654288471</v>
      </c>
    </row>
    <row r="59" spans="1:15" ht="14.25" x14ac:dyDescent="0.45">
      <c r="B59" s="159"/>
      <c r="C59" s="166"/>
      <c r="D59" s="15" t="s">
        <v>44</v>
      </c>
      <c r="E59" s="17"/>
      <c r="F59" s="17"/>
      <c r="G59" s="17"/>
      <c r="H59" s="17"/>
      <c r="I59" s="17">
        <f>AVERAGE(E58:I58)</f>
        <v>0.42132584597500033</v>
      </c>
      <c r="J59" s="17"/>
      <c r="K59" s="17"/>
      <c r="L59" s="17"/>
      <c r="M59" s="17"/>
      <c r="N59" s="17">
        <f>AVERAGE(E58:N58)</f>
        <v>0.96321517082867936</v>
      </c>
    </row>
    <row r="60" spans="1:15" ht="14.25" x14ac:dyDescent="0.45">
      <c r="B60" s="159"/>
      <c r="C60" s="167"/>
      <c r="D60" s="19" t="s">
        <v>45</v>
      </c>
      <c r="E60" s="22">
        <f>E62</f>
        <v>237500</v>
      </c>
      <c r="F60" s="22">
        <f>F62-E62</f>
        <v>306375</v>
      </c>
      <c r="G60" s="22">
        <f>G62-F62</f>
        <v>395223.75000000035</v>
      </c>
      <c r="H60" s="22">
        <f t="shared" ref="H60:N60" si="29">H62-G62</f>
        <v>509838.63749999891</v>
      </c>
      <c r="I60" s="22">
        <f t="shared" si="29"/>
        <v>657691.84237500234</v>
      </c>
      <c r="J60" s="22">
        <f>J62-I62</f>
        <v>848422.47666374827</v>
      </c>
      <c r="K60" s="22">
        <f t="shared" si="29"/>
        <v>1094464.994896234</v>
      </c>
      <c r="L60" s="22">
        <f t="shared" si="29"/>
        <v>1411859.8434161609</v>
      </c>
      <c r="M60" s="22">
        <f t="shared" si="29"/>
        <v>1821299.1980068013</v>
      </c>
      <c r="N60" s="22">
        <f t="shared" si="29"/>
        <v>2349475.965428846</v>
      </c>
    </row>
    <row r="61" spans="1:15" ht="15" customHeight="1" x14ac:dyDescent="0.45">
      <c r="B61" s="159"/>
      <c r="C61" s="167"/>
      <c r="D61" s="19" t="s">
        <v>47</v>
      </c>
      <c r="E61" s="22"/>
      <c r="F61" s="22"/>
      <c r="G61" s="22"/>
      <c r="H61" s="22"/>
      <c r="I61" s="22">
        <f>AVERAGE(E60:I60)</f>
        <v>421325.84597500029</v>
      </c>
      <c r="J61" s="22"/>
      <c r="K61" s="22"/>
      <c r="L61" s="22"/>
      <c r="M61" s="22"/>
      <c r="N61" s="22">
        <f>AVERAGE(E60:N60)</f>
        <v>963215.17082867923</v>
      </c>
    </row>
    <row r="62" spans="1:15" ht="14.25" x14ac:dyDescent="0.45">
      <c r="B62" s="160"/>
      <c r="C62" s="167"/>
      <c r="D62" s="19" t="s">
        <v>46</v>
      </c>
      <c r="E62" s="21">
        <f t="shared" ref="E62:N62" si="30">E54*E$15</f>
        <v>237500</v>
      </c>
      <c r="F62" s="21">
        <f t="shared" si="30"/>
        <v>543875</v>
      </c>
      <c r="G62" s="21">
        <f t="shared" si="30"/>
        <v>939098.75000000035</v>
      </c>
      <c r="H62" s="21">
        <f t="shared" si="30"/>
        <v>1448937.3874999993</v>
      </c>
      <c r="I62" s="21">
        <f t="shared" si="30"/>
        <v>2106629.2298750016</v>
      </c>
      <c r="J62" s="21">
        <f t="shared" si="30"/>
        <v>2955051.7065387499</v>
      </c>
      <c r="K62" s="21">
        <f t="shared" si="30"/>
        <v>4049516.7014349839</v>
      </c>
      <c r="L62" s="21">
        <f t="shared" si="30"/>
        <v>5461376.5448511448</v>
      </c>
      <c r="M62" s="21">
        <f t="shared" si="30"/>
        <v>7282675.7428579461</v>
      </c>
      <c r="N62" s="21">
        <f t="shared" si="30"/>
        <v>9632151.708286792</v>
      </c>
    </row>
    <row r="63" spans="1:15" ht="14.25" x14ac:dyDescent="0.45">
      <c r="A63" s="8"/>
      <c r="B63" s="3"/>
      <c r="C63" s="1"/>
      <c r="D63" s="43"/>
      <c r="E63" s="31"/>
      <c r="F63" s="31"/>
      <c r="G63" s="31"/>
      <c r="H63" s="31"/>
      <c r="I63" s="31"/>
      <c r="J63" s="31"/>
      <c r="K63" s="31"/>
      <c r="L63" s="31"/>
      <c r="M63" s="31"/>
      <c r="N63" s="31"/>
      <c r="O63" s="8"/>
    </row>
    <row r="64" spans="1:15" ht="14.25"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4.25" x14ac:dyDescent="0.45">
      <c r="B65" s="164"/>
      <c r="C65" s="162"/>
      <c r="D65" s="155"/>
      <c r="E65" s="149"/>
      <c r="F65" s="149"/>
      <c r="G65" s="149"/>
      <c r="H65" s="149"/>
      <c r="I65" s="149"/>
      <c r="J65" s="149"/>
      <c r="K65" s="149"/>
      <c r="L65" s="149"/>
      <c r="M65" s="149"/>
      <c r="N65" s="149"/>
    </row>
    <row r="66" spans="2:14" ht="14.25" x14ac:dyDescent="0.45">
      <c r="B66" s="167" t="s">
        <v>16</v>
      </c>
      <c r="C66" s="166" t="s">
        <v>32</v>
      </c>
      <c r="D66" s="15" t="s">
        <v>58</v>
      </c>
      <c r="E66" s="16">
        <f>E$23</f>
        <v>0.78682170542635665</v>
      </c>
      <c r="F66" s="16">
        <f t="shared" ref="F66:N66" si="31">F$23</f>
        <v>0.6099393065320593</v>
      </c>
      <c r="G66" s="16">
        <f t="shared" si="31"/>
        <v>0.47282116785430944</v>
      </c>
      <c r="H66" s="16">
        <f t="shared" si="31"/>
        <v>0.36652803709636422</v>
      </c>
      <c r="I66" s="16">
        <f t="shared" si="31"/>
        <v>0.28413026131501068</v>
      </c>
      <c r="J66" s="16">
        <f t="shared" si="31"/>
        <v>0.22025601652326426</v>
      </c>
      <c r="K66" s="16">
        <f t="shared" si="31"/>
        <v>0.17074109808004995</v>
      </c>
      <c r="L66" s="16">
        <f t="shared" si="31"/>
        <v>0.13235744037213137</v>
      </c>
      <c r="M66" s="16">
        <f t="shared" si="31"/>
        <v>0.10260266695514103</v>
      </c>
      <c r="N66" s="16">
        <f t="shared" si="31"/>
        <v>7.9536951128015954E-2</v>
      </c>
    </row>
    <row r="67" spans="2:14" ht="14.25" x14ac:dyDescent="0.45">
      <c r="B67" s="167"/>
      <c r="C67" s="166"/>
      <c r="D67" s="15" t="s">
        <v>59</v>
      </c>
      <c r="E67" s="16"/>
      <c r="F67" s="16"/>
      <c r="G67" s="16"/>
      <c r="H67" s="16"/>
      <c r="I67" s="82">
        <f>AVERAGE(E66:I66)</f>
        <v>0.50404809564482012</v>
      </c>
      <c r="J67" s="16"/>
      <c r="K67" s="16"/>
      <c r="L67" s="16"/>
      <c r="M67" s="16"/>
      <c r="N67" s="17">
        <f>AVERAGE(E66:N66)</f>
        <v>0.32257346512827029</v>
      </c>
    </row>
    <row r="68" spans="2:14" ht="14.25" x14ac:dyDescent="0.45">
      <c r="B68" s="167"/>
      <c r="C68" s="166"/>
      <c r="D68" s="15" t="s">
        <v>42</v>
      </c>
      <c r="E68" s="16">
        <f>E$17*(E66/E$19)</f>
        <v>0.78682170542635665</v>
      </c>
      <c r="F68" s="16">
        <f t="shared" ref="F68:N68" si="32">F$17*(F66/F$19)</f>
        <v>1.3967610119584157</v>
      </c>
      <c r="G68" s="16">
        <f>G$17*(G66/G$19)</f>
        <v>1.8695821798127255</v>
      </c>
      <c r="H68" s="16">
        <f>H$17*(H66/H$19)</f>
        <v>2.2361102169090898</v>
      </c>
      <c r="I68" s="16">
        <f>I$17*(I66/I$19)</f>
        <v>2.5202404782241006</v>
      </c>
      <c r="J68" s="16">
        <f t="shared" si="32"/>
        <v>2.7404964947473647</v>
      </c>
      <c r="K68" s="16">
        <f t="shared" si="32"/>
        <v>2.9112375928274146</v>
      </c>
      <c r="L68" s="16">
        <f t="shared" si="32"/>
        <v>3.0435950331995461</v>
      </c>
      <c r="M68" s="16">
        <f t="shared" si="32"/>
        <v>3.146197700154687</v>
      </c>
      <c r="N68" s="16">
        <f t="shared" si="32"/>
        <v>3.225734651282703</v>
      </c>
    </row>
    <row r="69" spans="2:14" ht="14.25" customHeight="1" x14ac:dyDescent="0.45">
      <c r="B69" s="167"/>
      <c r="C69" s="167"/>
      <c r="D69" s="19" t="s">
        <v>45</v>
      </c>
      <c r="E69" s="20">
        <f>10*E66</f>
        <v>7.8682170542635665</v>
      </c>
      <c r="F69" s="20">
        <f t="shared" ref="F69:N69" si="33">10*F66</f>
        <v>6.0993930653205926</v>
      </c>
      <c r="G69" s="20">
        <f t="shared" si="33"/>
        <v>4.7282116785430945</v>
      </c>
      <c r="H69" s="20">
        <f t="shared" si="33"/>
        <v>3.6652803709636421</v>
      </c>
      <c r="I69" s="20">
        <f t="shared" si="33"/>
        <v>2.8413026131501069</v>
      </c>
      <c r="J69" s="20">
        <f t="shared" si="33"/>
        <v>2.2025601652326428</v>
      </c>
      <c r="K69" s="20">
        <f t="shared" si="33"/>
        <v>1.7074109808004994</v>
      </c>
      <c r="L69" s="20">
        <f t="shared" si="33"/>
        <v>1.3235744037213137</v>
      </c>
      <c r="M69" s="20">
        <f t="shared" si="33"/>
        <v>1.0260266695514102</v>
      </c>
      <c r="N69" s="20">
        <f t="shared" si="33"/>
        <v>0.79536951128015954</v>
      </c>
    </row>
    <row r="70" spans="2:14" ht="14.25" x14ac:dyDescent="0.45">
      <c r="B70" s="167"/>
      <c r="C70" s="167"/>
      <c r="D70" s="19" t="s">
        <v>46</v>
      </c>
      <c r="E70" s="20">
        <f>10*E68</f>
        <v>7.8682170542635665</v>
      </c>
      <c r="F70" s="20">
        <f>10*F68</f>
        <v>13.967610119584158</v>
      </c>
      <c r="G70" s="20">
        <f>10*G68</f>
        <v>18.695821798127255</v>
      </c>
      <c r="H70" s="20">
        <f t="shared" ref="H70:N70" si="34">10*H68</f>
        <v>22.361102169090898</v>
      </c>
      <c r="I70" s="20">
        <f t="shared" si="34"/>
        <v>25.202404782241004</v>
      </c>
      <c r="J70" s="20">
        <f t="shared" si="34"/>
        <v>27.404964947473648</v>
      </c>
      <c r="K70" s="20">
        <f t="shared" si="34"/>
        <v>29.112375928274147</v>
      </c>
      <c r="L70" s="20">
        <f t="shared" si="34"/>
        <v>30.435950331995461</v>
      </c>
      <c r="M70" s="20">
        <f t="shared" si="34"/>
        <v>31.46197700154687</v>
      </c>
      <c r="N70" s="20">
        <f t="shared" si="34"/>
        <v>32.257346512827027</v>
      </c>
    </row>
    <row r="71" spans="2:14" ht="14.25" x14ac:dyDescent="0.45">
      <c r="B71" s="167"/>
      <c r="C71" s="165" t="s">
        <v>36</v>
      </c>
      <c r="D71" s="15" t="s">
        <v>43</v>
      </c>
      <c r="E71" s="16">
        <f t="shared" ref="E71:N71" si="35">E66*E$15/$E$4</f>
        <v>1.0150000000000001</v>
      </c>
      <c r="F71" s="16">
        <f t="shared" si="35"/>
        <v>1.0149999999999999</v>
      </c>
      <c r="G71" s="16">
        <f t="shared" si="35"/>
        <v>1.0149999999999997</v>
      </c>
      <c r="H71" s="16">
        <f t="shared" si="35"/>
        <v>1.0150000000000006</v>
      </c>
      <c r="I71" s="16">
        <f t="shared" si="35"/>
        <v>1.0149999999999992</v>
      </c>
      <c r="J71" s="16">
        <f t="shared" si="35"/>
        <v>1.0149999999999999</v>
      </c>
      <c r="K71" s="16">
        <f t="shared" si="35"/>
        <v>1.0150000000000008</v>
      </c>
      <c r="L71" s="16">
        <f t="shared" si="35"/>
        <v>1.0149999999999979</v>
      </c>
      <c r="M71" s="16">
        <f t="shared" si="35"/>
        <v>1.0150000000000021</v>
      </c>
      <c r="N71" s="16">
        <f t="shared" si="35"/>
        <v>1.0149999999999975</v>
      </c>
    </row>
    <row r="72" spans="2:14" ht="14.25" customHeight="1" x14ac:dyDescent="0.45">
      <c r="B72" s="167"/>
      <c r="C72" s="167"/>
      <c r="D72" s="19" t="s">
        <v>45</v>
      </c>
      <c r="E72" s="21">
        <f t="shared" ref="E72:N72" si="36">E69*E$15</f>
        <v>1015000.0000000001</v>
      </c>
      <c r="F72" s="21">
        <f t="shared" si="36"/>
        <v>1014999.9999999998</v>
      </c>
      <c r="G72" s="21">
        <f>G69*G$15</f>
        <v>1014999.9999999997</v>
      </c>
      <c r="H72" s="21">
        <f>H69*H$15</f>
        <v>1015000.0000000005</v>
      </c>
      <c r="I72" s="21">
        <f>I69*I$15</f>
        <v>1014999.9999999992</v>
      </c>
      <c r="J72" s="21">
        <f t="shared" si="36"/>
        <v>1014999.9999999999</v>
      </c>
      <c r="K72" s="21">
        <f t="shared" si="36"/>
        <v>1015000.0000000006</v>
      </c>
      <c r="L72" s="21">
        <f t="shared" si="36"/>
        <v>1014999.9999999979</v>
      </c>
      <c r="M72" s="21">
        <f t="shared" si="36"/>
        <v>1015000.000000002</v>
      </c>
      <c r="N72" s="21">
        <f t="shared" si="36"/>
        <v>1014999.9999999976</v>
      </c>
    </row>
    <row r="73" spans="2:14" ht="14.25" x14ac:dyDescent="0.45">
      <c r="B73" s="167"/>
      <c r="C73" s="167"/>
      <c r="D73" s="19" t="s">
        <v>46</v>
      </c>
      <c r="E73" s="21">
        <f>E72</f>
        <v>1015000.0000000001</v>
      </c>
      <c r="F73" s="21">
        <f>E73+F72</f>
        <v>2030000</v>
      </c>
      <c r="G73" s="21">
        <f>F73+G72</f>
        <v>3044999.9999999995</v>
      </c>
      <c r="H73" s="21">
        <f t="shared" ref="H73:N73" si="37">G73+H72</f>
        <v>4060000</v>
      </c>
      <c r="I73" s="21">
        <f t="shared" si="37"/>
        <v>5074999.9999999991</v>
      </c>
      <c r="J73" s="21">
        <f>I73+J72</f>
        <v>6089999.9999999991</v>
      </c>
      <c r="K73" s="21">
        <f t="shared" si="37"/>
        <v>7105000</v>
      </c>
      <c r="L73" s="21">
        <f t="shared" si="37"/>
        <v>8119999.9999999981</v>
      </c>
      <c r="M73" s="21">
        <f t="shared" si="37"/>
        <v>9135000</v>
      </c>
      <c r="N73" s="21">
        <f t="shared" si="37"/>
        <v>10149999.999999998</v>
      </c>
    </row>
    <row r="74" spans="2:14" ht="14.25" x14ac:dyDescent="0.45">
      <c r="B74" s="167"/>
      <c r="C74" s="165" t="s">
        <v>35</v>
      </c>
      <c r="D74" s="15" t="s">
        <v>43</v>
      </c>
      <c r="E74" s="16">
        <f>E68*E$15/$E$4</f>
        <v>1.0150000000000001</v>
      </c>
      <c r="F74" s="16">
        <f>F68*F$15/$E$4-E74</f>
        <v>1.3093499999999998</v>
      </c>
      <c r="G74" s="16">
        <f>G68*G$15/$E$4-F74-E74</f>
        <v>1.6890614999999993</v>
      </c>
      <c r="H74" s="16">
        <f>H68*H$15/$E$4-G74-F74-E74</f>
        <v>2.1788893350000018</v>
      </c>
      <c r="I74" s="16">
        <f>I68*I$15/$E$4-H74-G74-F74-E74</f>
        <v>2.8107672421499981</v>
      </c>
      <c r="J74" s="16">
        <f>J68*J$15/$E$4-I74-H74-G74-F74-E74</f>
        <v>3.625889742373499</v>
      </c>
      <c r="K74" s="16">
        <f>K68*K$15/$E$4-J74-I74-H74-G74-F74-E74</f>
        <v>4.6773977676618124</v>
      </c>
      <c r="L74" s="16">
        <f>L68*L$15/$E$4-K74-J74-I74-H74-G74-F74-E74</f>
        <v>6.0338431202837377</v>
      </c>
      <c r="M74" s="16">
        <f>M68*M$15/$E$4-L74-K74-J74-I74-H74-G74-F74-E74</f>
        <v>7.7836576251660254</v>
      </c>
      <c r="N74" s="16">
        <f>N68*N$15/$E$4-M74-L74-K74-J74-I74-H74-G74-F74-E74</f>
        <v>10.04091833646417</v>
      </c>
    </row>
    <row r="75" spans="2:14" ht="14.25" x14ac:dyDescent="0.45">
      <c r="B75" s="167"/>
      <c r="C75" s="166"/>
      <c r="D75" s="15" t="s">
        <v>44</v>
      </c>
      <c r="E75" s="17"/>
      <c r="F75" s="17"/>
      <c r="G75" s="17"/>
      <c r="H75" s="17"/>
      <c r="I75" s="17">
        <f>AVERAGE(E74:I74)</f>
        <v>1.8006136154299999</v>
      </c>
      <c r="J75" s="17"/>
      <c r="K75" s="17"/>
      <c r="L75" s="17"/>
      <c r="M75" s="17"/>
      <c r="N75" s="17">
        <f>AVERAGE(E74:N74)</f>
        <v>4.1164774669099247</v>
      </c>
    </row>
    <row r="76" spans="2:14" ht="14.25" x14ac:dyDescent="0.45">
      <c r="B76" s="167"/>
      <c r="C76" s="167"/>
      <c r="D76" s="19" t="s">
        <v>45</v>
      </c>
      <c r="E76" s="22">
        <f>E78</f>
        <v>1015000.0000000001</v>
      </c>
      <c r="F76" s="22">
        <f>F78-E78</f>
        <v>1309350</v>
      </c>
      <c r="G76" s="22">
        <f>G78-F78</f>
        <v>1689061.5</v>
      </c>
      <c r="H76" s="22">
        <f t="shared" ref="H76:N76" si="38">H78-G78</f>
        <v>2178889.3350000009</v>
      </c>
      <c r="I76" s="22">
        <f t="shared" si="38"/>
        <v>2810767.2421499975</v>
      </c>
      <c r="J76" s="22">
        <f>J78-I78</f>
        <v>3625889.7423735</v>
      </c>
      <c r="K76" s="22">
        <f t="shared" si="38"/>
        <v>4677397.7676618136</v>
      </c>
      <c r="L76" s="22">
        <f t="shared" si="38"/>
        <v>6033843.1202837378</v>
      </c>
      <c r="M76" s="22">
        <f t="shared" si="38"/>
        <v>7783657.625166025</v>
      </c>
      <c r="N76" s="22">
        <f t="shared" si="38"/>
        <v>10040918.336464167</v>
      </c>
    </row>
    <row r="77" spans="2:14" ht="14.25" x14ac:dyDescent="0.45">
      <c r="B77" s="167"/>
      <c r="C77" s="167"/>
      <c r="D77" s="19" t="s">
        <v>47</v>
      </c>
      <c r="E77" s="22"/>
      <c r="F77" s="22"/>
      <c r="G77" s="22"/>
      <c r="H77" s="22"/>
      <c r="I77" s="22">
        <f>AVERAGE(E76:I76)</f>
        <v>1800613.6154299998</v>
      </c>
      <c r="J77" s="22"/>
      <c r="K77" s="22"/>
      <c r="L77" s="22"/>
      <c r="M77" s="22"/>
      <c r="N77" s="22">
        <f>AVERAGE(E76:N76)</f>
        <v>4116477.4669099241</v>
      </c>
    </row>
    <row r="78" spans="2:14" ht="14.25" x14ac:dyDescent="0.45">
      <c r="B78" s="167"/>
      <c r="C78" s="167"/>
      <c r="D78" s="19" t="s">
        <v>46</v>
      </c>
      <c r="E78" s="21">
        <f t="shared" ref="E78:N78" si="39">E70*E$15</f>
        <v>1015000.0000000001</v>
      </c>
      <c r="F78" s="21">
        <f t="shared" si="39"/>
        <v>2324350</v>
      </c>
      <c r="G78" s="21">
        <f>G70*G$15</f>
        <v>4013411.5</v>
      </c>
      <c r="H78" s="21">
        <f>H70*H$15</f>
        <v>6192300.8350000009</v>
      </c>
      <c r="I78" s="21">
        <f>I70*I$15</f>
        <v>9003068.0771499984</v>
      </c>
      <c r="J78" s="21">
        <f t="shared" si="39"/>
        <v>12628957.819523498</v>
      </c>
      <c r="K78" s="21">
        <f t="shared" si="39"/>
        <v>17306355.587185312</v>
      </c>
      <c r="L78" s="21">
        <f t="shared" si="39"/>
        <v>23340198.70746905</v>
      </c>
      <c r="M78" s="21">
        <f t="shared" si="39"/>
        <v>31123856.332635075</v>
      </c>
      <c r="N78" s="21">
        <f t="shared" si="39"/>
        <v>41164774.669099241</v>
      </c>
    </row>
    <row r="79" spans="2:14" ht="14.25" x14ac:dyDescent="0.45">
      <c r="B79" s="167" t="s">
        <v>141</v>
      </c>
      <c r="C79" s="166" t="s">
        <v>32</v>
      </c>
      <c r="D79" s="15" t="s">
        <v>43</v>
      </c>
      <c r="E79" s="16">
        <f>E$25</f>
        <v>8.5503875968992255E-2</v>
      </c>
      <c r="F79" s="16">
        <f t="shared" ref="F79:N79" si="40">F$25</f>
        <v>8.2018508503094778E-2</v>
      </c>
      <c r="G79" s="16">
        <f t="shared" si="40"/>
        <v>7.9316673258213011E-2</v>
      </c>
      <c r="H79" s="16">
        <f t="shared" si="40"/>
        <v>7.7222227331948071E-2</v>
      </c>
      <c r="I79" s="16">
        <f t="shared" si="40"/>
        <v>7.559862583871943E-2</v>
      </c>
      <c r="J79" s="16">
        <f t="shared" si="40"/>
        <v>7.4340020030015067E-2</v>
      </c>
      <c r="K79" s="16">
        <f t="shared" si="40"/>
        <v>7.3364356612414777E-2</v>
      </c>
      <c r="L79" s="16">
        <f t="shared" si="40"/>
        <v>7.2608028381716885E-2</v>
      </c>
      <c r="M79" s="16">
        <f t="shared" si="40"/>
        <v>7.2021727427687504E-2</v>
      </c>
      <c r="N79" s="16">
        <f t="shared" si="40"/>
        <v>7.1567230564098847E-2</v>
      </c>
    </row>
    <row r="80" spans="2:14" ht="14.25" x14ac:dyDescent="0.45">
      <c r="B80" s="167"/>
      <c r="C80" s="166"/>
      <c r="D80" s="15" t="s">
        <v>44</v>
      </c>
      <c r="E80" s="16"/>
      <c r="F80" s="16"/>
      <c r="G80" s="16"/>
      <c r="H80" s="16"/>
      <c r="I80" s="82">
        <f>AVERAGE(E79:I79)</f>
        <v>7.9931982180193512E-2</v>
      </c>
      <c r="J80" s="17"/>
      <c r="K80" s="17"/>
      <c r="L80" s="17"/>
      <c r="M80" s="17"/>
      <c r="N80" s="17">
        <f>AVERAGE(E79:N79)</f>
        <v>7.6356127391690065E-2</v>
      </c>
    </row>
    <row r="81" spans="2:14" ht="14.25" x14ac:dyDescent="0.45">
      <c r="B81" s="167"/>
      <c r="C81" s="166"/>
      <c r="D81" s="15" t="s">
        <v>42</v>
      </c>
      <c r="E81" s="16">
        <f>E$27</f>
        <v>8.5503875968992255E-2</v>
      </c>
      <c r="F81" s="16">
        <f t="shared" ref="F81:N81" si="41">F$27</f>
        <v>0.16752238447208703</v>
      </c>
      <c r="G81" s="16">
        <f t="shared" si="41"/>
        <v>0.24683905773030004</v>
      </c>
      <c r="H81" s="16">
        <f t="shared" si="41"/>
        <v>0.32406128506224813</v>
      </c>
      <c r="I81" s="16">
        <f t="shared" si="41"/>
        <v>0.39965991090096753</v>
      </c>
      <c r="J81" s="16">
        <f t="shared" si="41"/>
        <v>0.47399993093098258</v>
      </c>
      <c r="K81" s="16">
        <f t="shared" si="41"/>
        <v>0.54736428754339739</v>
      </c>
      <c r="L81" s="16">
        <f t="shared" si="41"/>
        <v>0.61997231592511426</v>
      </c>
      <c r="M81" s="16">
        <f t="shared" si="41"/>
        <v>0.69199404335280179</v>
      </c>
      <c r="N81" s="16">
        <f t="shared" si="41"/>
        <v>0.76356127391690065</v>
      </c>
    </row>
    <row r="82" spans="2:14" ht="14.25" customHeight="1" x14ac:dyDescent="0.45">
      <c r="B82" s="167"/>
      <c r="C82" s="167"/>
      <c r="D82" s="19" t="s">
        <v>45</v>
      </c>
      <c r="E82" s="20">
        <f t="shared" ref="E82:N82" si="42">10*E79</f>
        <v>0.85503875968992249</v>
      </c>
      <c r="F82" s="20">
        <f t="shared" si="42"/>
        <v>0.82018508503094778</v>
      </c>
      <c r="G82" s="20">
        <f t="shared" si="42"/>
        <v>0.79316673258213011</v>
      </c>
      <c r="H82" s="20">
        <f t="shared" si="42"/>
        <v>0.77222227331948068</v>
      </c>
      <c r="I82" s="20">
        <f t="shared" si="42"/>
        <v>0.75598625838719435</v>
      </c>
      <c r="J82" s="20">
        <f t="shared" si="42"/>
        <v>0.74340020030015064</v>
      </c>
      <c r="K82" s="20">
        <f t="shared" si="42"/>
        <v>0.73364356612414783</v>
      </c>
      <c r="L82" s="20">
        <f t="shared" si="42"/>
        <v>0.72608028381716883</v>
      </c>
      <c r="M82" s="20">
        <f t="shared" si="42"/>
        <v>0.7202172742768751</v>
      </c>
      <c r="N82" s="20">
        <f t="shared" si="42"/>
        <v>0.71567230564098849</v>
      </c>
    </row>
    <row r="83" spans="2:14" ht="14.25" x14ac:dyDescent="0.45">
      <c r="B83" s="167"/>
      <c r="C83" s="167"/>
      <c r="D83" s="19" t="s">
        <v>46</v>
      </c>
      <c r="E83" s="20">
        <f>10*E81</f>
        <v>0.85503875968992249</v>
      </c>
      <c r="F83" s="20">
        <f t="shared" ref="F83:N83" si="43">10*F81</f>
        <v>1.6752238447208703</v>
      </c>
      <c r="G83" s="20">
        <f t="shared" si="43"/>
        <v>2.4683905773030004</v>
      </c>
      <c r="H83" s="20">
        <f t="shared" si="43"/>
        <v>3.2406128506224814</v>
      </c>
      <c r="I83" s="20">
        <f t="shared" si="43"/>
        <v>3.9965991090096753</v>
      </c>
      <c r="J83" s="20">
        <f t="shared" si="43"/>
        <v>4.7399993093098258</v>
      </c>
      <c r="K83" s="20">
        <f t="shared" si="43"/>
        <v>5.4736428754339741</v>
      </c>
      <c r="L83" s="20">
        <f t="shared" si="43"/>
        <v>6.1997231592511426</v>
      </c>
      <c r="M83" s="20">
        <f t="shared" si="43"/>
        <v>6.9199404335280175</v>
      </c>
      <c r="N83" s="20">
        <f t="shared" si="43"/>
        <v>7.635612739169007</v>
      </c>
    </row>
    <row r="84" spans="2:14" ht="14.25" x14ac:dyDescent="0.45">
      <c r="B84" s="167"/>
      <c r="C84" s="165" t="s">
        <v>36</v>
      </c>
      <c r="D84" s="15" t="s">
        <v>43</v>
      </c>
      <c r="E84" s="16">
        <f>E79*E$15/$E$4</f>
        <v>0.1103</v>
      </c>
      <c r="F84" s="16">
        <f t="shared" ref="F84:N84" si="44">F79*F$15/$E$4</f>
        <v>0.13648700000000002</v>
      </c>
      <c r="G84" s="16">
        <f t="shared" si="44"/>
        <v>0.17026823000000005</v>
      </c>
      <c r="H84" s="16">
        <f t="shared" si="44"/>
        <v>0.21384601670000003</v>
      </c>
      <c r="I84" s="16">
        <f t="shared" si="44"/>
        <v>0.27006136154299998</v>
      </c>
      <c r="J84" s="16">
        <f t="shared" si="44"/>
        <v>0.34257915639046993</v>
      </c>
      <c r="K84" s="16">
        <f t="shared" si="44"/>
        <v>0.43612711174370627</v>
      </c>
      <c r="L84" s="16">
        <f t="shared" si="44"/>
        <v>0.55680397414938099</v>
      </c>
      <c r="M84" s="16">
        <f t="shared" si="44"/>
        <v>0.71247712665270135</v>
      </c>
      <c r="N84" s="16">
        <f t="shared" si="44"/>
        <v>0.91329549338198501</v>
      </c>
    </row>
    <row r="85" spans="2:14" ht="14.25" x14ac:dyDescent="0.45">
      <c r="B85" s="167"/>
      <c r="C85" s="166"/>
      <c r="D85" s="15" t="s">
        <v>44</v>
      </c>
      <c r="E85" s="16"/>
      <c r="F85" s="16"/>
      <c r="G85" s="16"/>
      <c r="H85" s="16"/>
      <c r="I85" s="17">
        <f>AVERAGE(E84:I84)</f>
        <v>0.18019252164860003</v>
      </c>
      <c r="J85" s="17"/>
      <c r="K85" s="17"/>
      <c r="L85" s="17"/>
      <c r="M85" s="17"/>
      <c r="N85" s="17">
        <f>AVERAGE(E84:N84)</f>
        <v>0.38622454705612441</v>
      </c>
    </row>
    <row r="86" spans="2:14" ht="14.25" x14ac:dyDescent="0.45">
      <c r="B86" s="167"/>
      <c r="C86" s="167"/>
      <c r="D86" s="19" t="s">
        <v>45</v>
      </c>
      <c r="E86" s="23">
        <f t="shared" ref="E86:F86" si="45">E82*E$15</f>
        <v>110300</v>
      </c>
      <c r="F86" s="23">
        <f t="shared" si="45"/>
        <v>136487.00000000003</v>
      </c>
      <c r="G86" s="23">
        <f>G82*G$15</f>
        <v>170268.23000000004</v>
      </c>
      <c r="H86" s="23">
        <f>H82*H$15</f>
        <v>213846.01670000001</v>
      </c>
      <c r="I86" s="23">
        <f>I82*I$15</f>
        <v>270061.36154299998</v>
      </c>
      <c r="J86" s="23">
        <f t="shared" ref="J86:N86" si="46">J82*J$15</f>
        <v>342579.15639046993</v>
      </c>
      <c r="K86" s="23">
        <f t="shared" si="46"/>
        <v>436127.11174370628</v>
      </c>
      <c r="L86" s="23">
        <f t="shared" si="46"/>
        <v>556803.97414938104</v>
      </c>
      <c r="M86" s="23">
        <f t="shared" si="46"/>
        <v>712477.12665270153</v>
      </c>
      <c r="N86" s="23">
        <f t="shared" si="46"/>
        <v>913295.493381985</v>
      </c>
    </row>
    <row r="87" spans="2:14" ht="14.25" customHeight="1" x14ac:dyDescent="0.45">
      <c r="B87" s="167"/>
      <c r="C87" s="167"/>
      <c r="D87" s="19" t="s">
        <v>47</v>
      </c>
      <c r="E87" s="24"/>
      <c r="F87" s="24"/>
      <c r="G87" s="24"/>
      <c r="H87" s="24"/>
      <c r="I87" s="23">
        <f>AVERAGE(E86:I86)</f>
        <v>180192.52164860003</v>
      </c>
      <c r="J87" s="23"/>
      <c r="K87" s="23"/>
      <c r="L87" s="23"/>
      <c r="M87" s="23"/>
      <c r="N87" s="23">
        <f>AVERAGE(E86:N86)</f>
        <v>386224.54705612443</v>
      </c>
    </row>
    <row r="88" spans="2:14" ht="14.25" x14ac:dyDescent="0.45">
      <c r="B88" s="167"/>
      <c r="C88" s="167"/>
      <c r="D88" s="19" t="s">
        <v>46</v>
      </c>
      <c r="E88" s="24">
        <f>E86</f>
        <v>110300</v>
      </c>
      <c r="F88" s="24">
        <f t="shared" ref="F88" si="47">E88+F86</f>
        <v>246787.00000000003</v>
      </c>
      <c r="G88" s="24">
        <f>F88+G86</f>
        <v>417055.2300000001</v>
      </c>
      <c r="H88" s="24">
        <f t="shared" ref="H88:I88" si="48">G88+H86</f>
        <v>630901.24670000013</v>
      </c>
      <c r="I88" s="24">
        <f t="shared" si="48"/>
        <v>900962.60824300011</v>
      </c>
      <c r="J88" s="24">
        <f>I88+J86</f>
        <v>1243541.76463347</v>
      </c>
      <c r="K88" s="24">
        <f t="shared" ref="K88:N88" si="49">J88+K86</f>
        <v>1679668.8763771763</v>
      </c>
      <c r="L88" s="24">
        <f t="shared" si="49"/>
        <v>2236472.8505265573</v>
      </c>
      <c r="M88" s="24">
        <f t="shared" si="49"/>
        <v>2948949.9771792591</v>
      </c>
      <c r="N88" s="24">
        <f t="shared" si="49"/>
        <v>3862245.4705612441</v>
      </c>
    </row>
    <row r="89" spans="2:14" ht="14.25" x14ac:dyDescent="0.45">
      <c r="B89" s="167"/>
      <c r="C89" s="165" t="s">
        <v>35</v>
      </c>
      <c r="D89" s="15" t="s">
        <v>43</v>
      </c>
      <c r="E89" s="16">
        <f>E81*E$15/$E$4</f>
        <v>0.1103</v>
      </c>
      <c r="F89" s="16">
        <f>F81*F$15/$E$4-E89</f>
        <v>0.16847400000000001</v>
      </c>
      <c r="G89" s="16">
        <f>G81*G$15/$E$4-F89-E89</f>
        <v>0.25111269000000008</v>
      </c>
      <c r="H89" s="16">
        <f>H81*H$15/$E$4-G89-F89-E89</f>
        <v>0.36751315679999991</v>
      </c>
      <c r="I89" s="16">
        <f>I81*I$15/$E$4-H89-G89-F89-E89</f>
        <v>0.53030731711500023</v>
      </c>
      <c r="J89" s="16">
        <f>J81*J$15/$E$4-I89-H89-G89-F89-E89</f>
        <v>0.75661423392581961</v>
      </c>
      <c r="K89" s="16">
        <f>K81*K$15/$E$4-J89-I89-H89-G89-F89-E89</f>
        <v>1.0695803171175444</v>
      </c>
      <c r="L89" s="16">
        <f>L81*L$15/$E$4-K89-J89-I89-H89-G89-F89-E89</f>
        <v>1.500435471487306</v>
      </c>
      <c r="M89" s="16">
        <f>M81*M$15/$E$4-L89-K89-J89-I89-H89-G89-F89-E89</f>
        <v>2.0912349107219446</v>
      </c>
      <c r="N89" s="16">
        <f>N81*N$15/$E$4-M89-L89-K89-J89-I89-H89-G89-F89-E89</f>
        <v>2.8985114015605959</v>
      </c>
    </row>
    <row r="90" spans="2:14" ht="14.25" x14ac:dyDescent="0.45">
      <c r="B90" s="167"/>
      <c r="C90" s="166"/>
      <c r="D90" s="15" t="s">
        <v>44</v>
      </c>
      <c r="E90" s="17"/>
      <c r="F90" s="17"/>
      <c r="G90" s="17"/>
      <c r="H90" s="17"/>
      <c r="I90" s="17">
        <f>AVERAGE(E89:I89)</f>
        <v>0.28554143278300004</v>
      </c>
      <c r="J90" s="17"/>
      <c r="K90" s="17"/>
      <c r="L90" s="17"/>
      <c r="M90" s="17"/>
      <c r="N90" s="17">
        <f>AVERAGE(E89:N89)</f>
        <v>0.9744083498728211</v>
      </c>
    </row>
    <row r="91" spans="2:14" ht="14.25" x14ac:dyDescent="0.45">
      <c r="B91" s="167"/>
      <c r="C91" s="167"/>
      <c r="D91" s="19" t="s">
        <v>45</v>
      </c>
      <c r="E91" s="23">
        <f>E93</f>
        <v>110300</v>
      </c>
      <c r="F91" s="23">
        <f>F93-E93</f>
        <v>168474</v>
      </c>
      <c r="G91" s="23">
        <f>G93-F93</f>
        <v>251112.69000000006</v>
      </c>
      <c r="H91" s="23">
        <f>H93-G93</f>
        <v>367513.15680000011</v>
      </c>
      <c r="I91" s="23">
        <f>I93-H93</f>
        <v>530307.31711499975</v>
      </c>
      <c r="J91" s="23">
        <f>J93-I93</f>
        <v>756614.23392581986</v>
      </c>
      <c r="K91" s="23">
        <f t="shared" ref="K91:N91" si="50">K93-J93</f>
        <v>1069580.3171175444</v>
      </c>
      <c r="L91" s="23">
        <f t="shared" si="50"/>
        <v>1500435.4714873061</v>
      </c>
      <c r="M91" s="23">
        <f t="shared" si="50"/>
        <v>2091234.9107219456</v>
      </c>
      <c r="N91" s="23">
        <f t="shared" si="50"/>
        <v>2898511.4015605943</v>
      </c>
    </row>
    <row r="92" spans="2:14" ht="14.25" x14ac:dyDescent="0.45">
      <c r="B92" s="167"/>
      <c r="C92" s="167"/>
      <c r="D92" s="19" t="s">
        <v>47</v>
      </c>
      <c r="E92" s="23"/>
      <c r="F92" s="23"/>
      <c r="G92" s="23"/>
      <c r="H92" s="23"/>
      <c r="I92" s="23">
        <f>AVERAGE(E91:I91)</f>
        <v>285541.432783</v>
      </c>
      <c r="J92" s="23"/>
      <c r="K92" s="23"/>
      <c r="L92" s="23"/>
      <c r="M92" s="23"/>
      <c r="N92" s="23">
        <f>AVERAGE(E91:N91)</f>
        <v>974408.34987282101</v>
      </c>
    </row>
    <row r="93" spans="2:14" ht="14.25" x14ac:dyDescent="0.45">
      <c r="B93" s="167"/>
      <c r="C93" s="167"/>
      <c r="D93" s="19" t="s">
        <v>46</v>
      </c>
      <c r="E93" s="24">
        <f t="shared" ref="E93:F93" si="51">E83*E$15</f>
        <v>110300</v>
      </c>
      <c r="F93" s="24">
        <f t="shared" si="51"/>
        <v>278774</v>
      </c>
      <c r="G93" s="24">
        <f>G83*G$15</f>
        <v>529886.69000000006</v>
      </c>
      <c r="H93" s="24">
        <f>H83*H$15</f>
        <v>897399.84680000017</v>
      </c>
      <c r="I93" s="24">
        <f>I83*I$15</f>
        <v>1427707.1639149999</v>
      </c>
      <c r="J93" s="24">
        <f t="shared" ref="J93:N93" si="52">J83*J$15</f>
        <v>2184321.3978408198</v>
      </c>
      <c r="K93" s="24">
        <f t="shared" si="52"/>
        <v>3253901.7149583641</v>
      </c>
      <c r="L93" s="24">
        <f t="shared" si="52"/>
        <v>4754337.1864456702</v>
      </c>
      <c r="M93" s="24">
        <f t="shared" si="52"/>
        <v>6845572.0971676158</v>
      </c>
      <c r="N93" s="24">
        <f t="shared" si="52"/>
        <v>9744083.4987282101</v>
      </c>
    </row>
    <row r="94" spans="2:14" ht="14.25" x14ac:dyDescent="0.45">
      <c r="B94" s="167" t="s">
        <v>17</v>
      </c>
      <c r="C94" s="166" t="s">
        <v>32</v>
      </c>
      <c r="D94" s="15" t="s">
        <v>43</v>
      </c>
      <c r="E94" s="16">
        <f>E$28</f>
        <v>4.2751937984496127E-2</v>
      </c>
      <c r="F94" s="16">
        <f t="shared" ref="F94:N94" si="53">F$28</f>
        <v>4.1009254251547389E-2</v>
      </c>
      <c r="G94" s="16">
        <f t="shared" si="53"/>
        <v>3.9658336629106505E-2</v>
      </c>
      <c r="H94" s="16">
        <f t="shared" si="53"/>
        <v>3.8611113665974035E-2</v>
      </c>
      <c r="I94" s="16">
        <f t="shared" si="53"/>
        <v>3.7799312919359715E-2</v>
      </c>
      <c r="J94" s="16">
        <f t="shared" si="53"/>
        <v>3.7170010015007533E-2</v>
      </c>
      <c r="K94" s="16">
        <f t="shared" si="53"/>
        <v>3.6682178306207389E-2</v>
      </c>
      <c r="L94" s="16">
        <f t="shared" si="53"/>
        <v>3.6304014190858443E-2</v>
      </c>
      <c r="M94" s="16">
        <f t="shared" si="53"/>
        <v>3.6010863713843752E-2</v>
      </c>
      <c r="N94" s="16">
        <f t="shared" si="53"/>
        <v>3.5783615282049423E-2</v>
      </c>
    </row>
    <row r="95" spans="2:14" ht="14.25" x14ac:dyDescent="0.45">
      <c r="B95" s="167"/>
      <c r="C95" s="166"/>
      <c r="D95" s="15" t="s">
        <v>44</v>
      </c>
      <c r="E95" s="16"/>
      <c r="F95" s="16"/>
      <c r="G95" s="16"/>
      <c r="H95" s="16"/>
      <c r="I95" s="82">
        <f>AVERAGE(E94:I94)</f>
        <v>3.9965991090096756E-2</v>
      </c>
      <c r="J95" s="17"/>
      <c r="K95" s="17"/>
      <c r="L95" s="17"/>
      <c r="M95" s="17"/>
      <c r="N95" s="17">
        <f>AVERAGE(E94:N94)</f>
        <v>3.8178063695845033E-2</v>
      </c>
    </row>
    <row r="96" spans="2:14" ht="14.25" x14ac:dyDescent="0.45">
      <c r="B96" s="167"/>
      <c r="C96" s="166"/>
      <c r="D96" s="15" t="s">
        <v>42</v>
      </c>
      <c r="E96" s="16">
        <f t="shared" ref="E96:N96" si="54">E$30</f>
        <v>4.2751937984496127E-2</v>
      </c>
      <c r="F96" s="16">
        <f t="shared" si="54"/>
        <v>8.3761192236043516E-2</v>
      </c>
      <c r="G96" s="16">
        <f t="shared" si="54"/>
        <v>0.12341952886515002</v>
      </c>
      <c r="H96" s="16">
        <f t="shared" si="54"/>
        <v>0.16203064253112406</v>
      </c>
      <c r="I96" s="16">
        <f t="shared" si="54"/>
        <v>0.19982995545048376</v>
      </c>
      <c r="J96" s="16">
        <f t="shared" si="54"/>
        <v>0.23699996546549129</v>
      </c>
      <c r="K96" s="16">
        <f t="shared" si="54"/>
        <v>0.27368214377169869</v>
      </c>
      <c r="L96" s="16">
        <f t="shared" si="54"/>
        <v>0.30998615796255713</v>
      </c>
      <c r="M96" s="16">
        <f t="shared" si="54"/>
        <v>0.3459970216764009</v>
      </c>
      <c r="N96" s="16">
        <f t="shared" si="54"/>
        <v>0.38178063695845033</v>
      </c>
    </row>
    <row r="97" spans="2:14" ht="14.25" customHeight="1" x14ac:dyDescent="0.45">
      <c r="B97" s="167"/>
      <c r="C97" s="167"/>
      <c r="D97" s="19" t="s">
        <v>45</v>
      </c>
      <c r="E97" s="20">
        <f t="shared" ref="E97:N97" si="55">10*E94</f>
        <v>0.42751937984496124</v>
      </c>
      <c r="F97" s="20">
        <f t="shared" si="55"/>
        <v>0.41009254251547389</v>
      </c>
      <c r="G97" s="20">
        <f t="shared" si="55"/>
        <v>0.39658336629106505</v>
      </c>
      <c r="H97" s="20">
        <f t="shared" si="55"/>
        <v>0.38611113665974034</v>
      </c>
      <c r="I97" s="20">
        <f t="shared" si="55"/>
        <v>0.37799312919359718</v>
      </c>
      <c r="J97" s="20">
        <f t="shared" si="55"/>
        <v>0.37170010015007532</v>
      </c>
      <c r="K97" s="20">
        <f t="shared" si="55"/>
        <v>0.36682178306207391</v>
      </c>
      <c r="L97" s="20">
        <f t="shared" si="55"/>
        <v>0.36304014190858441</v>
      </c>
      <c r="M97" s="20">
        <f t="shared" si="55"/>
        <v>0.36010863713843755</v>
      </c>
      <c r="N97" s="20">
        <f t="shared" si="55"/>
        <v>0.35783615282049425</v>
      </c>
    </row>
    <row r="98" spans="2:14" ht="14.25" x14ac:dyDescent="0.45">
      <c r="B98" s="167"/>
      <c r="C98" s="167"/>
      <c r="D98" s="19" t="s">
        <v>46</v>
      </c>
      <c r="E98" s="20">
        <f>10*E96</f>
        <v>0.42751937984496124</v>
      </c>
      <c r="F98" s="20">
        <f t="shared" ref="F98:N98" si="56">10*F96</f>
        <v>0.83761192236043513</v>
      </c>
      <c r="G98" s="20">
        <f t="shared" si="56"/>
        <v>1.2341952886515002</v>
      </c>
      <c r="H98" s="20">
        <f t="shared" si="56"/>
        <v>1.6203064253112407</v>
      </c>
      <c r="I98" s="20">
        <f t="shared" si="56"/>
        <v>1.9982995545048376</v>
      </c>
      <c r="J98" s="20">
        <f t="shared" si="56"/>
        <v>2.3699996546549129</v>
      </c>
      <c r="K98" s="20">
        <f t="shared" si="56"/>
        <v>2.736821437716987</v>
      </c>
      <c r="L98" s="20">
        <f t="shared" si="56"/>
        <v>3.0998615796255713</v>
      </c>
      <c r="M98" s="20">
        <f t="shared" si="56"/>
        <v>3.4599702167640087</v>
      </c>
      <c r="N98" s="20">
        <f t="shared" si="56"/>
        <v>3.8178063695845035</v>
      </c>
    </row>
    <row r="99" spans="2:14" ht="14.25" x14ac:dyDescent="0.45">
      <c r="B99" s="167"/>
      <c r="C99" s="165" t="s">
        <v>36</v>
      </c>
      <c r="D99" s="15" t="s">
        <v>43</v>
      </c>
      <c r="E99" s="16">
        <f t="shared" ref="E99:N99" si="57">E94*E$15/$E$4</f>
        <v>5.5149999999999998E-2</v>
      </c>
      <c r="F99" s="16">
        <f t="shared" si="57"/>
        <v>6.8243500000000012E-2</v>
      </c>
      <c r="G99" s="16">
        <f t="shared" si="57"/>
        <v>8.5134115000000024E-2</v>
      </c>
      <c r="H99" s="16">
        <f t="shared" si="57"/>
        <v>0.10692300835000002</v>
      </c>
      <c r="I99" s="16">
        <f t="shared" si="57"/>
        <v>0.13503068077149999</v>
      </c>
      <c r="J99" s="16">
        <f t="shared" si="57"/>
        <v>0.17128957819523496</v>
      </c>
      <c r="K99" s="16">
        <f t="shared" si="57"/>
        <v>0.21806355587185314</v>
      </c>
      <c r="L99" s="16">
        <f t="shared" si="57"/>
        <v>0.27840198707469049</v>
      </c>
      <c r="M99" s="16">
        <f t="shared" si="57"/>
        <v>0.35623856332635068</v>
      </c>
      <c r="N99" s="16">
        <f t="shared" si="57"/>
        <v>0.45664774669099251</v>
      </c>
    </row>
    <row r="100" spans="2:14" ht="14.25" x14ac:dyDescent="0.45">
      <c r="B100" s="167"/>
      <c r="C100" s="166"/>
      <c r="D100" s="15" t="s">
        <v>44</v>
      </c>
      <c r="E100" s="16"/>
      <c r="F100" s="16"/>
      <c r="G100" s="16"/>
      <c r="H100" s="16"/>
      <c r="I100" s="17">
        <f>AVERAGE(E99:I99)</f>
        <v>9.0096260824300015E-2</v>
      </c>
      <c r="J100" s="17"/>
      <c r="K100" s="17"/>
      <c r="L100" s="17"/>
      <c r="M100" s="17"/>
      <c r="N100" s="17">
        <f>AVERAGE(E99:N99)</f>
        <v>0.19311227352806221</v>
      </c>
    </row>
    <row r="101" spans="2:14" ht="14.25" x14ac:dyDescent="0.45">
      <c r="B101" s="167"/>
      <c r="C101" s="167"/>
      <c r="D101" s="19" t="s">
        <v>45</v>
      </c>
      <c r="E101" s="23">
        <f t="shared" ref="E101:N101" si="58">E97*E$15</f>
        <v>55150</v>
      </c>
      <c r="F101" s="23">
        <f t="shared" si="58"/>
        <v>68243.500000000015</v>
      </c>
      <c r="G101" s="23">
        <f>G97*G$15</f>
        <v>85134.11500000002</v>
      </c>
      <c r="H101" s="23">
        <f>H97*H$15</f>
        <v>106923.00835</v>
      </c>
      <c r="I101" s="23">
        <f>I97*I$15</f>
        <v>135030.68077149999</v>
      </c>
      <c r="J101" s="23">
        <f t="shared" si="58"/>
        <v>171289.57819523496</v>
      </c>
      <c r="K101" s="23">
        <f t="shared" si="58"/>
        <v>218063.55587185314</v>
      </c>
      <c r="L101" s="23">
        <f t="shared" si="58"/>
        <v>278401.98707469052</v>
      </c>
      <c r="M101" s="23">
        <f t="shared" si="58"/>
        <v>356238.56332635076</v>
      </c>
      <c r="N101" s="23">
        <f t="shared" si="58"/>
        <v>456647.7466909925</v>
      </c>
    </row>
    <row r="102" spans="2:14" ht="14.25" customHeight="1" x14ac:dyDescent="0.45">
      <c r="B102" s="167"/>
      <c r="C102" s="167"/>
      <c r="D102" s="19" t="s">
        <v>47</v>
      </c>
      <c r="E102" s="24"/>
      <c r="F102" s="24"/>
      <c r="G102" s="24"/>
      <c r="H102" s="24"/>
      <c r="I102" s="23">
        <f>AVERAGE(E101:I101)</f>
        <v>90096.260824300014</v>
      </c>
      <c r="J102" s="23"/>
      <c r="K102" s="23"/>
      <c r="L102" s="23"/>
      <c r="M102" s="23"/>
      <c r="N102" s="23">
        <f>AVERAGE(E101:N101)</f>
        <v>193112.27352806221</v>
      </c>
    </row>
    <row r="103" spans="2:14" ht="14.25" x14ac:dyDescent="0.45">
      <c r="B103" s="167"/>
      <c r="C103" s="167"/>
      <c r="D103" s="19" t="s">
        <v>46</v>
      </c>
      <c r="E103" s="24">
        <f>E101</f>
        <v>55150</v>
      </c>
      <c r="F103" s="24">
        <f t="shared" ref="F103:N103" si="59">E103+F101</f>
        <v>123393.50000000001</v>
      </c>
      <c r="G103" s="24">
        <f>F103+G101</f>
        <v>208527.61500000005</v>
      </c>
      <c r="H103" s="24">
        <f t="shared" si="59"/>
        <v>315450.62335000007</v>
      </c>
      <c r="I103" s="24">
        <f t="shared" si="59"/>
        <v>450481.30412150006</v>
      </c>
      <c r="J103" s="24">
        <f>I103+J101</f>
        <v>621770.88231673499</v>
      </c>
      <c r="K103" s="24">
        <f t="shared" si="59"/>
        <v>839834.43818858813</v>
      </c>
      <c r="L103" s="24">
        <f t="shared" si="59"/>
        <v>1118236.4252632787</v>
      </c>
      <c r="M103" s="24">
        <f t="shared" si="59"/>
        <v>1474474.9885896295</v>
      </c>
      <c r="N103" s="24">
        <f t="shared" si="59"/>
        <v>1931122.735280622</v>
      </c>
    </row>
    <row r="104" spans="2:14" ht="14.25" x14ac:dyDescent="0.45">
      <c r="B104" s="167"/>
      <c r="C104" s="165" t="s">
        <v>35</v>
      </c>
      <c r="D104" s="15" t="s">
        <v>43</v>
      </c>
      <c r="E104" s="16">
        <f>E96*E$15/$E$4</f>
        <v>5.5149999999999998E-2</v>
      </c>
      <c r="F104" s="16">
        <f>F96*F$15/$E$4-E104</f>
        <v>8.4237000000000006E-2</v>
      </c>
      <c r="G104" s="16">
        <f>G96*G$15/$E$4-F104-E104</f>
        <v>0.12555634500000004</v>
      </c>
      <c r="H104" s="16">
        <f>H96*H$15/$E$4-G104-F104-E104</f>
        <v>0.18375657839999995</v>
      </c>
      <c r="I104" s="16">
        <f>I96*I$15/$E$4-H104-G104-F104-E104</f>
        <v>0.26515365855750012</v>
      </c>
      <c r="J104" s="16">
        <f>J96*J$15/$E$4-I104-H104-G104-F104-E104</f>
        <v>0.37830711696290981</v>
      </c>
      <c r="K104" s="16">
        <f>K96*K$15/$E$4-J104-I104-H104-G104-F104-E104</f>
        <v>0.53479015855877221</v>
      </c>
      <c r="L104" s="16">
        <f>L96*L$15/$E$4-K104-J104-I104-H104-G104-F104-E104</f>
        <v>0.75021773574365302</v>
      </c>
      <c r="M104" s="16">
        <f>M96*M$15/$E$4-L104-K104-J104-I104-H104-G104-F104-E104</f>
        <v>1.0456174553609723</v>
      </c>
      <c r="N104" s="16">
        <f>N96*N$15/$E$4-M104-L104-K104-J104-I104-H104-G104-F104-E104</f>
        <v>1.449255700780298</v>
      </c>
    </row>
    <row r="105" spans="2:14" ht="14.25" x14ac:dyDescent="0.45">
      <c r="B105" s="167"/>
      <c r="C105" s="166"/>
      <c r="D105" s="15" t="s">
        <v>44</v>
      </c>
      <c r="E105" s="17"/>
      <c r="F105" s="17"/>
      <c r="G105" s="17"/>
      <c r="H105" s="17"/>
      <c r="I105" s="17">
        <f>AVERAGE(E104:I104)</f>
        <v>0.14277071639150002</v>
      </c>
      <c r="J105" s="17"/>
      <c r="K105" s="17"/>
      <c r="L105" s="17"/>
      <c r="M105" s="17"/>
      <c r="N105" s="17">
        <f>AVERAGE(E104:N104)</f>
        <v>0.48720417493641055</v>
      </c>
    </row>
    <row r="106" spans="2:14" ht="14.25" x14ac:dyDescent="0.45">
      <c r="B106" s="167"/>
      <c r="C106" s="167"/>
      <c r="D106" s="19" t="s">
        <v>45</v>
      </c>
      <c r="E106" s="23">
        <f>E108</f>
        <v>55150</v>
      </c>
      <c r="F106" s="23">
        <f>F108-E108</f>
        <v>84237</v>
      </c>
      <c r="G106" s="23">
        <f>G108-F108</f>
        <v>125556.34500000003</v>
      </c>
      <c r="H106" s="23">
        <f>H108-G108</f>
        <v>183756.57840000006</v>
      </c>
      <c r="I106" s="23">
        <f>I108-H108</f>
        <v>265153.65855749988</v>
      </c>
      <c r="J106" s="23">
        <f>J108-I108</f>
        <v>378307.11696290993</v>
      </c>
      <c r="K106" s="23">
        <f t="shared" ref="K106:N106" si="60">K108-J108</f>
        <v>534790.15855877218</v>
      </c>
      <c r="L106" s="23">
        <f t="shared" si="60"/>
        <v>750217.73574365303</v>
      </c>
      <c r="M106" s="23">
        <f t="shared" si="60"/>
        <v>1045617.4553609728</v>
      </c>
      <c r="N106" s="23">
        <f t="shared" si="60"/>
        <v>1449255.7007802972</v>
      </c>
    </row>
    <row r="107" spans="2:14" ht="15" customHeight="1" x14ac:dyDescent="0.45">
      <c r="B107" s="167"/>
      <c r="C107" s="167"/>
      <c r="D107" s="19" t="s">
        <v>47</v>
      </c>
      <c r="E107" s="23"/>
      <c r="F107" s="23"/>
      <c r="G107" s="23"/>
      <c r="H107" s="23"/>
      <c r="I107" s="23">
        <f>AVERAGE(E106:I106)</f>
        <v>142770.7163915</v>
      </c>
      <c r="J107" s="23"/>
      <c r="K107" s="23"/>
      <c r="L107" s="23"/>
      <c r="M107" s="23"/>
      <c r="N107" s="23">
        <f>AVERAGE(E106:N106)</f>
        <v>487204.17493641051</v>
      </c>
    </row>
    <row r="108" spans="2:14" ht="14.25" x14ac:dyDescent="0.45">
      <c r="B108" s="167"/>
      <c r="C108" s="167"/>
      <c r="D108" s="19" t="s">
        <v>46</v>
      </c>
      <c r="E108" s="24">
        <f t="shared" ref="E108:N108" si="61">E98*E$15</f>
        <v>55150</v>
      </c>
      <c r="F108" s="24">
        <f t="shared" si="61"/>
        <v>139387</v>
      </c>
      <c r="G108" s="24">
        <f>G98*G$15</f>
        <v>264943.34500000003</v>
      </c>
      <c r="H108" s="24">
        <f>H98*H$15</f>
        <v>448699.92340000009</v>
      </c>
      <c r="I108" s="24">
        <f>I98*I$15</f>
        <v>713853.58195749996</v>
      </c>
      <c r="J108" s="24">
        <f t="shared" si="61"/>
        <v>1092160.6989204099</v>
      </c>
      <c r="K108" s="24">
        <f t="shared" si="61"/>
        <v>1626950.8574791821</v>
      </c>
      <c r="L108" s="24">
        <f t="shared" si="61"/>
        <v>2377168.5932228351</v>
      </c>
      <c r="M108" s="24">
        <f t="shared" si="61"/>
        <v>3422786.0485838079</v>
      </c>
      <c r="N108" s="24">
        <f t="shared" si="61"/>
        <v>4872041.7493641051</v>
      </c>
    </row>
    <row r="109" spans="2:14" ht="14.25" x14ac:dyDescent="0.45">
      <c r="B109" s="167" t="s">
        <v>18</v>
      </c>
      <c r="C109" s="166" t="s">
        <v>32</v>
      </c>
      <c r="D109" s="15" t="s">
        <v>43</v>
      </c>
      <c r="E109" s="16">
        <f>E66+E79+E94-E34-E50</f>
        <v>0.65344961240310084</v>
      </c>
      <c r="F109" s="16">
        <f t="shared" ref="F109:N109" si="62">F66+F79+F94-F34-F50</f>
        <v>0.53015473829697723</v>
      </c>
      <c r="G109" s="16">
        <f t="shared" si="62"/>
        <v>0.43457731650928466</v>
      </c>
      <c r="H109" s="16">
        <f t="shared" si="62"/>
        <v>0.36048629186766279</v>
      </c>
      <c r="I109" s="16">
        <f t="shared" si="62"/>
        <v>0.30305138904469947</v>
      </c>
      <c r="J109" s="16">
        <f t="shared" si="62"/>
        <v>0.25852820856178271</v>
      </c>
      <c r="K109" s="16">
        <f t="shared" si="62"/>
        <v>0.22401411516417277</v>
      </c>
      <c r="L109" s="16">
        <f t="shared" si="62"/>
        <v>0.19725900400323432</v>
      </c>
      <c r="M109" s="16">
        <f t="shared" si="62"/>
        <v>0.17651860775444564</v>
      </c>
      <c r="N109" s="16">
        <f t="shared" si="62"/>
        <v>0.1604407812049963</v>
      </c>
    </row>
    <row r="110" spans="2:14" ht="14.25" x14ac:dyDescent="0.45">
      <c r="B110" s="167"/>
      <c r="C110" s="166"/>
      <c r="D110" s="15" t="s">
        <v>44</v>
      </c>
      <c r="E110" s="16"/>
      <c r="F110" s="16"/>
      <c r="G110" s="16"/>
      <c r="H110" s="16"/>
      <c r="I110" s="38">
        <f>AVERAGE(E109:I109)</f>
        <v>0.45634386962434503</v>
      </c>
      <c r="J110" s="16"/>
      <c r="K110" s="16"/>
      <c r="L110" s="16"/>
      <c r="M110" s="16"/>
      <c r="N110" s="17">
        <f>AVERAGE(E109:N109)</f>
        <v>0.32984800648103568</v>
      </c>
    </row>
    <row r="111" spans="2:14" ht="14.25" x14ac:dyDescent="0.45">
      <c r="B111" s="167"/>
      <c r="C111" s="166"/>
      <c r="D111" s="15" t="s">
        <v>42</v>
      </c>
      <c r="E111" s="16">
        <f>E68+E81+E96-E36-E52</f>
        <v>0.65344961240310084</v>
      </c>
      <c r="F111" s="16">
        <f t="shared" ref="F111:N111" si="63">F68+F81+F96-F36-F52</f>
        <v>1.1836043507000777</v>
      </c>
      <c r="G111" s="16">
        <f t="shared" si="63"/>
        <v>1.618181667209363</v>
      </c>
      <c r="H111" s="16">
        <f t="shared" si="63"/>
        <v>1.978667959077026</v>
      </c>
      <c r="I111" s="16">
        <f t="shared" si="63"/>
        <v>2.2817193481217251</v>
      </c>
      <c r="J111" s="16">
        <f t="shared" si="63"/>
        <v>2.5402475566835081</v>
      </c>
      <c r="K111" s="16">
        <f t="shared" si="63"/>
        <v>2.7642616718476813</v>
      </c>
      <c r="L111" s="16">
        <f t="shared" si="63"/>
        <v>2.9615206758509132</v>
      </c>
      <c r="M111" s="16">
        <f t="shared" si="63"/>
        <v>3.1380392836053623</v>
      </c>
      <c r="N111" s="16">
        <f t="shared" si="63"/>
        <v>3.2984800648103545</v>
      </c>
    </row>
    <row r="112" spans="2:14" ht="14.25" x14ac:dyDescent="0.45">
      <c r="B112" s="167"/>
      <c r="C112" s="167"/>
      <c r="D112" s="19" t="s">
        <v>45</v>
      </c>
      <c r="E112" s="20">
        <f>10*E109</f>
        <v>6.5344961240310084</v>
      </c>
      <c r="F112" s="20">
        <f t="shared" ref="F112:N112" si="64">10*F109</f>
        <v>5.3015473829697726</v>
      </c>
      <c r="G112" s="20">
        <f t="shared" si="64"/>
        <v>4.3457731650928464</v>
      </c>
      <c r="H112" s="20">
        <f t="shared" si="64"/>
        <v>3.6048629186766279</v>
      </c>
      <c r="I112" s="20">
        <f t="shared" si="64"/>
        <v>3.0305138904469948</v>
      </c>
      <c r="J112" s="20">
        <f t="shared" si="64"/>
        <v>2.5852820856178269</v>
      </c>
      <c r="K112" s="20">
        <f t="shared" si="64"/>
        <v>2.2401411516417276</v>
      </c>
      <c r="L112" s="20">
        <f t="shared" si="64"/>
        <v>1.9725900400323431</v>
      </c>
      <c r="M112" s="20">
        <f t="shared" si="64"/>
        <v>1.7651860775444563</v>
      </c>
      <c r="N112" s="20">
        <f t="shared" si="64"/>
        <v>1.604407812049963</v>
      </c>
    </row>
    <row r="113" spans="1:15" ht="14.25" x14ac:dyDescent="0.45">
      <c r="B113" s="167"/>
      <c r="C113" s="167"/>
      <c r="D113" s="19" t="s">
        <v>46</v>
      </c>
      <c r="E113" s="20">
        <f>10*E111</f>
        <v>6.5344961240310084</v>
      </c>
      <c r="F113" s="20">
        <f>10*F111</f>
        <v>11.836043507000777</v>
      </c>
      <c r="G113" s="20">
        <f>10*G111</f>
        <v>16.181816672093628</v>
      </c>
      <c r="H113" s="20">
        <f t="shared" ref="H113:N113" si="65">10*H111</f>
        <v>19.786679590770259</v>
      </c>
      <c r="I113" s="20">
        <f t="shared" si="65"/>
        <v>22.817193481217252</v>
      </c>
      <c r="J113" s="20">
        <f t="shared" si="65"/>
        <v>25.402475566835079</v>
      </c>
      <c r="K113" s="20">
        <f t="shared" si="65"/>
        <v>27.642616718476813</v>
      </c>
      <c r="L113" s="20">
        <f t="shared" si="65"/>
        <v>29.615206758509132</v>
      </c>
      <c r="M113" s="20">
        <f t="shared" si="65"/>
        <v>31.380392836053623</v>
      </c>
      <c r="N113" s="20">
        <f t="shared" si="65"/>
        <v>32.984800648103544</v>
      </c>
    </row>
    <row r="114" spans="1:15" ht="14.25" x14ac:dyDescent="0.45">
      <c r="B114" s="167"/>
      <c r="C114" s="165" t="s">
        <v>36</v>
      </c>
      <c r="D114" s="15" t="s">
        <v>43</v>
      </c>
      <c r="E114" s="16">
        <f>E71+E84+E99-E39-E55</f>
        <v>0.84295000000000009</v>
      </c>
      <c r="F114" s="16">
        <f t="shared" ref="F114:N114" si="66">F71+F84+F99-F39-F55</f>
        <v>0.8822304999999997</v>
      </c>
      <c r="G114" s="16">
        <f t="shared" si="66"/>
        <v>0.93290234499999958</v>
      </c>
      <c r="H114" s="16">
        <f t="shared" si="66"/>
        <v>0.99826902505000059</v>
      </c>
      <c r="I114" s="16">
        <f t="shared" si="66"/>
        <v>1.0825920423144992</v>
      </c>
      <c r="J114" s="16">
        <f t="shared" si="66"/>
        <v>1.1913687345857047</v>
      </c>
      <c r="K114" s="16">
        <f t="shared" si="66"/>
        <v>1.33169066761556</v>
      </c>
      <c r="L114" s="16">
        <f t="shared" si="66"/>
        <v>1.5127059612240694</v>
      </c>
      <c r="M114" s="16">
        <f t="shared" si="66"/>
        <v>1.746215689979054</v>
      </c>
      <c r="N114" s="16">
        <f t="shared" si="66"/>
        <v>2.0474432400729752</v>
      </c>
    </row>
    <row r="115" spans="1:15" ht="14.25" x14ac:dyDescent="0.45">
      <c r="B115" s="167"/>
      <c r="C115" s="166"/>
      <c r="D115" s="15" t="s">
        <v>44</v>
      </c>
      <c r="E115" s="16"/>
      <c r="F115" s="16"/>
      <c r="G115" s="16"/>
      <c r="H115" s="16"/>
      <c r="I115" s="17">
        <f>AVERAGE(E114:I114)</f>
        <v>0.94778878247289988</v>
      </c>
      <c r="J115" s="17"/>
      <c r="K115" s="17"/>
      <c r="L115" s="17"/>
      <c r="M115" s="17"/>
      <c r="N115" s="17">
        <f>AVERAGE(E114:N114)</f>
        <v>1.2568368205841864</v>
      </c>
    </row>
    <row r="116" spans="1:15" ht="14.25" x14ac:dyDescent="0.45">
      <c r="B116" s="167"/>
      <c r="C116" s="167"/>
      <c r="D116" s="19" t="s">
        <v>45</v>
      </c>
      <c r="E116" s="22">
        <f t="shared" ref="E116:N116" si="67">E112*E$15</f>
        <v>842950.00000000012</v>
      </c>
      <c r="F116" s="22">
        <f t="shared" si="67"/>
        <v>882230.49999999988</v>
      </c>
      <c r="G116" s="22">
        <f>G112*G$15</f>
        <v>932902.34499999974</v>
      </c>
      <c r="H116" s="22">
        <f>H112*H$15</f>
        <v>998269.02505000052</v>
      </c>
      <c r="I116" s="22">
        <f>I112*I$15</f>
        <v>1082592.0423144992</v>
      </c>
      <c r="J116" s="22">
        <f t="shared" si="67"/>
        <v>1191368.7345857047</v>
      </c>
      <c r="K116" s="22">
        <f t="shared" si="67"/>
        <v>1331690.6676155599</v>
      </c>
      <c r="L116" s="22">
        <f t="shared" si="67"/>
        <v>1512705.9612240691</v>
      </c>
      <c r="M116" s="22">
        <f t="shared" si="67"/>
        <v>1746215.689979054</v>
      </c>
      <c r="N116" s="22">
        <f t="shared" si="67"/>
        <v>2047443.2400729752</v>
      </c>
    </row>
    <row r="117" spans="1:15" ht="14.25" x14ac:dyDescent="0.45">
      <c r="B117" s="167"/>
      <c r="C117" s="167"/>
      <c r="D117" s="19" t="s">
        <v>47</v>
      </c>
      <c r="E117" s="21"/>
      <c r="F117" s="21"/>
      <c r="G117" s="21"/>
      <c r="H117" s="21"/>
      <c r="I117" s="22">
        <f>AVERAGE(E116:I116)</f>
        <v>947788.78247289988</v>
      </c>
      <c r="J117" s="22"/>
      <c r="K117" s="22"/>
      <c r="L117" s="22"/>
      <c r="M117" s="22"/>
      <c r="N117" s="22">
        <f>AVERAGE(E116:N116)</f>
        <v>1256836.8205841861</v>
      </c>
    </row>
    <row r="118" spans="1:15" ht="14.25" x14ac:dyDescent="0.45">
      <c r="B118" s="167"/>
      <c r="C118" s="167"/>
      <c r="D118" s="19" t="s">
        <v>46</v>
      </c>
      <c r="E118" s="21">
        <f>E116</f>
        <v>842950.00000000012</v>
      </c>
      <c r="F118" s="21">
        <f t="shared" ref="F118:N118" si="68">E118+F116</f>
        <v>1725180.5</v>
      </c>
      <c r="G118" s="21">
        <f>F118+G116</f>
        <v>2658082.8449999997</v>
      </c>
      <c r="H118" s="21">
        <f t="shared" si="68"/>
        <v>3656351.87005</v>
      </c>
      <c r="I118" s="21">
        <f t="shared" si="68"/>
        <v>4738943.9123644996</v>
      </c>
      <c r="J118" s="21">
        <f>I118+J116</f>
        <v>5930312.6469502039</v>
      </c>
      <c r="K118" s="21">
        <f t="shared" si="68"/>
        <v>7262003.3145657638</v>
      </c>
      <c r="L118" s="21">
        <f t="shared" si="68"/>
        <v>8774709.2757898327</v>
      </c>
      <c r="M118" s="21">
        <f t="shared" si="68"/>
        <v>10520924.965768887</v>
      </c>
      <c r="N118" s="21">
        <f t="shared" si="68"/>
        <v>12568368.205841862</v>
      </c>
    </row>
    <row r="119" spans="1:15" ht="15" customHeight="1" x14ac:dyDescent="0.45">
      <c r="B119" s="167"/>
      <c r="C119" s="165" t="s">
        <v>35</v>
      </c>
      <c r="D119" s="15" t="s">
        <v>43</v>
      </c>
      <c r="E119" s="16">
        <f>E74+E89+E104-E42-E58</f>
        <v>0.84295000000000009</v>
      </c>
      <c r="F119" s="16">
        <f t="shared" ref="F119:N119" si="69">F74+F89+F104-F42-F58</f>
        <v>1.1266859999999999</v>
      </c>
      <c r="G119" s="16">
        <f t="shared" si="69"/>
        <v>1.5040967849999989</v>
      </c>
      <c r="H119" s="16">
        <f t="shared" si="69"/>
        <v>2.0056515327000035</v>
      </c>
      <c r="I119" s="16">
        <f t="shared" si="69"/>
        <v>2.6716134944474952</v>
      </c>
      <c r="J119" s="16">
        <f t="shared" si="69"/>
        <v>3.5551581001084811</v>
      </c>
      <c r="K119" s="16">
        <f t="shared" si="69"/>
        <v>4.7264758821697974</v>
      </c>
      <c r="L119" s="16">
        <f t="shared" si="69"/>
        <v>6.2781691816075211</v>
      </c>
      <c r="M119" s="16">
        <f t="shared" si="69"/>
        <v>8.3323479730287513</v>
      </c>
      <c r="N119" s="16">
        <f t="shared" si="69"/>
        <v>11.049956435300913</v>
      </c>
    </row>
    <row r="120" spans="1:15" ht="15" customHeight="1" x14ac:dyDescent="0.45">
      <c r="B120" s="167"/>
      <c r="C120" s="166"/>
      <c r="D120" s="15" t="s">
        <v>44</v>
      </c>
      <c r="E120" s="17"/>
      <c r="F120" s="17"/>
      <c r="G120" s="17"/>
      <c r="H120" s="17"/>
      <c r="I120" s="17">
        <f>AVERAGE(E119:I119)</f>
        <v>1.6301995624294996</v>
      </c>
      <c r="J120" s="17"/>
      <c r="K120" s="17"/>
      <c r="L120" s="17"/>
      <c r="M120" s="17"/>
      <c r="N120" s="17">
        <f>AVERAGE(E119:N119)</f>
        <v>4.2093105384362968</v>
      </c>
    </row>
    <row r="121" spans="1:15" ht="15" customHeight="1" x14ac:dyDescent="0.45">
      <c r="B121" s="167"/>
      <c r="C121" s="167"/>
      <c r="D121" s="19" t="s">
        <v>45</v>
      </c>
      <c r="E121" s="22">
        <f>E123</f>
        <v>842950.00000000012</v>
      </c>
      <c r="F121" s="22">
        <f>F123-E123</f>
        <v>1126685.9999999991</v>
      </c>
      <c r="G121" s="22">
        <f>G123-F123</f>
        <v>1504096.7850000004</v>
      </c>
      <c r="H121" s="22">
        <f t="shared" ref="H121:N121" si="70">H123-G123</f>
        <v>2005651.5327000017</v>
      </c>
      <c r="I121" s="22">
        <f t="shared" si="70"/>
        <v>2671613.4944474977</v>
      </c>
      <c r="J121" s="22">
        <f>J123-I123</f>
        <v>3555158.1001084791</v>
      </c>
      <c r="K121" s="22">
        <f t="shared" si="70"/>
        <v>4726475.8821697962</v>
      </c>
      <c r="L121" s="22">
        <f t="shared" si="70"/>
        <v>6278169.1816075258</v>
      </c>
      <c r="M121" s="22">
        <f t="shared" si="70"/>
        <v>8332347.9730287455</v>
      </c>
      <c r="N121" s="22">
        <f t="shared" si="70"/>
        <v>11049956.435300913</v>
      </c>
    </row>
    <row r="122" spans="1:15" ht="15" customHeight="1" x14ac:dyDescent="0.45">
      <c r="A122" s="8"/>
      <c r="B122" s="167"/>
      <c r="C122" s="167"/>
      <c r="D122" s="19" t="s">
        <v>47</v>
      </c>
      <c r="E122" s="22"/>
      <c r="F122" s="22"/>
      <c r="G122" s="22"/>
      <c r="H122" s="22"/>
      <c r="I122" s="22">
        <f>AVERAGE(E121:I121)</f>
        <v>1630199.5624294996</v>
      </c>
      <c r="J122" s="22"/>
      <c r="K122" s="22"/>
      <c r="L122" s="22"/>
      <c r="M122" s="22"/>
      <c r="N122" s="22">
        <f>AVERAGE(E121:N121)</f>
        <v>4209310.5384362955</v>
      </c>
      <c r="O122" s="8"/>
    </row>
    <row r="123" spans="1:15" ht="15" customHeight="1" x14ac:dyDescent="0.45">
      <c r="B123" s="167"/>
      <c r="C123" s="167"/>
      <c r="D123" s="19" t="s">
        <v>46</v>
      </c>
      <c r="E123" s="21">
        <f t="shared" ref="E123:N123" si="71">E113*E$15</f>
        <v>842950.00000000012</v>
      </c>
      <c r="F123" s="21">
        <f t="shared" si="71"/>
        <v>1969635.9999999993</v>
      </c>
      <c r="G123" s="21">
        <f>G113*G$15</f>
        <v>3473732.7849999997</v>
      </c>
      <c r="H123" s="21">
        <f>H113*H$15</f>
        <v>5479384.3177000014</v>
      </c>
      <c r="I123" s="21">
        <f>I113*I$15</f>
        <v>8150997.8121474991</v>
      </c>
      <c r="J123" s="21">
        <f t="shared" si="71"/>
        <v>11706155.912255978</v>
      </c>
      <c r="K123" s="21">
        <f t="shared" si="71"/>
        <v>16432631.794425774</v>
      </c>
      <c r="L123" s="21">
        <f t="shared" si="71"/>
        <v>22710800.9760333</v>
      </c>
      <c r="M123" s="21">
        <f t="shared" si="71"/>
        <v>31043148.949062046</v>
      </c>
      <c r="N123" s="21">
        <f t="shared" si="71"/>
        <v>42093105.384362958</v>
      </c>
    </row>
    <row r="124" spans="1:15" ht="15" customHeight="1" x14ac:dyDescent="0.45">
      <c r="B124" s="1"/>
      <c r="C124" s="1"/>
      <c r="D124" s="40"/>
      <c r="E124" s="10"/>
      <c r="F124" s="10"/>
      <c r="G124" s="10"/>
      <c r="H124" s="10"/>
      <c r="I124" s="10"/>
      <c r="J124" s="10"/>
      <c r="K124" s="10"/>
      <c r="L124" s="10"/>
      <c r="M124" s="10"/>
      <c r="N124" s="10"/>
    </row>
    <row r="125" spans="1:15"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5" ht="15" customHeight="1" x14ac:dyDescent="0.45">
      <c r="B126" s="151"/>
      <c r="C126" s="153"/>
      <c r="D126" s="153"/>
      <c r="E126" s="149"/>
      <c r="F126" s="149"/>
      <c r="G126" s="149"/>
      <c r="H126" s="149"/>
      <c r="I126" s="149"/>
      <c r="J126" s="149"/>
      <c r="K126" s="149"/>
      <c r="L126" s="149"/>
      <c r="M126" s="149"/>
      <c r="N126" s="149"/>
    </row>
    <row r="127" spans="1:15" ht="15" customHeight="1" x14ac:dyDescent="0.45">
      <c r="B127" s="158" t="s">
        <v>141</v>
      </c>
      <c r="C127" s="156">
        <v>20000</v>
      </c>
      <c r="D127" s="44" t="s">
        <v>19</v>
      </c>
      <c r="E127" s="27">
        <f t="shared" ref="E127:N127" si="72">E$53/10*$C127/(2+$E$11)</f>
        <v>818.260120585702</v>
      </c>
      <c r="F127" s="27">
        <f t="shared" si="72"/>
        <v>634.31017099666815</v>
      </c>
      <c r="G127" s="27">
        <f t="shared" si="72"/>
        <v>491.71331085013048</v>
      </c>
      <c r="H127" s="27">
        <f t="shared" si="72"/>
        <v>381.17310918614766</v>
      </c>
      <c r="I127" s="27">
        <f t="shared" si="72"/>
        <v>295.48303037685866</v>
      </c>
      <c r="J127" s="27">
        <f t="shared" si="72"/>
        <v>229.05661269523924</v>
      </c>
      <c r="K127" s="27">
        <f t="shared" si="72"/>
        <v>177.56326565522423</v>
      </c>
      <c r="L127" s="27">
        <f t="shared" si="72"/>
        <v>137.64594236839088</v>
      </c>
      <c r="M127" s="27">
        <f t="shared" si="72"/>
        <v>106.70228090572937</v>
      </c>
      <c r="N127" s="27">
        <f t="shared" si="72"/>
        <v>82.714946438549916</v>
      </c>
    </row>
    <row r="128" spans="1:15" ht="15" customHeight="1" x14ac:dyDescent="0.45">
      <c r="B128" s="159"/>
      <c r="C128" s="156"/>
      <c r="D128" s="19" t="s">
        <v>22</v>
      </c>
      <c r="E128" s="27"/>
      <c r="F128" s="27"/>
      <c r="G128" s="27"/>
      <c r="H128" s="27"/>
      <c r="I128" s="28">
        <f>AVERAGE(E127:I127)</f>
        <v>524.18794839910129</v>
      </c>
      <c r="J128" s="27"/>
      <c r="K128" s="27"/>
      <c r="L128" s="27"/>
      <c r="M128" s="27"/>
      <c r="N128" s="27">
        <f>AVERAGE(E127:N127)</f>
        <v>335.46227900586405</v>
      </c>
    </row>
    <row r="129" spans="2:14" ht="15" customHeight="1" x14ac:dyDescent="0.45">
      <c r="B129" s="159"/>
      <c r="C129" s="156"/>
      <c r="D129" s="19" t="s">
        <v>41</v>
      </c>
      <c r="E129" s="27">
        <f t="shared" ref="E129:N129" si="73">E$54/10*$C127/(2+$E$11)</f>
        <v>818.260120585702</v>
      </c>
      <c r="F129" s="27">
        <f t="shared" si="73"/>
        <v>1452.5702915823704</v>
      </c>
      <c r="G129" s="27">
        <f t="shared" si="73"/>
        <v>1944.2836024325015</v>
      </c>
      <c r="H129" s="27">
        <f t="shared" si="73"/>
        <v>2325.4567116186468</v>
      </c>
      <c r="I129" s="28">
        <f t="shared" si="73"/>
        <v>2620.9397419955089</v>
      </c>
      <c r="J129" s="27">
        <f t="shared" si="73"/>
        <v>2849.9963546907466</v>
      </c>
      <c r="K129" s="27">
        <f t="shared" si="73"/>
        <v>3027.5596203459681</v>
      </c>
      <c r="L129" s="27">
        <f t="shared" si="73"/>
        <v>3165.2055627143682</v>
      </c>
      <c r="M129" s="27">
        <f t="shared" si="73"/>
        <v>3271.9078436200839</v>
      </c>
      <c r="N129" s="27">
        <f t="shared" si="73"/>
        <v>3354.6227900586482</v>
      </c>
    </row>
    <row r="130" spans="2:14" ht="15" customHeight="1" x14ac:dyDescent="0.45">
      <c r="B130" s="159"/>
      <c r="C130" s="156">
        <v>400000</v>
      </c>
      <c r="D130" s="44" t="s">
        <v>19</v>
      </c>
      <c r="E130" s="27">
        <f t="shared" ref="E130:N130" si="74">E$53/10*$C130/(2+$E$11)</f>
        <v>16365.202411714039</v>
      </c>
      <c r="F130" s="27">
        <f t="shared" si="74"/>
        <v>12686.203419933365</v>
      </c>
      <c r="G130" s="27">
        <f t="shared" si="74"/>
        <v>9834.2662170026088</v>
      </c>
      <c r="H130" s="27">
        <f t="shared" si="74"/>
        <v>7623.4621837229533</v>
      </c>
      <c r="I130" s="27">
        <f t="shared" si="74"/>
        <v>5909.6606075371728</v>
      </c>
      <c r="J130" s="27">
        <f t="shared" si="74"/>
        <v>4581.1322539047851</v>
      </c>
      <c r="K130" s="27">
        <f t="shared" si="74"/>
        <v>3551.2653131044844</v>
      </c>
      <c r="L130" s="27">
        <f t="shared" si="74"/>
        <v>2752.9188473678178</v>
      </c>
      <c r="M130" s="27">
        <f t="shared" si="74"/>
        <v>2134.0456181145873</v>
      </c>
      <c r="N130" s="27">
        <f t="shared" si="74"/>
        <v>1654.2989287709979</v>
      </c>
    </row>
    <row r="131" spans="2:14" ht="15" customHeight="1" x14ac:dyDescent="0.45">
      <c r="B131" s="159"/>
      <c r="C131" s="156"/>
      <c r="D131" s="19" t="s">
        <v>22</v>
      </c>
      <c r="E131" s="27"/>
      <c r="F131" s="27"/>
      <c r="G131" s="27"/>
      <c r="H131" s="27"/>
      <c r="I131" s="28">
        <f>AVERAGE(E130:I130)</f>
        <v>10483.758967982027</v>
      </c>
      <c r="J131" s="27"/>
      <c r="K131" s="27"/>
      <c r="L131" s="27"/>
      <c r="M131" s="27"/>
      <c r="N131" s="27">
        <f>AVERAGE(E130:N130)</f>
        <v>6709.245580117281</v>
      </c>
    </row>
    <row r="132" spans="2:14" ht="15" customHeight="1" x14ac:dyDescent="0.45">
      <c r="B132" s="159"/>
      <c r="C132" s="156"/>
      <c r="D132" s="19" t="s">
        <v>41</v>
      </c>
      <c r="E132" s="27">
        <f t="shared" ref="E132:N132" si="75">E$54/10*$C130/(2+$E$11)</f>
        <v>16365.202411714039</v>
      </c>
      <c r="F132" s="27">
        <f t="shared" si="75"/>
        <v>29051.405831647407</v>
      </c>
      <c r="G132" s="27">
        <f t="shared" si="75"/>
        <v>38885.672048650027</v>
      </c>
      <c r="H132" s="27">
        <f t="shared" si="75"/>
        <v>46509.13423237294</v>
      </c>
      <c r="I132" s="28">
        <f t="shared" si="75"/>
        <v>52418.794839910181</v>
      </c>
      <c r="J132" s="27">
        <f t="shared" si="75"/>
        <v>56999.927093814928</v>
      </c>
      <c r="K132" s="27">
        <f t="shared" si="75"/>
        <v>60551.192406919356</v>
      </c>
      <c r="L132" s="27">
        <f t="shared" si="75"/>
        <v>63304.111254287367</v>
      </c>
      <c r="M132" s="27">
        <f t="shared" si="75"/>
        <v>65438.156872401676</v>
      </c>
      <c r="N132" s="27">
        <f t="shared" si="75"/>
        <v>67092.455801172968</v>
      </c>
    </row>
    <row r="133" spans="2:14" ht="15" customHeight="1" x14ac:dyDescent="0.45">
      <c r="B133" s="159"/>
      <c r="C133" s="157">
        <v>1000000</v>
      </c>
      <c r="D133" s="15" t="s">
        <v>19</v>
      </c>
      <c r="E133" s="29">
        <f t="shared" ref="E133:N133" si="76">E$53/10*$C133/(2+$E$11)</f>
        <v>40913.006029285098</v>
      </c>
      <c r="F133" s="29">
        <f t="shared" si="76"/>
        <v>31715.508549833412</v>
      </c>
      <c r="G133" s="29">
        <f t="shared" si="76"/>
        <v>24585.665542506526</v>
      </c>
      <c r="H133" s="29">
        <f t="shared" si="76"/>
        <v>19058.655459307382</v>
      </c>
      <c r="I133" s="29">
        <f t="shared" si="76"/>
        <v>14774.151518842933</v>
      </c>
      <c r="J133" s="29">
        <f t="shared" si="76"/>
        <v>11452.830634761962</v>
      </c>
      <c r="K133" s="29">
        <f t="shared" si="76"/>
        <v>8878.163282761212</v>
      </c>
      <c r="L133" s="29">
        <f t="shared" si="76"/>
        <v>6882.2971184195449</v>
      </c>
      <c r="M133" s="29">
        <f t="shared" si="76"/>
        <v>5335.1140452864684</v>
      </c>
      <c r="N133" s="29">
        <f t="shared" si="76"/>
        <v>4135.7473219274952</v>
      </c>
    </row>
    <row r="134" spans="2:14" ht="15" customHeight="1" x14ac:dyDescent="0.45">
      <c r="B134" s="159"/>
      <c r="C134" s="157"/>
      <c r="D134" s="15" t="s">
        <v>22</v>
      </c>
      <c r="E134" s="29"/>
      <c r="F134" s="29"/>
      <c r="G134" s="29"/>
      <c r="H134" s="29"/>
      <c r="I134" s="30">
        <f>AVERAGE(E133:I133)</f>
        <v>26209.397419955068</v>
      </c>
      <c r="J134" s="29"/>
      <c r="K134" s="29"/>
      <c r="L134" s="29"/>
      <c r="M134" s="29"/>
      <c r="N134" s="29">
        <f>AVERAGE(E133:N133)</f>
        <v>16773.113950293198</v>
      </c>
    </row>
    <row r="135" spans="2:14" ht="15" customHeight="1" x14ac:dyDescent="0.45">
      <c r="B135" s="160"/>
      <c r="C135" s="157"/>
      <c r="D135" s="15" t="s">
        <v>41</v>
      </c>
      <c r="E135" s="29">
        <f t="shared" ref="E135:N135" si="77">E$54/10*$C133/(2+$E$11)</f>
        <v>40913.006029285098</v>
      </c>
      <c r="F135" s="29">
        <f t="shared" si="77"/>
        <v>72628.51457911852</v>
      </c>
      <c r="G135" s="29">
        <f t="shared" si="77"/>
        <v>97214.180121625075</v>
      </c>
      <c r="H135" s="29">
        <f t="shared" si="77"/>
        <v>116272.83558093235</v>
      </c>
      <c r="I135" s="30">
        <f t="shared" si="77"/>
        <v>131046.98709977545</v>
      </c>
      <c r="J135" s="29">
        <f t="shared" si="77"/>
        <v>142499.81773453733</v>
      </c>
      <c r="K135" s="29">
        <f t="shared" si="77"/>
        <v>151377.98101729841</v>
      </c>
      <c r="L135" s="29">
        <f t="shared" si="77"/>
        <v>158260.2781357184</v>
      </c>
      <c r="M135" s="29">
        <f t="shared" si="77"/>
        <v>163595.39218100419</v>
      </c>
      <c r="N135" s="29">
        <f t="shared" si="77"/>
        <v>167731.13950293243</v>
      </c>
    </row>
    <row r="136" spans="2:14" ht="15" customHeight="1" x14ac:dyDescent="0.45">
      <c r="B136" s="3"/>
      <c r="C136" s="1"/>
      <c r="D136" s="40"/>
      <c r="E136" s="10"/>
      <c r="F136" s="10"/>
      <c r="G136" s="10"/>
      <c r="H136" s="10"/>
      <c r="I136" s="10"/>
      <c r="J136" s="10"/>
      <c r="K136" s="10"/>
      <c r="L136" s="10"/>
      <c r="M136" s="10"/>
      <c r="N136" s="10"/>
    </row>
  </sheetData>
  <mergeCells count="105">
    <mergeCell ref="B13:B14"/>
    <mergeCell ref="C13:C14"/>
    <mergeCell ref="D13:D14"/>
    <mergeCell ref="E13:E14"/>
    <mergeCell ref="F13:F14"/>
    <mergeCell ref="G13:G14"/>
    <mergeCell ref="H13:H14"/>
    <mergeCell ref="I13:I14"/>
    <mergeCell ref="J13:J14"/>
    <mergeCell ref="K13:K14"/>
    <mergeCell ref="L13:L14"/>
    <mergeCell ref="M13:M14"/>
    <mergeCell ref="N13:N14"/>
    <mergeCell ref="B64:B65"/>
    <mergeCell ref="C64:C65"/>
    <mergeCell ref="D64:D65"/>
    <mergeCell ref="E64:E65"/>
    <mergeCell ref="F64:F65"/>
    <mergeCell ref="D2:E3"/>
    <mergeCell ref="G2:I3"/>
    <mergeCell ref="K2:N2"/>
    <mergeCell ref="B2:C11"/>
    <mergeCell ref="B94:B108"/>
    <mergeCell ref="C94:C98"/>
    <mergeCell ref="C99:C103"/>
    <mergeCell ref="C104:C108"/>
    <mergeCell ref="B109:B123"/>
    <mergeCell ref="C109:C113"/>
    <mergeCell ref="C114:C118"/>
    <mergeCell ref="B15:B16"/>
    <mergeCell ref="C15:C16"/>
    <mergeCell ref="B25:B27"/>
    <mergeCell ref="C25:C27"/>
    <mergeCell ref="B17:B24"/>
    <mergeCell ref="C17:C24"/>
    <mergeCell ref="B28:B30"/>
    <mergeCell ref="C28:C30"/>
    <mergeCell ref="B32:B33"/>
    <mergeCell ref="C32:C33"/>
    <mergeCell ref="D32:D33"/>
    <mergeCell ref="E32:E33"/>
    <mergeCell ref="F32:F33"/>
    <mergeCell ref="G32:G33"/>
    <mergeCell ref="H32:H33"/>
    <mergeCell ref="I32:I33"/>
    <mergeCell ref="J32:J33"/>
    <mergeCell ref="K32:K33"/>
    <mergeCell ref="L32:L33"/>
    <mergeCell ref="M32:M33"/>
    <mergeCell ref="N32:N33"/>
    <mergeCell ref="B34:B46"/>
    <mergeCell ref="C34:C38"/>
    <mergeCell ref="C39:C41"/>
    <mergeCell ref="C42:C46"/>
    <mergeCell ref="B48:B49"/>
    <mergeCell ref="C48:C49"/>
    <mergeCell ref="D48:D49"/>
    <mergeCell ref="E48:E49"/>
    <mergeCell ref="F48:F49"/>
    <mergeCell ref="G48:G49"/>
    <mergeCell ref="H48:H49"/>
    <mergeCell ref="I48:I49"/>
    <mergeCell ref="J48:J49"/>
    <mergeCell ref="K48:K49"/>
    <mergeCell ref="L48:L49"/>
    <mergeCell ref="M48:M49"/>
    <mergeCell ref="N48:N49"/>
    <mergeCell ref="B50:B62"/>
    <mergeCell ref="C50:C54"/>
    <mergeCell ref="C55:C57"/>
    <mergeCell ref="C58:C62"/>
    <mergeCell ref="G64:G65"/>
    <mergeCell ref="H64:H65"/>
    <mergeCell ref="I64:I65"/>
    <mergeCell ref="J64:J65"/>
    <mergeCell ref="K64:K65"/>
    <mergeCell ref="L64:L65"/>
    <mergeCell ref="M64:M65"/>
    <mergeCell ref="N64:N65"/>
    <mergeCell ref="B66:B78"/>
    <mergeCell ref="C66:C70"/>
    <mergeCell ref="C71:C73"/>
    <mergeCell ref="C74:C78"/>
    <mergeCell ref="B79:B93"/>
    <mergeCell ref="C79:C83"/>
    <mergeCell ref="C84:C88"/>
    <mergeCell ref="C89:C93"/>
    <mergeCell ref="C119:C123"/>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B127:B135"/>
    <mergeCell ref="C127:C129"/>
    <mergeCell ref="C130:C132"/>
    <mergeCell ref="C133:C135"/>
  </mergeCells>
  <pageMargins left="0.7" right="0.7" top="0.75" bottom="0.75" header="0.3" footer="0.3"/>
  <pageSetup orientation="portrait" r:id="rId1"/>
  <headerFooter>
    <oddHeader>&amp;R&amp;"Aptos"&amp;12&amp;K000000 Unclassified / Non classifié&amp;1#_x000D_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5B2B-E67F-4538-AC77-BD4C4A24D2AE}">
  <dimension ref="A1:P136"/>
  <sheetViews>
    <sheetView zoomScaleNormal="100" workbookViewId="0">
      <selection activeCell="B2" sqref="B2:C11"/>
    </sheetView>
  </sheetViews>
  <sheetFormatPr defaultColWidth="9" defaultRowHeight="15" customHeight="1" x14ac:dyDescent="0.45"/>
  <cols>
    <col min="1" max="1" width="1.73046875" style="4" customWidth="1"/>
    <col min="2" max="2" width="43.73046875" style="2" bestFit="1" customWidth="1"/>
    <col min="3" max="3" width="16.73046875" style="2" bestFit="1" customWidth="1"/>
    <col min="4" max="4" width="33.3984375" style="2" bestFit="1" customWidth="1"/>
    <col min="5" max="5" width="10.3984375" style="2" bestFit="1" customWidth="1"/>
    <col min="6" max="6" width="9.3984375" style="2" bestFit="1" customWidth="1"/>
    <col min="7" max="7" width="16.1328125" style="2" bestFit="1" customWidth="1"/>
    <col min="8" max="8" width="15.3984375" style="2" bestFit="1" customWidth="1"/>
    <col min="9" max="9" width="9.3984375" style="2" bestFit="1" customWidth="1"/>
    <col min="10" max="10" width="10.3984375" style="2" bestFit="1" customWidth="1"/>
    <col min="11" max="11" width="12.59765625" style="2" bestFit="1" customWidth="1"/>
    <col min="12" max="12" width="13.1328125" style="2" bestFit="1" customWidth="1"/>
    <col min="13" max="13" width="10.3984375" style="2" bestFit="1" customWidth="1"/>
    <col min="14" max="14" width="10.59765625" style="2" bestFit="1" customWidth="1"/>
    <col min="15" max="16" width="1.73046875" style="4" customWidth="1"/>
    <col min="17" max="16384" width="9" style="2"/>
  </cols>
  <sheetData>
    <row r="1" spans="1:16" ht="15" customHeight="1" x14ac:dyDescent="0.45">
      <c r="A1" s="8"/>
      <c r="B1" s="8"/>
      <c r="C1" s="8"/>
      <c r="D1" s="8"/>
      <c r="E1" s="8"/>
      <c r="F1" s="8"/>
      <c r="G1" s="8"/>
      <c r="H1" s="8"/>
      <c r="I1" s="8"/>
      <c r="J1" s="8"/>
      <c r="K1" s="63"/>
      <c r="L1" s="63"/>
      <c r="M1" s="63"/>
      <c r="N1" s="63"/>
      <c r="O1" s="8"/>
    </row>
    <row r="2" spans="1:16" ht="58.5" customHeight="1" x14ac:dyDescent="0.45">
      <c r="A2" s="8"/>
      <c r="B2" s="179" t="s">
        <v>114</v>
      </c>
      <c r="C2" s="180"/>
      <c r="D2" s="185" t="s">
        <v>139</v>
      </c>
      <c r="E2" s="186"/>
      <c r="F2" s="8"/>
      <c r="G2" s="188" t="s">
        <v>125</v>
      </c>
      <c r="H2" s="185"/>
      <c r="I2" s="185"/>
      <c r="J2" s="4"/>
      <c r="K2" s="191" t="s">
        <v>117</v>
      </c>
      <c r="L2" s="191"/>
      <c r="M2" s="191"/>
      <c r="N2" s="191"/>
      <c r="O2" s="8"/>
    </row>
    <row r="3" spans="1:16" ht="14.25" x14ac:dyDescent="0.45">
      <c r="A3" s="8"/>
      <c r="B3" s="181"/>
      <c r="C3" s="182"/>
      <c r="D3" s="184"/>
      <c r="E3" s="187"/>
      <c r="F3" s="8"/>
      <c r="G3" s="189"/>
      <c r="H3" s="190"/>
      <c r="I3" s="190"/>
      <c r="J3" s="4"/>
      <c r="K3" s="64" t="s">
        <v>53</v>
      </c>
      <c r="L3" s="64" t="s">
        <v>51</v>
      </c>
      <c r="M3" s="64" t="s">
        <v>32</v>
      </c>
      <c r="N3" s="64" t="s">
        <v>33</v>
      </c>
      <c r="O3" s="8"/>
      <c r="P3" s="9"/>
    </row>
    <row r="4" spans="1:16" ht="14.25" customHeight="1" x14ac:dyDescent="0.45">
      <c r="A4" s="9"/>
      <c r="B4" s="181"/>
      <c r="C4" s="182"/>
      <c r="D4" s="32" t="s">
        <v>2</v>
      </c>
      <c r="E4" s="33">
        <v>100000</v>
      </c>
      <c r="F4" s="9"/>
      <c r="G4" s="76" t="s">
        <v>34</v>
      </c>
      <c r="H4" s="75" t="s">
        <v>39</v>
      </c>
      <c r="I4" s="41">
        <f>I43</f>
        <v>0.17740035620000011</v>
      </c>
      <c r="J4" s="9"/>
      <c r="K4" s="68">
        <f>C127</f>
        <v>20000</v>
      </c>
      <c r="L4" s="69" t="s">
        <v>40</v>
      </c>
      <c r="M4" s="42">
        <f>I128</f>
        <v>546.25901991064245</v>
      </c>
      <c r="N4" s="65">
        <f t="shared" ref="N4:N9" si="0">M4*$I$15</f>
        <v>195140391.81999996</v>
      </c>
      <c r="O4" s="9"/>
      <c r="P4" s="9"/>
    </row>
    <row r="5" spans="1:16" ht="14.25" customHeight="1" x14ac:dyDescent="0.45">
      <c r="A5" s="37"/>
      <c r="B5" s="181"/>
      <c r="C5" s="182"/>
      <c r="D5" s="18" t="s">
        <v>127</v>
      </c>
      <c r="E5" s="35">
        <f>SUMMARY!H6</f>
        <v>0.28999999999999998</v>
      </c>
      <c r="F5" s="37"/>
      <c r="G5" s="45" t="s">
        <v>37</v>
      </c>
      <c r="H5" s="66" t="s">
        <v>39</v>
      </c>
      <c r="I5" s="81">
        <f>I67</f>
        <v>0.57605496645122289</v>
      </c>
      <c r="J5" s="37"/>
      <c r="K5" s="68">
        <f>C127</f>
        <v>20000</v>
      </c>
      <c r="L5" s="67" t="s">
        <v>41</v>
      </c>
      <c r="M5" s="42">
        <f>I129</f>
        <v>2731.2950995532142</v>
      </c>
      <c r="N5" s="65">
        <f t="shared" si="0"/>
        <v>975701959.1000005</v>
      </c>
      <c r="O5" s="37"/>
      <c r="P5" s="37"/>
    </row>
    <row r="6" spans="1:16" ht="14.25" customHeight="1" x14ac:dyDescent="0.45">
      <c r="A6" s="37"/>
      <c r="B6" s="181"/>
      <c r="C6" s="182"/>
      <c r="D6" s="18" t="s">
        <v>140</v>
      </c>
      <c r="E6" s="34">
        <f>SUMMARY!L6</f>
        <v>0.02</v>
      </c>
      <c r="F6" s="37"/>
      <c r="G6" s="45" t="s">
        <v>124</v>
      </c>
      <c r="H6" s="66" t="s">
        <v>39</v>
      </c>
      <c r="I6" s="81">
        <f>I80</f>
        <v>8.9931982180193507E-2</v>
      </c>
      <c r="J6" s="37"/>
      <c r="K6" s="68">
        <f>C130</f>
        <v>400000</v>
      </c>
      <c r="L6" s="69" t="s">
        <v>40</v>
      </c>
      <c r="M6" s="42">
        <f>I131</f>
        <v>10925.180398212849</v>
      </c>
      <c r="N6" s="65">
        <f t="shared" si="0"/>
        <v>3902807836.3999996</v>
      </c>
      <c r="O6" s="37"/>
      <c r="P6" s="37"/>
    </row>
    <row r="7" spans="1:16" ht="14.25" customHeight="1" x14ac:dyDescent="0.45">
      <c r="A7" s="37"/>
      <c r="B7" s="181"/>
      <c r="C7" s="182"/>
      <c r="D7" s="18" t="s">
        <v>126</v>
      </c>
      <c r="E7" s="34">
        <f>SUMMARY!P6</f>
        <v>0.01</v>
      </c>
      <c r="F7" s="37"/>
      <c r="G7" s="45" t="s">
        <v>57</v>
      </c>
      <c r="H7" s="66" t="s">
        <v>39</v>
      </c>
      <c r="I7" s="81">
        <f>I95</f>
        <v>4.4965991090096753E-2</v>
      </c>
      <c r="J7" s="37"/>
      <c r="K7" s="68">
        <f>C130</f>
        <v>400000</v>
      </c>
      <c r="L7" s="67" t="s">
        <v>41</v>
      </c>
      <c r="M7" s="42">
        <f>I132</f>
        <v>54625.901991064275</v>
      </c>
      <c r="N7" s="65">
        <f t="shared" si="0"/>
        <v>19514039182.000008</v>
      </c>
      <c r="O7" s="37"/>
      <c r="P7" s="37"/>
    </row>
    <row r="8" spans="1:16" ht="14.25" customHeight="1" x14ac:dyDescent="0.45">
      <c r="A8" s="9"/>
      <c r="B8" s="181"/>
      <c r="C8" s="182"/>
      <c r="D8" s="32" t="s">
        <v>134</v>
      </c>
      <c r="E8" s="36">
        <f>SUMMARY!R21</f>
        <v>0.1</v>
      </c>
      <c r="F8" s="9"/>
      <c r="G8" s="45" t="s">
        <v>122</v>
      </c>
      <c r="H8" s="66" t="s">
        <v>39</v>
      </c>
      <c r="I8" s="81">
        <f>-I35</f>
        <v>-4.9659910900967504E-2</v>
      </c>
      <c r="J8" s="9"/>
      <c r="K8" s="77">
        <f>C133</f>
        <v>1000000</v>
      </c>
      <c r="L8" s="78" t="s">
        <v>40</v>
      </c>
      <c r="M8" s="42">
        <f>I134</f>
        <v>27312.950995532126</v>
      </c>
      <c r="N8" s="65">
        <f t="shared" si="0"/>
        <v>9757019591</v>
      </c>
      <c r="O8" s="9"/>
      <c r="P8" s="9"/>
    </row>
    <row r="9" spans="1:16" ht="14.25" customHeight="1" x14ac:dyDescent="0.45">
      <c r="A9" s="9"/>
      <c r="B9" s="181"/>
      <c r="C9" s="182"/>
      <c r="D9" s="32" t="s">
        <v>135</v>
      </c>
      <c r="E9" s="36">
        <f>SUMMARY!R22</f>
        <v>0.05</v>
      </c>
      <c r="F9" s="9"/>
      <c r="G9" s="45" t="s">
        <v>121</v>
      </c>
      <c r="H9" s="66" t="s">
        <v>39</v>
      </c>
      <c r="I9" s="81">
        <f>-I51</f>
        <v>-0.13656475497766057</v>
      </c>
      <c r="J9" s="9"/>
      <c r="K9" s="77">
        <f>C133</f>
        <v>1000000</v>
      </c>
      <c r="L9" s="79" t="s">
        <v>41</v>
      </c>
      <c r="M9" s="42">
        <f>I135</f>
        <v>136564.75497766069</v>
      </c>
      <c r="N9" s="65">
        <f t="shared" si="0"/>
        <v>48785097955.000023</v>
      </c>
      <c r="O9" s="9"/>
      <c r="P9" s="9"/>
    </row>
    <row r="10" spans="1:16" ht="14.25" customHeight="1" x14ac:dyDescent="0.45">
      <c r="A10" s="9"/>
      <c r="B10" s="181"/>
      <c r="C10" s="182"/>
      <c r="D10" s="32" t="s">
        <v>136</v>
      </c>
      <c r="E10" s="36">
        <f>SUMMARY!R23</f>
        <v>7.4999999999999997E-2</v>
      </c>
      <c r="F10" s="9"/>
      <c r="G10" s="74" t="s">
        <v>38</v>
      </c>
      <c r="H10" s="75" t="s">
        <v>39</v>
      </c>
      <c r="I10" s="41">
        <f>I110</f>
        <v>0.52472827384288501</v>
      </c>
      <c r="J10" s="8"/>
      <c r="K10" s="10"/>
      <c r="L10" s="10"/>
      <c r="M10" s="3"/>
      <c r="N10" s="8"/>
      <c r="O10" s="9"/>
      <c r="P10" s="9"/>
    </row>
    <row r="11" spans="1:16" ht="15" customHeight="1" x14ac:dyDescent="0.45">
      <c r="A11" s="9"/>
      <c r="B11" s="181"/>
      <c r="C11" s="182"/>
      <c r="D11" s="32" t="s">
        <v>137</v>
      </c>
      <c r="E11" s="36">
        <f>SUMMARY!R10</f>
        <v>3</v>
      </c>
      <c r="F11" s="3"/>
      <c r="G11" s="10"/>
      <c r="H11" s="10"/>
      <c r="I11" s="3"/>
      <c r="J11" s="8"/>
      <c r="K11" s="8"/>
      <c r="L11" s="8"/>
      <c r="M11" s="8"/>
      <c r="N11" s="8"/>
      <c r="O11" s="9"/>
      <c r="P11" s="9"/>
    </row>
    <row r="12" spans="1:16" ht="14.25" x14ac:dyDescent="0.45">
      <c r="A12" s="8"/>
      <c r="B12" s="10"/>
      <c r="C12" s="8"/>
      <c r="D12" s="10"/>
      <c r="E12" s="3"/>
      <c r="F12" s="3"/>
      <c r="G12" s="10"/>
      <c r="H12" s="10"/>
      <c r="I12" s="3"/>
      <c r="J12" s="8"/>
      <c r="K12" s="8"/>
      <c r="L12" s="8"/>
      <c r="M12" s="8"/>
      <c r="N12" s="8"/>
      <c r="O12" s="8"/>
      <c r="P12" s="8"/>
    </row>
    <row r="13" spans="1:16" ht="14.25" x14ac:dyDescent="0.45">
      <c r="B13" s="183" t="s">
        <v>52</v>
      </c>
      <c r="C13" s="183" t="s">
        <v>50</v>
      </c>
      <c r="D13" s="183" t="s">
        <v>51</v>
      </c>
      <c r="E13" s="148" t="s">
        <v>3</v>
      </c>
      <c r="F13" s="148" t="s">
        <v>4</v>
      </c>
      <c r="G13" s="148" t="s">
        <v>5</v>
      </c>
      <c r="H13" s="148" t="s">
        <v>6</v>
      </c>
      <c r="I13" s="148" t="s">
        <v>7</v>
      </c>
      <c r="J13" s="148" t="s">
        <v>8</v>
      </c>
      <c r="K13" s="148" t="s">
        <v>9</v>
      </c>
      <c r="L13" s="148" t="s">
        <v>10</v>
      </c>
      <c r="M13" s="148" t="s">
        <v>11</v>
      </c>
      <c r="N13" s="148" t="s">
        <v>12</v>
      </c>
    </row>
    <row r="14" spans="1:16" ht="14.25" x14ac:dyDescent="0.45">
      <c r="B14" s="184"/>
      <c r="C14" s="184"/>
      <c r="D14" s="184"/>
      <c r="E14" s="149"/>
      <c r="F14" s="149"/>
      <c r="G14" s="149"/>
      <c r="H14" s="149"/>
      <c r="I14" s="149"/>
      <c r="J14" s="149"/>
      <c r="K14" s="149"/>
      <c r="L14" s="149"/>
      <c r="M14" s="149"/>
      <c r="N14" s="149"/>
    </row>
    <row r="15" spans="1:16" ht="14.25" x14ac:dyDescent="0.45">
      <c r="B15" s="158" t="s">
        <v>20</v>
      </c>
      <c r="C15" s="158" t="s">
        <v>33</v>
      </c>
      <c r="D15" s="19" t="s">
        <v>48</v>
      </c>
      <c r="E15" s="21">
        <f>($E$4 * $E$5) + $E$4</f>
        <v>129000</v>
      </c>
      <c r="F15" s="21">
        <f t="shared" ref="F15:N15" si="1">(E15 * $E$5) + E15</f>
        <v>166410</v>
      </c>
      <c r="G15" s="21">
        <f t="shared" si="1"/>
        <v>214668.9</v>
      </c>
      <c r="H15" s="21">
        <f t="shared" si="1"/>
        <v>276922.88099999999</v>
      </c>
      <c r="I15" s="21">
        <f t="shared" si="1"/>
        <v>357230.51648999995</v>
      </c>
      <c r="J15" s="21">
        <f t="shared" si="1"/>
        <v>460827.3662720999</v>
      </c>
      <c r="K15" s="21">
        <f t="shared" si="1"/>
        <v>594467.30249100889</v>
      </c>
      <c r="L15" s="21">
        <f t="shared" si="1"/>
        <v>766862.82021340146</v>
      </c>
      <c r="M15" s="21">
        <f t="shared" si="1"/>
        <v>989253.03807528783</v>
      </c>
      <c r="N15" s="21">
        <f t="shared" si="1"/>
        <v>1276136.4191171213</v>
      </c>
    </row>
    <row r="16" spans="1:16" ht="14.25" x14ac:dyDescent="0.45">
      <c r="B16" s="160"/>
      <c r="C16" s="160"/>
      <c r="D16" s="19" t="s">
        <v>49</v>
      </c>
      <c r="E16" s="25">
        <f>E15*21000000</f>
        <v>2709000000000</v>
      </c>
      <c r="F16" s="25">
        <f t="shared" ref="F16:N16" si="2">F15*21000000</f>
        <v>3494610000000</v>
      </c>
      <c r="G16" s="25">
        <f t="shared" si="2"/>
        <v>4508046900000</v>
      </c>
      <c r="H16" s="25">
        <f t="shared" si="2"/>
        <v>5815380501000</v>
      </c>
      <c r="I16" s="25">
        <f t="shared" si="2"/>
        <v>7501840846289.999</v>
      </c>
      <c r="J16" s="25">
        <f t="shared" si="2"/>
        <v>9677374691714.0977</v>
      </c>
      <c r="K16" s="25">
        <f t="shared" si="2"/>
        <v>12483813352311.188</v>
      </c>
      <c r="L16" s="25">
        <f t="shared" si="2"/>
        <v>16104119224481.43</v>
      </c>
      <c r="M16" s="25">
        <f t="shared" si="2"/>
        <v>20774313799581.043</v>
      </c>
      <c r="N16" s="25">
        <f t="shared" si="2"/>
        <v>26798864801459.547</v>
      </c>
    </row>
    <row r="17" spans="1:16" ht="14.25" x14ac:dyDescent="0.45">
      <c r="B17" s="158" t="s">
        <v>16</v>
      </c>
      <c r="C17" s="176" t="s">
        <v>32</v>
      </c>
      <c r="D17" s="19" t="s">
        <v>128</v>
      </c>
      <c r="E17" s="26">
        <f>(E15-$E4)/E15</f>
        <v>0.22480620155038761</v>
      </c>
      <c r="F17" s="26">
        <f t="shared" ref="F17:N17" si="3">(F15-$E4)/F15</f>
        <v>0.39907457484526171</v>
      </c>
      <c r="G17" s="26">
        <f t="shared" si="3"/>
        <v>0.53416633708935013</v>
      </c>
      <c r="H17" s="26">
        <f t="shared" si="3"/>
        <v>0.63888863340259705</v>
      </c>
      <c r="I17" s="26">
        <f t="shared" si="3"/>
        <v>0.72006870806402867</v>
      </c>
      <c r="J17" s="26">
        <f t="shared" si="3"/>
        <v>0.78299899849924703</v>
      </c>
      <c r="K17" s="26">
        <f t="shared" si="3"/>
        <v>0.8317821693792613</v>
      </c>
      <c r="L17" s="26">
        <f t="shared" si="3"/>
        <v>0.86959858091415598</v>
      </c>
      <c r="M17" s="26">
        <f t="shared" si="3"/>
        <v>0.89891362861562485</v>
      </c>
      <c r="N17" s="26">
        <f t="shared" si="3"/>
        <v>0.92163847179505798</v>
      </c>
    </row>
    <row r="18" spans="1:16" ht="14.25" x14ac:dyDescent="0.45">
      <c r="B18" s="159"/>
      <c r="C18" s="177"/>
      <c r="D18" s="19" t="s">
        <v>129</v>
      </c>
      <c r="E18" s="26">
        <f>1-E17</f>
        <v>0.77519379844961245</v>
      </c>
      <c r="F18" s="26">
        <f t="shared" ref="F18:N18" si="4">1-F17</f>
        <v>0.60092542515473824</v>
      </c>
      <c r="G18" s="26">
        <f t="shared" si="4"/>
        <v>0.46583366291064987</v>
      </c>
      <c r="H18" s="26">
        <f t="shared" si="4"/>
        <v>0.36111136659740295</v>
      </c>
      <c r="I18" s="26">
        <f t="shared" si="4"/>
        <v>0.27993129193597133</v>
      </c>
      <c r="J18" s="26">
        <f t="shared" si="4"/>
        <v>0.21700100150075297</v>
      </c>
      <c r="K18" s="26">
        <f t="shared" si="4"/>
        <v>0.1682178306207387</v>
      </c>
      <c r="L18" s="26">
        <f t="shared" si="4"/>
        <v>0.13040141908584402</v>
      </c>
      <c r="M18" s="26">
        <f t="shared" si="4"/>
        <v>0.10108637138437515</v>
      </c>
      <c r="N18" s="26">
        <f t="shared" si="4"/>
        <v>7.8361528204942021E-2</v>
      </c>
    </row>
    <row r="19" spans="1:16" ht="14.25" x14ac:dyDescent="0.45">
      <c r="B19" s="159"/>
      <c r="C19" s="177"/>
      <c r="D19" s="19" t="s">
        <v>130</v>
      </c>
      <c r="E19" s="80">
        <f>E17</f>
        <v>0.22480620155038761</v>
      </c>
      <c r="F19" s="80">
        <f t="shared" ref="F19:N19" si="5">F17-E17</f>
        <v>0.1742683732948741</v>
      </c>
      <c r="G19" s="80">
        <f>G17-F17</f>
        <v>0.13509176224408842</v>
      </c>
      <c r="H19" s="80">
        <f t="shared" si="5"/>
        <v>0.10472229631324692</v>
      </c>
      <c r="I19" s="80">
        <f t="shared" si="5"/>
        <v>8.1180074661431623E-2</v>
      </c>
      <c r="J19" s="80">
        <f>J17-I17</f>
        <v>6.2930290435218361E-2</v>
      </c>
      <c r="K19" s="80">
        <f t="shared" si="5"/>
        <v>4.878317088001427E-2</v>
      </c>
      <c r="L19" s="80">
        <f t="shared" si="5"/>
        <v>3.7816411534894678E-2</v>
      </c>
      <c r="M19" s="80">
        <f t="shared" si="5"/>
        <v>2.9315047701468866E-2</v>
      </c>
      <c r="N19" s="80">
        <f t="shared" si="5"/>
        <v>2.272484317943313E-2</v>
      </c>
    </row>
    <row r="20" spans="1:16" ht="14.25" x14ac:dyDescent="0.45">
      <c r="B20" s="159"/>
      <c r="C20" s="177"/>
      <c r="D20" s="19" t="s">
        <v>131</v>
      </c>
      <c r="E20" s="80"/>
      <c r="F20" s="80"/>
      <c r="G20" s="80"/>
      <c r="H20" s="80"/>
      <c r="I20" s="80">
        <f>AVERAGE(E19:I19)</f>
        <v>0.14401374161280572</v>
      </c>
      <c r="J20" s="26"/>
      <c r="K20" s="26"/>
      <c r="L20" s="26"/>
      <c r="M20" s="26"/>
      <c r="N20" s="80">
        <f>AVERAGE(E19:N19)</f>
        <v>9.2163847179505792E-2</v>
      </c>
    </row>
    <row r="21" spans="1:16" ht="14.25" x14ac:dyDescent="0.45">
      <c r="B21" s="159"/>
      <c r="C21" s="177"/>
      <c r="D21" s="19" t="s">
        <v>132</v>
      </c>
      <c r="E21" s="80">
        <f>$E$11*E19</f>
        <v>0.67441860465116288</v>
      </c>
      <c r="F21" s="80">
        <f t="shared" ref="F21:N21" si="6">$E$11*F19</f>
        <v>0.5228051198846223</v>
      </c>
      <c r="G21" s="80">
        <f t="shared" si="6"/>
        <v>0.40527528673226526</v>
      </c>
      <c r="H21" s="80">
        <f t="shared" si="6"/>
        <v>0.31416688893974076</v>
      </c>
      <c r="I21" s="80">
        <f t="shared" si="6"/>
        <v>0.24354022398429487</v>
      </c>
      <c r="J21" s="80">
        <f t="shared" si="6"/>
        <v>0.18879087130565508</v>
      </c>
      <c r="K21" s="80">
        <f t="shared" si="6"/>
        <v>0.14634951264004281</v>
      </c>
      <c r="L21" s="80">
        <f t="shared" si="6"/>
        <v>0.11344923460468403</v>
      </c>
      <c r="M21" s="80">
        <f t="shared" si="6"/>
        <v>8.7945143104406598E-2</v>
      </c>
      <c r="N21" s="80">
        <f t="shared" si="6"/>
        <v>6.8174529538299389E-2</v>
      </c>
    </row>
    <row r="22" spans="1:16" ht="14.25" x14ac:dyDescent="0.45">
      <c r="B22" s="159"/>
      <c r="C22" s="177"/>
      <c r="D22" s="19" t="s">
        <v>133</v>
      </c>
      <c r="E22" s="80"/>
      <c r="F22" s="80"/>
      <c r="G22" s="80"/>
      <c r="H22" s="80"/>
      <c r="I22" s="80">
        <f>AVERAGE(E21:I21)</f>
        <v>0.43204122483841728</v>
      </c>
      <c r="J22" s="26"/>
      <c r="K22" s="26"/>
      <c r="L22" s="26"/>
      <c r="M22" s="26"/>
      <c r="N22" s="80">
        <f>AVERAGE(E21:N21)</f>
        <v>0.2764915415385174</v>
      </c>
    </row>
    <row r="23" spans="1:16" ht="14.25" x14ac:dyDescent="0.45">
      <c r="B23" s="159"/>
      <c r="C23" s="177"/>
      <c r="D23" s="15" t="s">
        <v>58</v>
      </c>
      <c r="E23" s="17">
        <f>E19+E21</f>
        <v>0.89922480620155043</v>
      </c>
      <c r="F23" s="17">
        <f t="shared" ref="F23:N23" si="7">F19+F21</f>
        <v>0.69707349317949641</v>
      </c>
      <c r="G23" s="17">
        <f t="shared" si="7"/>
        <v>0.54036704897635368</v>
      </c>
      <c r="H23" s="17">
        <f t="shared" si="7"/>
        <v>0.41888918525298768</v>
      </c>
      <c r="I23" s="17">
        <f t="shared" si="7"/>
        <v>0.32472029864572649</v>
      </c>
      <c r="J23" s="17">
        <f t="shared" si="7"/>
        <v>0.25172116174087344</v>
      </c>
      <c r="K23" s="17">
        <f t="shared" si="7"/>
        <v>0.19513268352005708</v>
      </c>
      <c r="L23" s="17">
        <f t="shared" si="7"/>
        <v>0.15126564613957871</v>
      </c>
      <c r="M23" s="17">
        <f t="shared" si="7"/>
        <v>0.11726019080587546</v>
      </c>
      <c r="N23" s="17">
        <f t="shared" si="7"/>
        <v>9.0899372717732518E-2</v>
      </c>
    </row>
    <row r="24" spans="1:16" ht="14.25" x14ac:dyDescent="0.45">
      <c r="B24" s="160"/>
      <c r="C24" s="178"/>
      <c r="D24" s="15" t="s">
        <v>59</v>
      </c>
      <c r="E24" s="17"/>
      <c r="F24" s="17"/>
      <c r="G24" s="17"/>
      <c r="H24" s="17"/>
      <c r="I24" s="17">
        <f>AVERAGE(E23:I23)</f>
        <v>0.57605496645122289</v>
      </c>
      <c r="J24" s="16"/>
      <c r="K24" s="16"/>
      <c r="L24" s="16"/>
      <c r="M24" s="16"/>
      <c r="N24" s="17">
        <f>AVERAGE(E23:N23)</f>
        <v>0.36865538871802317</v>
      </c>
    </row>
    <row r="25" spans="1:16" ht="14.25" x14ac:dyDescent="0.45">
      <c r="B25" s="158" t="s">
        <v>141</v>
      </c>
      <c r="C25" s="176" t="s">
        <v>32</v>
      </c>
      <c r="D25" s="15" t="s">
        <v>43</v>
      </c>
      <c r="E25" s="17">
        <f>((1+$E$11)*$E$6)+($E$6*E18)</f>
        <v>9.550387596899225E-2</v>
      </c>
      <c r="F25" s="17">
        <f t="shared" ref="F25:N25" si="8">((1+$E$11)*$E$6)+($E$6*F18)</f>
        <v>9.2018508503094759E-2</v>
      </c>
      <c r="G25" s="17">
        <f t="shared" si="8"/>
        <v>8.9316673258212992E-2</v>
      </c>
      <c r="H25" s="17">
        <f t="shared" si="8"/>
        <v>8.7222227331948066E-2</v>
      </c>
      <c r="I25" s="17">
        <f>((1+$E$11)*$E$6)+($E$6*I18)</f>
        <v>8.5598625838719425E-2</v>
      </c>
      <c r="J25" s="17">
        <f t="shared" si="8"/>
        <v>8.4340020030015062E-2</v>
      </c>
      <c r="K25" s="17">
        <f t="shared" si="8"/>
        <v>8.3364356612414772E-2</v>
      </c>
      <c r="L25" s="17">
        <f t="shared" si="8"/>
        <v>8.260802838171688E-2</v>
      </c>
      <c r="M25" s="17">
        <f t="shared" si="8"/>
        <v>8.2021727427687499E-2</v>
      </c>
      <c r="N25" s="17">
        <f t="shared" si="8"/>
        <v>8.1567230564098842E-2</v>
      </c>
    </row>
    <row r="26" spans="1:16" ht="14.25" x14ac:dyDescent="0.45">
      <c r="B26" s="159"/>
      <c r="C26" s="177"/>
      <c r="D26" s="15" t="s">
        <v>44</v>
      </c>
      <c r="E26" s="17"/>
      <c r="F26" s="17"/>
      <c r="G26" s="17"/>
      <c r="H26" s="17"/>
      <c r="I26" s="17">
        <f>AVERAGE(E25:I25)</f>
        <v>8.9931982180193507E-2</v>
      </c>
      <c r="J26" s="16"/>
      <c r="K26" s="16"/>
      <c r="L26" s="16"/>
      <c r="M26" s="16"/>
      <c r="N26" s="17">
        <f>AVERAGE(E25:N25)</f>
        <v>8.6356127391690074E-2</v>
      </c>
    </row>
    <row r="27" spans="1:16" ht="14.25" x14ac:dyDescent="0.45">
      <c r="B27" s="159"/>
      <c r="C27" s="177"/>
      <c r="D27" s="19" t="s">
        <v>42</v>
      </c>
      <c r="E27" s="80">
        <f>E25</f>
        <v>9.550387596899225E-2</v>
      </c>
      <c r="F27" s="80">
        <f>E27+F25</f>
        <v>0.18752238447208702</v>
      </c>
      <c r="G27" s="80">
        <f>F27+G25</f>
        <v>0.27683905773030004</v>
      </c>
      <c r="H27" s="80">
        <f t="shared" ref="H27:I27" si="9">G27+H25</f>
        <v>0.36406128506224811</v>
      </c>
      <c r="I27" s="80">
        <f t="shared" si="9"/>
        <v>0.44965991090096752</v>
      </c>
      <c r="J27" s="80">
        <f>I27+J25</f>
        <v>0.53399993093098264</v>
      </c>
      <c r="K27" s="80">
        <f t="shared" ref="K27:N27" si="10">J27+K25</f>
        <v>0.61736428754339745</v>
      </c>
      <c r="L27" s="80">
        <f t="shared" si="10"/>
        <v>0.69997231592511433</v>
      </c>
      <c r="M27" s="80">
        <f t="shared" si="10"/>
        <v>0.78199404335280187</v>
      </c>
      <c r="N27" s="80">
        <f t="shared" si="10"/>
        <v>0.86356127391690074</v>
      </c>
    </row>
    <row r="28" spans="1:16" ht="14.25" x14ac:dyDescent="0.45">
      <c r="B28" s="158" t="s">
        <v>17</v>
      </c>
      <c r="C28" s="176" t="s">
        <v>32</v>
      </c>
      <c r="D28" s="15" t="s">
        <v>43</v>
      </c>
      <c r="E28" s="17">
        <f t="shared" ref="E28:N28" si="11">((1+$E$11)*$E$7)+($E$7*E18)</f>
        <v>4.7751937984496125E-2</v>
      </c>
      <c r="F28" s="17">
        <f t="shared" si="11"/>
        <v>4.600925425154738E-2</v>
      </c>
      <c r="G28" s="17">
        <f t="shared" si="11"/>
        <v>4.4658336629106496E-2</v>
      </c>
      <c r="H28" s="17">
        <f t="shared" si="11"/>
        <v>4.3611113665974033E-2</v>
      </c>
      <c r="I28" s="17">
        <f t="shared" si="11"/>
        <v>4.2799312919359712E-2</v>
      </c>
      <c r="J28" s="17">
        <f t="shared" si="11"/>
        <v>4.2170010015007531E-2</v>
      </c>
      <c r="K28" s="17">
        <f t="shared" si="11"/>
        <v>4.1682178306207386E-2</v>
      </c>
      <c r="L28" s="17">
        <f t="shared" si="11"/>
        <v>4.130401419085844E-2</v>
      </c>
      <c r="M28" s="17">
        <f t="shared" si="11"/>
        <v>4.101086371384375E-2</v>
      </c>
      <c r="N28" s="17">
        <f t="shared" si="11"/>
        <v>4.0783615282049421E-2</v>
      </c>
    </row>
    <row r="29" spans="1:16" ht="15" customHeight="1" x14ac:dyDescent="0.45">
      <c r="B29" s="159"/>
      <c r="C29" s="177"/>
      <c r="D29" s="15" t="s">
        <v>44</v>
      </c>
      <c r="E29" s="17"/>
      <c r="F29" s="17"/>
      <c r="G29" s="17"/>
      <c r="H29" s="17"/>
      <c r="I29" s="17">
        <f>AVERAGE(E28:I28)</f>
        <v>4.4965991090096753E-2</v>
      </c>
      <c r="J29" s="16"/>
      <c r="K29" s="16"/>
      <c r="L29" s="16"/>
      <c r="M29" s="16"/>
      <c r="N29" s="17">
        <f>AVERAGE(E28:N28)</f>
        <v>4.3178063695845037E-2</v>
      </c>
    </row>
    <row r="30" spans="1:16" ht="14.25" x14ac:dyDescent="0.45">
      <c r="B30" s="159"/>
      <c r="C30" s="177"/>
      <c r="D30" s="19" t="s">
        <v>42</v>
      </c>
      <c r="E30" s="80">
        <f>E28</f>
        <v>4.7751937984496125E-2</v>
      </c>
      <c r="F30" s="80">
        <f t="shared" ref="F30:N30" si="12">E30+F28</f>
        <v>9.3761192236043511E-2</v>
      </c>
      <c r="G30" s="80">
        <f>F30+G28</f>
        <v>0.13841952886515002</v>
      </c>
      <c r="H30" s="80">
        <f t="shared" si="12"/>
        <v>0.18203064253112405</v>
      </c>
      <c r="I30" s="80">
        <f t="shared" si="12"/>
        <v>0.22482995545048376</v>
      </c>
      <c r="J30" s="80">
        <f>I30+J28</f>
        <v>0.26699996546549132</v>
      </c>
      <c r="K30" s="80">
        <f t="shared" si="12"/>
        <v>0.30868214377169872</v>
      </c>
      <c r="L30" s="80">
        <f t="shared" si="12"/>
        <v>0.34998615796255717</v>
      </c>
      <c r="M30" s="80">
        <f t="shared" si="12"/>
        <v>0.39099702167640094</v>
      </c>
      <c r="N30" s="80">
        <f t="shared" si="12"/>
        <v>0.43178063695845037</v>
      </c>
    </row>
    <row r="31" spans="1:16" ht="14.25" x14ac:dyDescent="0.45">
      <c r="B31" s="3"/>
      <c r="C31" s="1"/>
      <c r="D31" s="43"/>
      <c r="E31" s="31"/>
      <c r="F31" s="31"/>
      <c r="G31" s="31"/>
      <c r="H31" s="31"/>
      <c r="I31" s="31"/>
      <c r="J31" s="31"/>
      <c r="K31" s="31"/>
      <c r="L31" s="31"/>
      <c r="M31" s="31"/>
      <c r="N31" s="31"/>
    </row>
    <row r="32" spans="1:16" ht="14.25" x14ac:dyDescent="0.45">
      <c r="A32" s="8"/>
      <c r="B32" s="168" t="s">
        <v>118</v>
      </c>
      <c r="C32" s="170" t="s">
        <v>21</v>
      </c>
      <c r="D32" s="172" t="str">
        <f>"10 BTC / "&amp;TEXT($E$4*10, "$###0.00,,")&amp;"M USD"</f>
        <v>10 BTC / $1.00M USD</v>
      </c>
      <c r="E32" s="148" t="s">
        <v>3</v>
      </c>
      <c r="F32" s="148" t="s">
        <v>4</v>
      </c>
      <c r="G32" s="148" t="s">
        <v>5</v>
      </c>
      <c r="H32" s="148" t="s">
        <v>6</v>
      </c>
      <c r="I32" s="148" t="s">
        <v>7</v>
      </c>
      <c r="J32" s="148" t="s">
        <v>8</v>
      </c>
      <c r="K32" s="148" t="s">
        <v>9</v>
      </c>
      <c r="L32" s="148" t="s">
        <v>10</v>
      </c>
      <c r="M32" s="148" t="s">
        <v>11</v>
      </c>
      <c r="N32" s="148" t="s">
        <v>12</v>
      </c>
      <c r="O32" s="8"/>
      <c r="P32" s="8"/>
    </row>
    <row r="33" spans="2:14" ht="14.25" x14ac:dyDescent="0.45">
      <c r="B33" s="169"/>
      <c r="C33" s="171"/>
      <c r="D33" s="173"/>
      <c r="E33" s="149"/>
      <c r="F33" s="149"/>
      <c r="G33" s="149"/>
      <c r="H33" s="149"/>
      <c r="I33" s="149"/>
      <c r="J33" s="149"/>
      <c r="K33" s="149"/>
      <c r="L33" s="149"/>
      <c r="M33" s="149"/>
      <c r="N33" s="149"/>
    </row>
    <row r="34" spans="2:14" ht="14.25" x14ac:dyDescent="0.45">
      <c r="B34" s="158" t="s">
        <v>141</v>
      </c>
      <c r="C34" s="166" t="s">
        <v>32</v>
      </c>
      <c r="D34" s="15" t="s">
        <v>58</v>
      </c>
      <c r="E34" s="16">
        <f>E39*$E$4/E$15</f>
        <v>7.7519379844961239E-2</v>
      </c>
      <c r="F34" s="16">
        <f t="shared" ref="F34:N34" si="13">F39*$E$4/F$15</f>
        <v>6.0092542515473829E-2</v>
      </c>
      <c r="G34" s="16">
        <f t="shared" si="13"/>
        <v>4.6583366291064986E-2</v>
      </c>
      <c r="H34" s="16">
        <f t="shared" si="13"/>
        <v>3.6111136659740299E-2</v>
      </c>
      <c r="I34" s="16">
        <f t="shared" si="13"/>
        <v>2.7993129193597133E-2</v>
      </c>
      <c r="J34" s="16">
        <f t="shared" si="13"/>
        <v>2.1700100150075299E-2</v>
      </c>
      <c r="K34" s="16">
        <f t="shared" si="13"/>
        <v>1.6821783062073874E-2</v>
      </c>
      <c r="L34" s="16">
        <f t="shared" si="13"/>
        <v>1.3040141908584399E-2</v>
      </c>
      <c r="M34" s="16">
        <f t="shared" si="13"/>
        <v>1.010863713843752E-2</v>
      </c>
      <c r="N34" s="16">
        <f t="shared" si="13"/>
        <v>7.8361528204942011E-3</v>
      </c>
    </row>
    <row r="35" spans="2:14" ht="14.25" x14ac:dyDescent="0.45">
      <c r="B35" s="159"/>
      <c r="C35" s="166"/>
      <c r="D35" s="15" t="s">
        <v>59</v>
      </c>
      <c r="E35" s="16"/>
      <c r="F35" s="16"/>
      <c r="G35" s="16"/>
      <c r="H35" s="16"/>
      <c r="I35" s="82">
        <f>AVERAGE(E34:I34)</f>
        <v>4.9659910900967504E-2</v>
      </c>
      <c r="J35" s="16"/>
      <c r="K35" s="16"/>
      <c r="L35" s="16"/>
      <c r="M35" s="16"/>
      <c r="N35" s="17">
        <f>AVERAGE(E34:N34)</f>
        <v>3.1780636958450278E-2</v>
      </c>
    </row>
    <row r="36" spans="2:14" ht="14.25" x14ac:dyDescent="0.45">
      <c r="B36" s="159"/>
      <c r="C36" s="166"/>
      <c r="D36" s="15" t="s">
        <v>42</v>
      </c>
      <c r="E36" s="16">
        <f t="shared" ref="E36:N36" si="14">E$17*(E34/E$19)</f>
        <v>7.7519379844961239E-2</v>
      </c>
      <c r="F36" s="16">
        <f t="shared" si="14"/>
        <v>0.13761192236043507</v>
      </c>
      <c r="G36" s="16">
        <f>G$17*(G34/G$19)</f>
        <v>0.18419528865150009</v>
      </c>
      <c r="H36" s="16">
        <f>H$17*(H34/H$19)</f>
        <v>0.22030642531124023</v>
      </c>
      <c r="I36" s="16">
        <f>I$17*(I34/I$19)</f>
        <v>0.24829955450483765</v>
      </c>
      <c r="J36" s="16">
        <f t="shared" si="14"/>
        <v>0.26999965465491277</v>
      </c>
      <c r="K36" s="16">
        <f t="shared" si="14"/>
        <v>0.28682143771698643</v>
      </c>
      <c r="L36" s="16">
        <f t="shared" si="14"/>
        <v>0.29986157962557164</v>
      </c>
      <c r="M36" s="16">
        <f t="shared" si="14"/>
        <v>0.30997021676400793</v>
      </c>
      <c r="N36" s="16">
        <f t="shared" si="14"/>
        <v>0.31780636958450348</v>
      </c>
    </row>
    <row r="37" spans="2:14" ht="14.25" customHeight="1" x14ac:dyDescent="0.45">
      <c r="B37" s="159"/>
      <c r="C37" s="167"/>
      <c r="D37" s="19" t="s">
        <v>45</v>
      </c>
      <c r="E37" s="20">
        <f t="shared" ref="E37:N37" si="15">10*E34</f>
        <v>0.77519379844961245</v>
      </c>
      <c r="F37" s="20">
        <f t="shared" si="15"/>
        <v>0.60092542515473824</v>
      </c>
      <c r="G37" s="20">
        <f t="shared" si="15"/>
        <v>0.46583366291064987</v>
      </c>
      <c r="H37" s="20">
        <f t="shared" si="15"/>
        <v>0.36111136659740301</v>
      </c>
      <c r="I37" s="20">
        <f t="shared" si="15"/>
        <v>0.27993129193597133</v>
      </c>
      <c r="J37" s="20">
        <f t="shared" si="15"/>
        <v>0.21700100150075299</v>
      </c>
      <c r="K37" s="20">
        <f t="shared" si="15"/>
        <v>0.16821783062073875</v>
      </c>
      <c r="L37" s="20">
        <f t="shared" si="15"/>
        <v>0.13040141908584399</v>
      </c>
      <c r="M37" s="20">
        <f t="shared" si="15"/>
        <v>0.10108637138437521</v>
      </c>
      <c r="N37" s="20">
        <f t="shared" si="15"/>
        <v>7.8361528204942008E-2</v>
      </c>
    </row>
    <row r="38" spans="2:14" ht="14.25" x14ac:dyDescent="0.45">
      <c r="B38" s="159"/>
      <c r="C38" s="167"/>
      <c r="D38" s="19" t="s">
        <v>46</v>
      </c>
      <c r="E38" s="20">
        <f>10*E36</f>
        <v>0.77519379844961245</v>
      </c>
      <c r="F38" s="20">
        <f>10*F36</f>
        <v>1.3761192236043507</v>
      </c>
      <c r="G38" s="20">
        <f>10*G36</f>
        <v>1.841952886515001</v>
      </c>
      <c r="H38" s="20">
        <f t="shared" ref="H38:N38" si="16">10*H36</f>
        <v>2.2030642531124025</v>
      </c>
      <c r="I38" s="20">
        <f t="shared" si="16"/>
        <v>2.4829955450483765</v>
      </c>
      <c r="J38" s="20">
        <f t="shared" si="16"/>
        <v>2.6999965465491278</v>
      </c>
      <c r="K38" s="20">
        <f t="shared" si="16"/>
        <v>2.8682143771698643</v>
      </c>
      <c r="L38" s="20">
        <f t="shared" si="16"/>
        <v>2.9986157962557165</v>
      </c>
      <c r="M38" s="20">
        <f t="shared" si="16"/>
        <v>3.0997021676400793</v>
      </c>
      <c r="N38" s="20">
        <f t="shared" si="16"/>
        <v>3.1780636958450348</v>
      </c>
    </row>
    <row r="39" spans="2:14" ht="14.25" x14ac:dyDescent="0.45">
      <c r="B39" s="159"/>
      <c r="C39" s="165" t="s">
        <v>36</v>
      </c>
      <c r="D39" s="15" t="s">
        <v>43</v>
      </c>
      <c r="E39" s="16">
        <f>E8</f>
        <v>0.1</v>
      </c>
      <c r="F39" s="16">
        <f>E39</f>
        <v>0.1</v>
      </c>
      <c r="G39" s="16">
        <f t="shared" ref="G39:N39" si="17">F39</f>
        <v>0.1</v>
      </c>
      <c r="H39" s="16">
        <f t="shared" si="17"/>
        <v>0.1</v>
      </c>
      <c r="I39" s="16">
        <f t="shared" si="17"/>
        <v>0.1</v>
      </c>
      <c r="J39" s="16">
        <f t="shared" si="17"/>
        <v>0.1</v>
      </c>
      <c r="K39" s="16">
        <f t="shared" si="17"/>
        <v>0.1</v>
      </c>
      <c r="L39" s="16">
        <f t="shared" si="17"/>
        <v>0.1</v>
      </c>
      <c r="M39" s="16">
        <f t="shared" si="17"/>
        <v>0.1</v>
      </c>
      <c r="N39" s="16">
        <f t="shared" si="17"/>
        <v>0.1</v>
      </c>
    </row>
    <row r="40" spans="2:14" ht="14.25" customHeight="1" x14ac:dyDescent="0.45">
      <c r="B40" s="159"/>
      <c r="C40" s="167"/>
      <c r="D40" s="19" t="s">
        <v>45</v>
      </c>
      <c r="E40" s="21">
        <f>E37*E$15</f>
        <v>100000</v>
      </c>
      <c r="F40" s="21">
        <f t="shared" ref="F40:N40" si="18">F37*F$15</f>
        <v>99999.999999999985</v>
      </c>
      <c r="G40" s="21">
        <f>G37*G$15</f>
        <v>100000</v>
      </c>
      <c r="H40" s="21">
        <f>H37*H$15</f>
        <v>100000</v>
      </c>
      <c r="I40" s="21">
        <f>I37*I$15</f>
        <v>100000</v>
      </c>
      <c r="J40" s="21">
        <f t="shared" si="18"/>
        <v>100000</v>
      </c>
      <c r="K40" s="21">
        <f t="shared" si="18"/>
        <v>100000</v>
      </c>
      <c r="L40" s="21">
        <f t="shared" si="18"/>
        <v>100000</v>
      </c>
      <c r="M40" s="21">
        <f t="shared" si="18"/>
        <v>100000.00000000001</v>
      </c>
      <c r="N40" s="21">
        <f t="shared" si="18"/>
        <v>99999.999999999985</v>
      </c>
    </row>
    <row r="41" spans="2:14" ht="14.25" x14ac:dyDescent="0.45">
      <c r="B41" s="159"/>
      <c r="C41" s="167"/>
      <c r="D41" s="19" t="s">
        <v>46</v>
      </c>
      <c r="E41" s="21">
        <f>E40</f>
        <v>100000</v>
      </c>
      <c r="F41" s="21">
        <f>E41+F40</f>
        <v>200000</v>
      </c>
      <c r="G41" s="21">
        <f>F41+G40</f>
        <v>300000</v>
      </c>
      <c r="H41" s="21">
        <f t="shared" ref="H41:N41" si="19">G41+H40</f>
        <v>400000</v>
      </c>
      <c r="I41" s="21">
        <f t="shared" si="19"/>
        <v>500000</v>
      </c>
      <c r="J41" s="21">
        <f>I41+J40</f>
        <v>600000</v>
      </c>
      <c r="K41" s="21">
        <f t="shared" si="19"/>
        <v>700000</v>
      </c>
      <c r="L41" s="21">
        <f t="shared" si="19"/>
        <v>800000</v>
      </c>
      <c r="M41" s="21">
        <f t="shared" si="19"/>
        <v>900000</v>
      </c>
      <c r="N41" s="21">
        <f t="shared" si="19"/>
        <v>1000000</v>
      </c>
    </row>
    <row r="42" spans="2:14" ht="14.25" x14ac:dyDescent="0.45">
      <c r="B42" s="159"/>
      <c r="C42" s="165" t="s">
        <v>35</v>
      </c>
      <c r="D42" s="15" t="s">
        <v>43</v>
      </c>
      <c r="E42" s="16">
        <f>E36*E$15/$E$4</f>
        <v>0.1</v>
      </c>
      <c r="F42" s="16">
        <f>F36*F$15/$E$4-E42</f>
        <v>0.129</v>
      </c>
      <c r="G42" s="16">
        <f>G36*G$15/$E$4-F42-E42</f>
        <v>0.16641000000000009</v>
      </c>
      <c r="H42" s="16">
        <f>H36*H$15/$E$4-G42-F42-E42</f>
        <v>0.21466889999999958</v>
      </c>
      <c r="I42" s="16">
        <f>I36*I$15/$E$4-H42-G42-F42-E42</f>
        <v>0.27692288100000084</v>
      </c>
      <c r="J42" s="16">
        <f>J36*J$15/$E$4-I42-H42-G42-F42-E42</f>
        <v>0.35723051648999904</v>
      </c>
      <c r="K42" s="16">
        <f>K36*K$15/$E$4-J42-I42-H42-G42-F42-E42</f>
        <v>0.46082736627209886</v>
      </c>
      <c r="L42" s="16">
        <f>L36*L$15/$E$4-K42-J42-I42-H42-G42-F42-E42</f>
        <v>0.59446730249101465</v>
      </c>
      <c r="M42" s="16">
        <f>M36*M$15/$E$4-L42-K42-J42-I42-H42-G42-F42-E42</f>
        <v>0.76686282021339069</v>
      </c>
      <c r="N42" s="16">
        <f>N36*N$15/$E$4-M42-L42-K42-J42-I42-H42-G42-F42-E42</f>
        <v>0.98925303807530207</v>
      </c>
    </row>
    <row r="43" spans="2:14" ht="14.25" x14ac:dyDescent="0.45">
      <c r="B43" s="159"/>
      <c r="C43" s="166"/>
      <c r="D43" s="15" t="s">
        <v>44</v>
      </c>
      <c r="E43" s="17"/>
      <c r="F43" s="17"/>
      <c r="G43" s="17"/>
      <c r="H43" s="17"/>
      <c r="I43" s="38">
        <f>AVERAGE(E42:I42)</f>
        <v>0.17740035620000011</v>
      </c>
      <c r="J43" s="17"/>
      <c r="K43" s="17"/>
      <c r="L43" s="17"/>
      <c r="M43" s="17"/>
      <c r="N43" s="17">
        <f>AVERAGE(E42:N42)</f>
        <v>0.40556428245418064</v>
      </c>
    </row>
    <row r="44" spans="2:14" ht="14.25" x14ac:dyDescent="0.45">
      <c r="B44" s="159"/>
      <c r="C44" s="167"/>
      <c r="D44" s="19" t="s">
        <v>45</v>
      </c>
      <c r="E44" s="22">
        <f>E46</f>
        <v>100000</v>
      </c>
      <c r="F44" s="22">
        <f>F46-E46</f>
        <v>129000</v>
      </c>
      <c r="G44" s="22">
        <f>G46-F46</f>
        <v>166410.00000000006</v>
      </c>
      <c r="H44" s="22">
        <f t="shared" ref="H44:N44" si="20">H46-G46</f>
        <v>214668.89999999962</v>
      </c>
      <c r="I44" s="22">
        <f t="shared" si="20"/>
        <v>276922.88100000075</v>
      </c>
      <c r="J44" s="22">
        <f>J46-I46</f>
        <v>357230.51648999937</v>
      </c>
      <c r="K44" s="22">
        <f t="shared" si="20"/>
        <v>460827.36627209862</v>
      </c>
      <c r="L44" s="22">
        <f t="shared" si="20"/>
        <v>594467.30249101459</v>
      </c>
      <c r="M44" s="22">
        <f t="shared" si="20"/>
        <v>766862.82021339051</v>
      </c>
      <c r="N44" s="22">
        <f t="shared" si="20"/>
        <v>989253.03807530319</v>
      </c>
    </row>
    <row r="45" spans="2:14" ht="15" customHeight="1" x14ac:dyDescent="0.45">
      <c r="B45" s="159"/>
      <c r="C45" s="167"/>
      <c r="D45" s="19" t="s">
        <v>47</v>
      </c>
      <c r="E45" s="22"/>
      <c r="F45" s="22"/>
      <c r="G45" s="22"/>
      <c r="H45" s="22"/>
      <c r="I45" s="22">
        <f>AVERAGE(E44:I44)</f>
        <v>177400.3562000001</v>
      </c>
      <c r="J45" s="22"/>
      <c r="K45" s="22"/>
      <c r="L45" s="22"/>
      <c r="M45" s="22"/>
      <c r="N45" s="22">
        <f>AVERAGE(E44:N44)</f>
        <v>405564.28245418065</v>
      </c>
    </row>
    <row r="46" spans="2:14" ht="14.25" x14ac:dyDescent="0.45">
      <c r="B46" s="160"/>
      <c r="C46" s="167"/>
      <c r="D46" s="19" t="s">
        <v>46</v>
      </c>
      <c r="E46" s="21">
        <f t="shared" ref="E46:N46" si="21">E38*E$15</f>
        <v>100000</v>
      </c>
      <c r="F46" s="21">
        <f t="shared" si="21"/>
        <v>229000</v>
      </c>
      <c r="G46" s="21">
        <f>G38*G$15</f>
        <v>395410.00000000006</v>
      </c>
      <c r="H46" s="21">
        <f>H38*H$15</f>
        <v>610078.89999999967</v>
      </c>
      <c r="I46" s="21">
        <f>I38*I$15</f>
        <v>887001.78100000042</v>
      </c>
      <c r="J46" s="21">
        <f t="shared" si="21"/>
        <v>1244232.2974899998</v>
      </c>
      <c r="K46" s="21">
        <f t="shared" si="21"/>
        <v>1705059.6637620984</v>
      </c>
      <c r="L46" s="21">
        <f t="shared" si="21"/>
        <v>2299526.966253113</v>
      </c>
      <c r="M46" s="21">
        <f t="shared" si="21"/>
        <v>3066389.7864665035</v>
      </c>
      <c r="N46" s="21">
        <f t="shared" si="21"/>
        <v>4055642.8245418067</v>
      </c>
    </row>
    <row r="47" spans="2:14" ht="14.25" x14ac:dyDescent="0.45">
      <c r="B47" s="3"/>
      <c r="C47" s="1"/>
      <c r="D47" s="43"/>
      <c r="E47" s="31"/>
      <c r="F47" s="31"/>
      <c r="G47" s="31"/>
      <c r="H47" s="31"/>
      <c r="I47" s="31"/>
      <c r="J47" s="31"/>
      <c r="K47" s="31"/>
      <c r="L47" s="31"/>
      <c r="M47" s="31"/>
      <c r="N47" s="31"/>
    </row>
    <row r="48" spans="2:14" ht="14.25" x14ac:dyDescent="0.45">
      <c r="B48" s="150" t="s">
        <v>120</v>
      </c>
      <c r="C48" s="174" t="s">
        <v>21</v>
      </c>
      <c r="D48" s="152" t="str">
        <f>"10 BTC / "&amp;TEXT($E$4*10, "$###0.00,,")&amp;"M USD"</f>
        <v>10 BTC / $1.00M USD</v>
      </c>
      <c r="E48" s="148" t="s">
        <v>3</v>
      </c>
      <c r="F48" s="148" t="s">
        <v>4</v>
      </c>
      <c r="G48" s="148" t="s">
        <v>5</v>
      </c>
      <c r="H48" s="148" t="s">
        <v>6</v>
      </c>
      <c r="I48" s="148" t="s">
        <v>7</v>
      </c>
      <c r="J48" s="148" t="s">
        <v>8</v>
      </c>
      <c r="K48" s="148" t="s">
        <v>9</v>
      </c>
      <c r="L48" s="148" t="s">
        <v>10</v>
      </c>
      <c r="M48" s="148" t="s">
        <v>11</v>
      </c>
      <c r="N48" s="148" t="s">
        <v>12</v>
      </c>
    </row>
    <row r="49" spans="1:16" ht="14.25" x14ac:dyDescent="0.45">
      <c r="B49" s="151"/>
      <c r="C49" s="175"/>
      <c r="D49" s="153"/>
      <c r="E49" s="149"/>
      <c r="F49" s="149"/>
      <c r="G49" s="149"/>
      <c r="H49" s="149"/>
      <c r="I49" s="149"/>
      <c r="J49" s="149"/>
      <c r="K49" s="149"/>
      <c r="L49" s="149"/>
      <c r="M49" s="149"/>
      <c r="N49" s="149"/>
    </row>
    <row r="50" spans="1:16" ht="14.25" x14ac:dyDescent="0.45">
      <c r="B50" s="158" t="s">
        <v>141</v>
      </c>
      <c r="C50" s="166" t="s">
        <v>32</v>
      </c>
      <c r="D50" s="15" t="s">
        <v>43</v>
      </c>
      <c r="E50" s="16">
        <f>E55*$E$4/E$15</f>
        <v>0.21317829457364337</v>
      </c>
      <c r="F50" s="16">
        <f t="shared" ref="F50:N50" si="22">F55*$E$4/F$15</f>
        <v>0.16525449191755301</v>
      </c>
      <c r="G50" s="16">
        <f t="shared" si="22"/>
        <v>0.12810425730042868</v>
      </c>
      <c r="H50" s="16">
        <f t="shared" si="22"/>
        <v>9.9305625814285814E-2</v>
      </c>
      <c r="I50" s="16">
        <f t="shared" si="22"/>
        <v>7.6981105282392104E-2</v>
      </c>
      <c r="J50" s="16">
        <f t="shared" si="22"/>
        <v>5.9675275412707063E-2</v>
      </c>
      <c r="K50" s="16">
        <f t="shared" si="22"/>
        <v>4.6259903420703151E-2</v>
      </c>
      <c r="L50" s="16">
        <f t="shared" si="22"/>
        <v>3.5860390248607092E-2</v>
      </c>
      <c r="M50" s="16">
        <f t="shared" si="22"/>
        <v>2.7798752130703173E-2</v>
      </c>
      <c r="N50" s="16">
        <f t="shared" si="22"/>
        <v>2.1549420256359052E-2</v>
      </c>
    </row>
    <row r="51" spans="1:16" ht="14.25" x14ac:dyDescent="0.45">
      <c r="B51" s="159"/>
      <c r="C51" s="166"/>
      <c r="D51" s="15" t="s">
        <v>44</v>
      </c>
      <c r="E51" s="16"/>
      <c r="F51" s="16"/>
      <c r="G51" s="16"/>
      <c r="H51" s="16"/>
      <c r="I51" s="127">
        <f>AVERAGE(E50:I50)</f>
        <v>0.13656475497766057</v>
      </c>
      <c r="J51" s="16"/>
      <c r="K51" s="16"/>
      <c r="L51" s="16"/>
      <c r="M51" s="16"/>
      <c r="N51" s="17">
        <f>AVERAGE(E50:N50)</f>
        <v>8.7396751635738262E-2</v>
      </c>
    </row>
    <row r="52" spans="1:16" ht="14.25" x14ac:dyDescent="0.45">
      <c r="B52" s="159"/>
      <c r="C52" s="166"/>
      <c r="D52" s="15" t="s">
        <v>42</v>
      </c>
      <c r="E52" s="16">
        <f t="shared" ref="E52:N52" si="23">E$17*(E50/E$19)</f>
        <v>0.21317829457364337</v>
      </c>
      <c r="F52" s="16">
        <f t="shared" si="23"/>
        <v>0.37843278649119638</v>
      </c>
      <c r="G52" s="16">
        <f t="shared" si="23"/>
        <v>0.50653704379162512</v>
      </c>
      <c r="H52" s="16">
        <f t="shared" si="23"/>
        <v>0.6058426696059106</v>
      </c>
      <c r="I52" s="16">
        <f t="shared" si="23"/>
        <v>0.68282377488830348</v>
      </c>
      <c r="J52" s="16">
        <f t="shared" si="23"/>
        <v>0.74249905030101004</v>
      </c>
      <c r="K52" s="16">
        <f t="shared" si="23"/>
        <v>0.78875895372171267</v>
      </c>
      <c r="L52" s="16">
        <f t="shared" si="23"/>
        <v>0.82461934397032199</v>
      </c>
      <c r="M52" s="16">
        <f t="shared" si="23"/>
        <v>0.85241809610102171</v>
      </c>
      <c r="N52" s="16">
        <f t="shared" si="23"/>
        <v>0.87396751635738457</v>
      </c>
    </row>
    <row r="53" spans="1:16" ht="14.25" customHeight="1" x14ac:dyDescent="0.45">
      <c r="B53" s="159"/>
      <c r="C53" s="167"/>
      <c r="D53" s="19" t="s">
        <v>45</v>
      </c>
      <c r="E53" s="20">
        <f>10*E50</f>
        <v>2.1317829457364339</v>
      </c>
      <c r="F53" s="20">
        <f t="shared" ref="F53:N53" si="24">10*F50</f>
        <v>1.6525449191755301</v>
      </c>
      <c r="G53" s="20">
        <f t="shared" si="24"/>
        <v>1.2810425730042869</v>
      </c>
      <c r="H53" s="20">
        <f t="shared" si="24"/>
        <v>0.99305625814285814</v>
      </c>
      <c r="I53" s="20">
        <f t="shared" si="24"/>
        <v>0.76981105282392104</v>
      </c>
      <c r="J53" s="20">
        <f t="shared" si="24"/>
        <v>0.59675275412707063</v>
      </c>
      <c r="K53" s="20">
        <f t="shared" si="24"/>
        <v>0.46259903420703152</v>
      </c>
      <c r="L53" s="20">
        <f t="shared" si="24"/>
        <v>0.35860390248607094</v>
      </c>
      <c r="M53" s="20">
        <f t="shared" si="24"/>
        <v>0.27798752130703175</v>
      </c>
      <c r="N53" s="20">
        <f t="shared" si="24"/>
        <v>0.21549420256359053</v>
      </c>
    </row>
    <row r="54" spans="1:16" ht="14.25" x14ac:dyDescent="0.45">
      <c r="B54" s="159"/>
      <c r="C54" s="167"/>
      <c r="D54" s="19" t="s">
        <v>46</v>
      </c>
      <c r="E54" s="20">
        <f>10*E52</f>
        <v>2.1317829457364339</v>
      </c>
      <c r="F54" s="20">
        <f>10*F52</f>
        <v>3.7843278649119636</v>
      </c>
      <c r="G54" s="20">
        <f>10*G52</f>
        <v>5.0653704379162514</v>
      </c>
      <c r="H54" s="20">
        <f t="shared" ref="H54:N54" si="25">10*H52</f>
        <v>6.0584266960591062</v>
      </c>
      <c r="I54" s="20">
        <f t="shared" si="25"/>
        <v>6.8282377488830353</v>
      </c>
      <c r="J54" s="20">
        <f t="shared" si="25"/>
        <v>7.4249905030101004</v>
      </c>
      <c r="K54" s="20">
        <f t="shared" si="25"/>
        <v>7.887589537217127</v>
      </c>
      <c r="L54" s="20">
        <f t="shared" si="25"/>
        <v>8.2461934397032195</v>
      </c>
      <c r="M54" s="20">
        <f t="shared" si="25"/>
        <v>8.5241809610102166</v>
      </c>
      <c r="N54" s="20">
        <f t="shared" si="25"/>
        <v>8.7396751635738461</v>
      </c>
    </row>
    <row r="55" spans="1:16" ht="14.25" x14ac:dyDescent="0.45">
      <c r="B55" s="159"/>
      <c r="C55" s="165" t="s">
        <v>36</v>
      </c>
      <c r="D55" s="15" t="s">
        <v>43</v>
      </c>
      <c r="E55" s="16">
        <f t="shared" ref="E55:N55" si="26">$E9+($E$10*$E$11)</f>
        <v>0.27499999999999997</v>
      </c>
      <c r="F55" s="16">
        <f t="shared" si="26"/>
        <v>0.27499999999999997</v>
      </c>
      <c r="G55" s="16">
        <f t="shared" si="26"/>
        <v>0.27499999999999997</v>
      </c>
      <c r="H55" s="16">
        <f t="shared" si="26"/>
        <v>0.27499999999999997</v>
      </c>
      <c r="I55" s="16">
        <f t="shared" si="26"/>
        <v>0.27499999999999997</v>
      </c>
      <c r="J55" s="16">
        <f t="shared" si="26"/>
        <v>0.27499999999999997</v>
      </c>
      <c r="K55" s="16">
        <f t="shared" si="26"/>
        <v>0.27499999999999997</v>
      </c>
      <c r="L55" s="16">
        <f t="shared" si="26"/>
        <v>0.27499999999999997</v>
      </c>
      <c r="M55" s="16">
        <f t="shared" si="26"/>
        <v>0.27499999999999997</v>
      </c>
      <c r="N55" s="16">
        <f t="shared" si="26"/>
        <v>0.27499999999999997</v>
      </c>
    </row>
    <row r="56" spans="1:16" ht="14.25" customHeight="1" x14ac:dyDescent="0.45">
      <c r="B56" s="159"/>
      <c r="C56" s="167"/>
      <c r="D56" s="19" t="s">
        <v>45</v>
      </c>
      <c r="E56" s="21">
        <f t="shared" ref="E56:N56" si="27">E53*E$15</f>
        <v>275000</v>
      </c>
      <c r="F56" s="21">
        <f t="shared" si="27"/>
        <v>275000</v>
      </c>
      <c r="G56" s="21">
        <f t="shared" si="27"/>
        <v>274999.99999999994</v>
      </c>
      <c r="H56" s="21">
        <f t="shared" si="27"/>
        <v>275000</v>
      </c>
      <c r="I56" s="21">
        <f t="shared" si="27"/>
        <v>274999.99999999994</v>
      </c>
      <c r="J56" s="21">
        <f t="shared" si="27"/>
        <v>274999.99999999994</v>
      </c>
      <c r="K56" s="21">
        <f t="shared" si="27"/>
        <v>275000</v>
      </c>
      <c r="L56" s="21">
        <f t="shared" si="27"/>
        <v>274999.99999999994</v>
      </c>
      <c r="M56" s="21">
        <f t="shared" si="27"/>
        <v>274999.99999999994</v>
      </c>
      <c r="N56" s="21">
        <f t="shared" si="27"/>
        <v>275000</v>
      </c>
    </row>
    <row r="57" spans="1:16" ht="14.25" x14ac:dyDescent="0.45">
      <c r="B57" s="159"/>
      <c r="C57" s="167"/>
      <c r="D57" s="19" t="s">
        <v>46</v>
      </c>
      <c r="E57" s="21">
        <f>E56</f>
        <v>275000</v>
      </c>
      <c r="F57" s="21">
        <f>E57+F56</f>
        <v>550000</v>
      </c>
      <c r="G57" s="21">
        <f>F57+G56</f>
        <v>825000</v>
      </c>
      <c r="H57" s="21">
        <f t="shared" ref="H57:N57" si="28">G57+H56</f>
        <v>1100000</v>
      </c>
      <c r="I57" s="21">
        <f t="shared" si="28"/>
        <v>1375000</v>
      </c>
      <c r="J57" s="21">
        <f>I57+J56</f>
        <v>1650000</v>
      </c>
      <c r="K57" s="21">
        <f t="shared" si="28"/>
        <v>1925000</v>
      </c>
      <c r="L57" s="21">
        <f t="shared" si="28"/>
        <v>2200000</v>
      </c>
      <c r="M57" s="21">
        <f t="shared" si="28"/>
        <v>2475000</v>
      </c>
      <c r="N57" s="21">
        <f t="shared" si="28"/>
        <v>2750000</v>
      </c>
    </row>
    <row r="58" spans="1:16" ht="14.25" x14ac:dyDescent="0.45">
      <c r="B58" s="159"/>
      <c r="C58" s="165" t="s">
        <v>35</v>
      </c>
      <c r="D58" s="15" t="s">
        <v>43</v>
      </c>
      <c r="E58" s="16">
        <f>E52*E$15/$E$4</f>
        <v>0.27499999999999997</v>
      </c>
      <c r="F58" s="16">
        <f>F52*F$15/$E$4-E58</f>
        <v>0.35474999999999995</v>
      </c>
      <c r="G58" s="16">
        <f>G52*G$15/$E$4-F58-E58</f>
        <v>0.45762750000000002</v>
      </c>
      <c r="H58" s="16">
        <f>H52*H$15/$E$4-G58-F58-E58</f>
        <v>0.59033947499999906</v>
      </c>
      <c r="I58" s="16">
        <f>I52*I$15/$E$4-H58-G58-F58-E58</f>
        <v>0.76153792275000209</v>
      </c>
      <c r="J58" s="16">
        <f>J52*J$15/$E$4-I58-H58-G58-F58-E58</f>
        <v>0.98238392034749755</v>
      </c>
      <c r="K58" s="16">
        <f>K52*K$15/$E$4-J58-I58-H58-G58-F58-E58</f>
        <v>1.2672752572482724</v>
      </c>
      <c r="L58" s="16">
        <f>L52*L$15/$E$4-K58-J58-I58-H58-G58-F58-E58</f>
        <v>1.6347850818502903</v>
      </c>
      <c r="M58" s="16">
        <f>M52*M$15/$E$4-L58-K58-J58-I58-H58-G58-F58-E58</f>
        <v>2.1088727555868223</v>
      </c>
      <c r="N58" s="16">
        <f>N52*N$15/$E$4-M58-L58-K58-J58-I58-H58-G58-F58-E58</f>
        <v>2.7204458547070862</v>
      </c>
    </row>
    <row r="59" spans="1:16" ht="14.25" x14ac:dyDescent="0.45">
      <c r="B59" s="159"/>
      <c r="C59" s="166"/>
      <c r="D59" s="15" t="s">
        <v>44</v>
      </c>
      <c r="E59" s="17"/>
      <c r="F59" s="17"/>
      <c r="G59" s="17"/>
      <c r="H59" s="17"/>
      <c r="I59" s="17">
        <f>AVERAGE(E58:I58)</f>
        <v>0.48785097955000023</v>
      </c>
      <c r="J59" s="17"/>
      <c r="K59" s="17"/>
      <c r="L59" s="17"/>
      <c r="M59" s="17"/>
      <c r="N59" s="17">
        <f>AVERAGE(E58:N58)</f>
        <v>1.115301776748997</v>
      </c>
    </row>
    <row r="60" spans="1:16" ht="14.25" x14ac:dyDescent="0.45">
      <c r="B60" s="159"/>
      <c r="C60" s="167"/>
      <c r="D60" s="19" t="s">
        <v>45</v>
      </c>
      <c r="E60" s="22">
        <f>E62</f>
        <v>275000</v>
      </c>
      <c r="F60" s="22">
        <f>F62-E62</f>
        <v>354749.99999999988</v>
      </c>
      <c r="G60" s="22">
        <f>G62-F62</f>
        <v>457627.50000000012</v>
      </c>
      <c r="H60" s="22">
        <f t="shared" ref="H60:N60" si="29">H62-G62</f>
        <v>590339.47499999893</v>
      </c>
      <c r="I60" s="22">
        <f t="shared" si="29"/>
        <v>761537.92275000247</v>
      </c>
      <c r="J60" s="22">
        <f>J62-I62</f>
        <v>982383.92034749733</v>
      </c>
      <c r="K60" s="22">
        <f t="shared" si="29"/>
        <v>1267275.2572482717</v>
      </c>
      <c r="L60" s="22">
        <f t="shared" si="29"/>
        <v>1634785.0818502903</v>
      </c>
      <c r="M60" s="22">
        <f t="shared" si="29"/>
        <v>2108872.7555868225</v>
      </c>
      <c r="N60" s="22">
        <f t="shared" si="29"/>
        <v>2720445.8547070865</v>
      </c>
    </row>
    <row r="61" spans="1:16" ht="15" customHeight="1" x14ac:dyDescent="0.45">
      <c r="B61" s="159"/>
      <c r="C61" s="167"/>
      <c r="D61" s="19" t="s">
        <v>47</v>
      </c>
      <c r="E61" s="22"/>
      <c r="F61" s="22"/>
      <c r="G61" s="22"/>
      <c r="H61" s="22"/>
      <c r="I61" s="22">
        <f>AVERAGE(E60:I60)</f>
        <v>487850.97955000028</v>
      </c>
      <c r="J61" s="22"/>
      <c r="K61" s="22"/>
      <c r="L61" s="22"/>
      <c r="M61" s="22"/>
      <c r="N61" s="22">
        <f>AVERAGE(E60:N60)</f>
        <v>1115301.7767489969</v>
      </c>
    </row>
    <row r="62" spans="1:16" ht="14.25" x14ac:dyDescent="0.45">
      <c r="B62" s="160"/>
      <c r="C62" s="167"/>
      <c r="D62" s="19" t="s">
        <v>46</v>
      </c>
      <c r="E62" s="21">
        <f t="shared" ref="E62:N62" si="30">E54*E$15</f>
        <v>275000</v>
      </c>
      <c r="F62" s="21">
        <f t="shared" si="30"/>
        <v>629749.99999999988</v>
      </c>
      <c r="G62" s="21">
        <f t="shared" si="30"/>
        <v>1087377.5</v>
      </c>
      <c r="H62" s="21">
        <f t="shared" si="30"/>
        <v>1677716.9749999989</v>
      </c>
      <c r="I62" s="21">
        <f t="shared" si="30"/>
        <v>2439254.8977500014</v>
      </c>
      <c r="J62" s="21">
        <f t="shared" si="30"/>
        <v>3421638.8180974987</v>
      </c>
      <c r="K62" s="21">
        <f t="shared" si="30"/>
        <v>4688914.0753457705</v>
      </c>
      <c r="L62" s="21">
        <f t="shared" si="30"/>
        <v>6323699.1571960608</v>
      </c>
      <c r="M62" s="21">
        <f t="shared" si="30"/>
        <v>8432571.9127828833</v>
      </c>
      <c r="N62" s="21">
        <f t="shared" si="30"/>
        <v>11153017.76748997</v>
      </c>
    </row>
    <row r="63" spans="1:16" ht="14.25" x14ac:dyDescent="0.45">
      <c r="A63" s="8"/>
      <c r="B63" s="3"/>
      <c r="C63" s="1"/>
      <c r="D63" s="43"/>
      <c r="E63" s="31"/>
      <c r="F63" s="31"/>
      <c r="G63" s="31"/>
      <c r="H63" s="31"/>
      <c r="I63" s="31"/>
      <c r="J63" s="31"/>
      <c r="K63" s="31"/>
      <c r="L63" s="31"/>
      <c r="M63" s="31"/>
      <c r="N63" s="31"/>
      <c r="O63" s="8"/>
      <c r="P63" s="8"/>
    </row>
    <row r="64" spans="1:16" ht="14.25" x14ac:dyDescent="0.45">
      <c r="B64" s="163" t="s">
        <v>119</v>
      </c>
      <c r="C64" s="161" t="s">
        <v>21</v>
      </c>
      <c r="D64" s="154" t="str">
        <f>"10 BTC / "&amp;TEXT($E$4*10, "$###0.00,,")&amp;"M USD"</f>
        <v>10 BTC / $1.00M USD</v>
      </c>
      <c r="E64" s="148" t="s">
        <v>3</v>
      </c>
      <c r="F64" s="148" t="s">
        <v>4</v>
      </c>
      <c r="G64" s="148" t="s">
        <v>5</v>
      </c>
      <c r="H64" s="148" t="s">
        <v>6</v>
      </c>
      <c r="I64" s="148" t="s">
        <v>7</v>
      </c>
      <c r="J64" s="148" t="s">
        <v>8</v>
      </c>
      <c r="K64" s="148" t="s">
        <v>9</v>
      </c>
      <c r="L64" s="148" t="s">
        <v>10</v>
      </c>
      <c r="M64" s="148" t="s">
        <v>11</v>
      </c>
      <c r="N64" s="148" t="s">
        <v>12</v>
      </c>
    </row>
    <row r="65" spans="2:14" ht="14.25" x14ac:dyDescent="0.45">
      <c r="B65" s="164"/>
      <c r="C65" s="162"/>
      <c r="D65" s="155"/>
      <c r="E65" s="149"/>
      <c r="F65" s="149"/>
      <c r="G65" s="149"/>
      <c r="H65" s="149"/>
      <c r="I65" s="149"/>
      <c r="J65" s="149"/>
      <c r="K65" s="149"/>
      <c r="L65" s="149"/>
      <c r="M65" s="149"/>
      <c r="N65" s="149"/>
    </row>
    <row r="66" spans="2:14" ht="14.25" x14ac:dyDescent="0.45">
      <c r="B66" s="167" t="s">
        <v>16</v>
      </c>
      <c r="C66" s="166" t="s">
        <v>32</v>
      </c>
      <c r="D66" s="15" t="s">
        <v>58</v>
      </c>
      <c r="E66" s="16">
        <f>E$23</f>
        <v>0.89922480620155043</v>
      </c>
      <c r="F66" s="16">
        <f t="shared" ref="F66:N66" si="31">F$23</f>
        <v>0.69707349317949641</v>
      </c>
      <c r="G66" s="16">
        <f t="shared" si="31"/>
        <v>0.54036704897635368</v>
      </c>
      <c r="H66" s="16">
        <f t="shared" si="31"/>
        <v>0.41888918525298768</v>
      </c>
      <c r="I66" s="16">
        <f t="shared" si="31"/>
        <v>0.32472029864572649</v>
      </c>
      <c r="J66" s="16">
        <f t="shared" si="31"/>
        <v>0.25172116174087344</v>
      </c>
      <c r="K66" s="16">
        <f t="shared" si="31"/>
        <v>0.19513268352005708</v>
      </c>
      <c r="L66" s="16">
        <f t="shared" si="31"/>
        <v>0.15126564613957871</v>
      </c>
      <c r="M66" s="16">
        <f t="shared" si="31"/>
        <v>0.11726019080587546</v>
      </c>
      <c r="N66" s="16">
        <f t="shared" si="31"/>
        <v>9.0899372717732518E-2</v>
      </c>
    </row>
    <row r="67" spans="2:14" ht="14.25" x14ac:dyDescent="0.45">
      <c r="B67" s="167"/>
      <c r="C67" s="166"/>
      <c r="D67" s="15" t="s">
        <v>59</v>
      </c>
      <c r="E67" s="16"/>
      <c r="F67" s="16"/>
      <c r="G67" s="16"/>
      <c r="H67" s="16"/>
      <c r="I67" s="82">
        <f>AVERAGE(E66:I66)</f>
        <v>0.57605496645122289</v>
      </c>
      <c r="J67" s="16"/>
      <c r="K67" s="16"/>
      <c r="L67" s="16"/>
      <c r="M67" s="16"/>
      <c r="N67" s="17">
        <f>AVERAGE(E66:N66)</f>
        <v>0.36865538871802317</v>
      </c>
    </row>
    <row r="68" spans="2:14" ht="14.25" x14ac:dyDescent="0.45">
      <c r="B68" s="167"/>
      <c r="C68" s="166"/>
      <c r="D68" s="15" t="s">
        <v>42</v>
      </c>
      <c r="E68" s="16">
        <f>E$17*(E66/E$19)</f>
        <v>0.89922480620155043</v>
      </c>
      <c r="F68" s="16">
        <f t="shared" ref="F68:N68" si="32">F$17*(F66/F$19)</f>
        <v>1.5962982993810468</v>
      </c>
      <c r="G68" s="16">
        <f>G$17*(G66/G$19)</f>
        <v>2.1366653483574005</v>
      </c>
      <c r="H68" s="16">
        <f>H$17*(H66/H$19)</f>
        <v>2.5555545336103882</v>
      </c>
      <c r="I68" s="16">
        <f>I$17*(I66/I$19)</f>
        <v>2.8802748322561147</v>
      </c>
      <c r="J68" s="16">
        <f t="shared" si="32"/>
        <v>3.1319959939969881</v>
      </c>
      <c r="K68" s="16">
        <f t="shared" si="32"/>
        <v>3.3271286775170452</v>
      </c>
      <c r="L68" s="16">
        <f t="shared" si="32"/>
        <v>3.4783943236566239</v>
      </c>
      <c r="M68" s="16">
        <f t="shared" si="32"/>
        <v>3.5956545144624994</v>
      </c>
      <c r="N68" s="16">
        <f t="shared" si="32"/>
        <v>3.6865538871802319</v>
      </c>
    </row>
    <row r="69" spans="2:14" ht="14.25" customHeight="1" x14ac:dyDescent="0.45">
      <c r="B69" s="167"/>
      <c r="C69" s="167"/>
      <c r="D69" s="19" t="s">
        <v>45</v>
      </c>
      <c r="E69" s="20">
        <f>10*E66</f>
        <v>8.9922480620155039</v>
      </c>
      <c r="F69" s="20">
        <f t="shared" ref="F69:N69" si="33">10*F66</f>
        <v>6.9707349317949641</v>
      </c>
      <c r="G69" s="20">
        <f t="shared" si="33"/>
        <v>5.4036704897635364</v>
      </c>
      <c r="H69" s="20">
        <f t="shared" si="33"/>
        <v>4.1888918525298768</v>
      </c>
      <c r="I69" s="20">
        <f t="shared" si="33"/>
        <v>3.2472029864572649</v>
      </c>
      <c r="J69" s="20">
        <f t="shared" si="33"/>
        <v>2.5172116174087344</v>
      </c>
      <c r="K69" s="20">
        <f t="shared" si="33"/>
        <v>1.9513268352005708</v>
      </c>
      <c r="L69" s="20">
        <f t="shared" si="33"/>
        <v>1.5126564613957871</v>
      </c>
      <c r="M69" s="20">
        <f t="shared" si="33"/>
        <v>1.1726019080587546</v>
      </c>
      <c r="N69" s="20">
        <f t="shared" si="33"/>
        <v>0.90899372717732518</v>
      </c>
    </row>
    <row r="70" spans="2:14" ht="14.25" x14ac:dyDescent="0.45">
      <c r="B70" s="167"/>
      <c r="C70" s="167"/>
      <c r="D70" s="19" t="s">
        <v>46</v>
      </c>
      <c r="E70" s="20">
        <f>10*E68</f>
        <v>8.9922480620155039</v>
      </c>
      <c r="F70" s="20">
        <f>10*F68</f>
        <v>15.962982993810469</v>
      </c>
      <c r="G70" s="20">
        <f>10*G68</f>
        <v>21.366653483574005</v>
      </c>
      <c r="H70" s="20">
        <f t="shared" ref="H70:N70" si="34">10*H68</f>
        <v>25.555545336103883</v>
      </c>
      <c r="I70" s="20">
        <f t="shared" si="34"/>
        <v>28.802748322561147</v>
      </c>
      <c r="J70" s="20">
        <f t="shared" si="34"/>
        <v>31.31995993996988</v>
      </c>
      <c r="K70" s="20">
        <f t="shared" si="34"/>
        <v>33.271286775170452</v>
      </c>
      <c r="L70" s="20">
        <f t="shared" si="34"/>
        <v>34.783943236566238</v>
      </c>
      <c r="M70" s="20">
        <f t="shared" si="34"/>
        <v>35.956545144624997</v>
      </c>
      <c r="N70" s="20">
        <f t="shared" si="34"/>
        <v>36.865538871802322</v>
      </c>
    </row>
    <row r="71" spans="2:14" ht="14.25" x14ac:dyDescent="0.45">
      <c r="B71" s="167"/>
      <c r="C71" s="165" t="s">
        <v>36</v>
      </c>
      <c r="D71" s="15" t="s">
        <v>43</v>
      </c>
      <c r="E71" s="16">
        <f t="shared" ref="E71:N71" si="35">E66*E$15/$E$4</f>
        <v>1.1599999999999999</v>
      </c>
      <c r="F71" s="16">
        <f t="shared" si="35"/>
        <v>1.1599999999999999</v>
      </c>
      <c r="G71" s="16">
        <f t="shared" si="35"/>
        <v>1.1599999999999997</v>
      </c>
      <c r="H71" s="16">
        <f t="shared" si="35"/>
        <v>1.1600000000000006</v>
      </c>
      <c r="I71" s="16">
        <f t="shared" si="35"/>
        <v>1.159999999999999</v>
      </c>
      <c r="J71" s="16">
        <f t="shared" si="35"/>
        <v>1.1599999999999999</v>
      </c>
      <c r="K71" s="16">
        <f t="shared" si="35"/>
        <v>1.1600000000000008</v>
      </c>
      <c r="L71" s="16">
        <f t="shared" si="35"/>
        <v>1.1599999999999975</v>
      </c>
      <c r="M71" s="16">
        <f t="shared" si="35"/>
        <v>1.1600000000000024</v>
      </c>
      <c r="N71" s="16">
        <f t="shared" si="35"/>
        <v>1.1599999999999973</v>
      </c>
    </row>
    <row r="72" spans="2:14" ht="14.25" customHeight="1" x14ac:dyDescent="0.45">
      <c r="B72" s="167"/>
      <c r="C72" s="167"/>
      <c r="D72" s="19" t="s">
        <v>45</v>
      </c>
      <c r="E72" s="21">
        <f t="shared" ref="E72:N72" si="36">E69*E$15</f>
        <v>1160000</v>
      </c>
      <c r="F72" s="21">
        <f t="shared" si="36"/>
        <v>1160000</v>
      </c>
      <c r="G72" s="21">
        <f>G69*G$15</f>
        <v>1159999.9999999995</v>
      </c>
      <c r="H72" s="21">
        <f>H69*H$15</f>
        <v>1160000.0000000007</v>
      </c>
      <c r="I72" s="21">
        <f>I69*I$15</f>
        <v>1159999.9999999991</v>
      </c>
      <c r="J72" s="21">
        <f t="shared" si="36"/>
        <v>1159999.9999999998</v>
      </c>
      <c r="K72" s="21">
        <f t="shared" si="36"/>
        <v>1160000.0000000007</v>
      </c>
      <c r="L72" s="21">
        <f t="shared" si="36"/>
        <v>1159999.9999999974</v>
      </c>
      <c r="M72" s="21">
        <f t="shared" si="36"/>
        <v>1160000.0000000023</v>
      </c>
      <c r="N72" s="21">
        <f t="shared" si="36"/>
        <v>1159999.9999999972</v>
      </c>
    </row>
    <row r="73" spans="2:14" ht="14.25" x14ac:dyDescent="0.45">
      <c r="B73" s="167"/>
      <c r="C73" s="167"/>
      <c r="D73" s="19" t="s">
        <v>46</v>
      </c>
      <c r="E73" s="21">
        <f>E72</f>
        <v>1160000</v>
      </c>
      <c r="F73" s="21">
        <f>E73+F72</f>
        <v>2320000</v>
      </c>
      <c r="G73" s="21">
        <f>F73+G72</f>
        <v>3479999.9999999995</v>
      </c>
      <c r="H73" s="21">
        <f t="shared" ref="H73:N73" si="37">G73+H72</f>
        <v>4640000</v>
      </c>
      <c r="I73" s="21">
        <f t="shared" si="37"/>
        <v>5799999.9999999991</v>
      </c>
      <c r="J73" s="21">
        <f>I73+J72</f>
        <v>6959999.9999999991</v>
      </c>
      <c r="K73" s="21">
        <f t="shared" si="37"/>
        <v>8120000</v>
      </c>
      <c r="L73" s="21">
        <f t="shared" si="37"/>
        <v>9279999.9999999981</v>
      </c>
      <c r="M73" s="21">
        <f t="shared" si="37"/>
        <v>10440000</v>
      </c>
      <c r="N73" s="21">
        <f t="shared" si="37"/>
        <v>11599999.999999996</v>
      </c>
    </row>
    <row r="74" spans="2:14" ht="14.25" x14ac:dyDescent="0.45">
      <c r="B74" s="167"/>
      <c r="C74" s="165" t="s">
        <v>35</v>
      </c>
      <c r="D74" s="15" t="s">
        <v>43</v>
      </c>
      <c r="E74" s="16">
        <f>E68*E$15/$E$4</f>
        <v>1.1599999999999999</v>
      </c>
      <c r="F74" s="16">
        <f>F68*F$15/$E$4-E74</f>
        <v>1.4964000000000002</v>
      </c>
      <c r="G74" s="16">
        <f>G68*G$15/$E$4-F74-E74</f>
        <v>1.9303559999999991</v>
      </c>
      <c r="H74" s="16">
        <f>H68*H$15/$E$4-G74-F74-E74</f>
        <v>2.4901592400000006</v>
      </c>
      <c r="I74" s="16">
        <f>I68*I$15/$E$4-H74-G74-F74-E74</f>
        <v>3.212305419599998</v>
      </c>
      <c r="J74" s="16">
        <f>J68*J$15/$E$4-I74-H74-G74-F74-E74</f>
        <v>4.1438739912839981</v>
      </c>
      <c r="K74" s="16">
        <f>K68*K$15/$E$4-J74-I74-H74-G74-F74-E74</f>
        <v>5.3455974487563624</v>
      </c>
      <c r="L74" s="16">
        <f>L68*L$15/$E$4-K74-J74-I74-H74-G74-F74-E74</f>
        <v>6.8958207088956982</v>
      </c>
      <c r="M74" s="16">
        <f>M68*M$15/$E$4-L74-K74-J74-I74-H74-G74-F74-E74</f>
        <v>8.8956087144754576</v>
      </c>
      <c r="N74" s="16">
        <f>N68*N$15/$E$4-M74-L74-K74-J74-I74-H74-G74-F74-E74</f>
        <v>11.475335241673333</v>
      </c>
    </row>
    <row r="75" spans="2:14" ht="14.25" x14ac:dyDescent="0.45">
      <c r="B75" s="167"/>
      <c r="C75" s="166"/>
      <c r="D75" s="15" t="s">
        <v>44</v>
      </c>
      <c r="E75" s="17"/>
      <c r="F75" s="17"/>
      <c r="G75" s="17"/>
      <c r="H75" s="17"/>
      <c r="I75" s="17">
        <f>AVERAGE(E74:I74)</f>
        <v>2.0578441319199996</v>
      </c>
      <c r="J75" s="17"/>
      <c r="K75" s="17"/>
      <c r="L75" s="17"/>
      <c r="M75" s="17"/>
      <c r="N75" s="17">
        <f>AVERAGE(E74:N74)</f>
        <v>4.7045456764684852</v>
      </c>
    </row>
    <row r="76" spans="2:14" ht="14.25" x14ac:dyDescent="0.45">
      <c r="B76" s="167"/>
      <c r="C76" s="167"/>
      <c r="D76" s="19" t="s">
        <v>45</v>
      </c>
      <c r="E76" s="22">
        <f>E78</f>
        <v>1160000</v>
      </c>
      <c r="F76" s="22">
        <f>F78-E78</f>
        <v>1496400</v>
      </c>
      <c r="G76" s="22">
        <f>G78-F78</f>
        <v>1930356</v>
      </c>
      <c r="H76" s="22">
        <f t="shared" ref="H76:N76" si="38">H78-G78</f>
        <v>2490159.2400000002</v>
      </c>
      <c r="I76" s="22">
        <f t="shared" si="38"/>
        <v>3212305.4195999987</v>
      </c>
      <c r="J76" s="22">
        <f>J78-I78</f>
        <v>4143873.9912839979</v>
      </c>
      <c r="K76" s="22">
        <f t="shared" si="38"/>
        <v>5345597.4487563614</v>
      </c>
      <c r="L76" s="22">
        <f t="shared" si="38"/>
        <v>6895820.7088956982</v>
      </c>
      <c r="M76" s="22">
        <f t="shared" si="38"/>
        <v>8895608.7144754641</v>
      </c>
      <c r="N76" s="22">
        <f t="shared" si="38"/>
        <v>11475335.241673335</v>
      </c>
    </row>
    <row r="77" spans="2:14" ht="14.25" x14ac:dyDescent="0.45">
      <c r="B77" s="167"/>
      <c r="C77" s="167"/>
      <c r="D77" s="19" t="s">
        <v>47</v>
      </c>
      <c r="E77" s="22"/>
      <c r="F77" s="22"/>
      <c r="G77" s="22"/>
      <c r="H77" s="22"/>
      <c r="I77" s="22">
        <f>AVERAGE(E76:I76)</f>
        <v>2057844.1319199998</v>
      </c>
      <c r="J77" s="22"/>
      <c r="K77" s="22"/>
      <c r="L77" s="22"/>
      <c r="M77" s="22"/>
      <c r="N77" s="22">
        <f>AVERAGE(E76:N76)</f>
        <v>4704545.676468486</v>
      </c>
    </row>
    <row r="78" spans="2:14" ht="14.25" x14ac:dyDescent="0.45">
      <c r="B78" s="167"/>
      <c r="C78" s="167"/>
      <c r="D78" s="19" t="s">
        <v>46</v>
      </c>
      <c r="E78" s="21">
        <f t="shared" ref="E78:N78" si="39">E70*E$15</f>
        <v>1160000</v>
      </c>
      <c r="F78" s="21">
        <f t="shared" si="39"/>
        <v>2656400</v>
      </c>
      <c r="G78" s="21">
        <f>G70*G$15</f>
        <v>4586756</v>
      </c>
      <c r="H78" s="21">
        <f>H70*H$15</f>
        <v>7076915.2400000002</v>
      </c>
      <c r="I78" s="21">
        <f>I70*I$15</f>
        <v>10289220.659599999</v>
      </c>
      <c r="J78" s="21">
        <f t="shared" si="39"/>
        <v>14433094.650883997</v>
      </c>
      <c r="K78" s="21">
        <f t="shared" si="39"/>
        <v>19778692.099640358</v>
      </c>
      <c r="L78" s="21">
        <f t="shared" si="39"/>
        <v>26674512.808536056</v>
      </c>
      <c r="M78" s="21">
        <f t="shared" si="39"/>
        <v>35570121.523011521</v>
      </c>
      <c r="N78" s="21">
        <f t="shared" si="39"/>
        <v>47045456.764684856</v>
      </c>
    </row>
    <row r="79" spans="2:14" ht="14.25" x14ac:dyDescent="0.45">
      <c r="B79" s="167" t="s">
        <v>141</v>
      </c>
      <c r="C79" s="166" t="s">
        <v>32</v>
      </c>
      <c r="D79" s="15" t="s">
        <v>43</v>
      </c>
      <c r="E79" s="16">
        <f>E$25</f>
        <v>9.550387596899225E-2</v>
      </c>
      <c r="F79" s="16">
        <f t="shared" ref="F79:N79" si="40">F$25</f>
        <v>9.2018508503094759E-2</v>
      </c>
      <c r="G79" s="16">
        <f t="shared" si="40"/>
        <v>8.9316673258212992E-2</v>
      </c>
      <c r="H79" s="16">
        <f t="shared" si="40"/>
        <v>8.7222227331948066E-2</v>
      </c>
      <c r="I79" s="16">
        <f t="shared" si="40"/>
        <v>8.5598625838719425E-2</v>
      </c>
      <c r="J79" s="16">
        <f t="shared" si="40"/>
        <v>8.4340020030015062E-2</v>
      </c>
      <c r="K79" s="16">
        <f t="shared" si="40"/>
        <v>8.3364356612414772E-2</v>
      </c>
      <c r="L79" s="16">
        <f t="shared" si="40"/>
        <v>8.260802838171688E-2</v>
      </c>
      <c r="M79" s="16">
        <f t="shared" si="40"/>
        <v>8.2021727427687499E-2</v>
      </c>
      <c r="N79" s="16">
        <f t="shared" si="40"/>
        <v>8.1567230564098842E-2</v>
      </c>
    </row>
    <row r="80" spans="2:14" ht="14.25" x14ac:dyDescent="0.45">
      <c r="B80" s="167"/>
      <c r="C80" s="166"/>
      <c r="D80" s="15" t="s">
        <v>44</v>
      </c>
      <c r="E80" s="16"/>
      <c r="F80" s="16"/>
      <c r="G80" s="16"/>
      <c r="H80" s="16"/>
      <c r="I80" s="82">
        <f>AVERAGE(E79:I79)</f>
        <v>8.9931982180193507E-2</v>
      </c>
      <c r="J80" s="17"/>
      <c r="K80" s="17"/>
      <c r="L80" s="17"/>
      <c r="M80" s="17"/>
      <c r="N80" s="17">
        <f>AVERAGE(E79:N79)</f>
        <v>8.6356127391690074E-2</v>
      </c>
    </row>
    <row r="81" spans="2:14" ht="14.25" x14ac:dyDescent="0.45">
      <c r="B81" s="167"/>
      <c r="C81" s="166"/>
      <c r="D81" s="15" t="s">
        <v>42</v>
      </c>
      <c r="E81" s="16">
        <f>E$27</f>
        <v>9.550387596899225E-2</v>
      </c>
      <c r="F81" s="16">
        <f t="shared" ref="F81:N81" si="41">F$27</f>
        <v>0.18752238447208702</v>
      </c>
      <c r="G81" s="16">
        <f t="shared" si="41"/>
        <v>0.27683905773030004</v>
      </c>
      <c r="H81" s="16">
        <f t="shared" si="41"/>
        <v>0.36406128506224811</v>
      </c>
      <c r="I81" s="16">
        <f t="shared" si="41"/>
        <v>0.44965991090096752</v>
      </c>
      <c r="J81" s="16">
        <f t="shared" si="41"/>
        <v>0.53399993093098264</v>
      </c>
      <c r="K81" s="16">
        <f t="shared" si="41"/>
        <v>0.61736428754339745</v>
      </c>
      <c r="L81" s="16">
        <f t="shared" si="41"/>
        <v>0.69997231592511433</v>
      </c>
      <c r="M81" s="16">
        <f t="shared" si="41"/>
        <v>0.78199404335280187</v>
      </c>
      <c r="N81" s="16">
        <f t="shared" si="41"/>
        <v>0.86356127391690074</v>
      </c>
    </row>
    <row r="82" spans="2:14" ht="14.25" customHeight="1" x14ac:dyDescent="0.45">
      <c r="B82" s="167"/>
      <c r="C82" s="167"/>
      <c r="D82" s="19" t="s">
        <v>45</v>
      </c>
      <c r="E82" s="20">
        <f t="shared" ref="E82:N82" si="42">10*E79</f>
        <v>0.95503875968992247</v>
      </c>
      <c r="F82" s="20">
        <f t="shared" si="42"/>
        <v>0.92018508503094765</v>
      </c>
      <c r="G82" s="20">
        <f t="shared" si="42"/>
        <v>0.89316673258212997</v>
      </c>
      <c r="H82" s="20">
        <f t="shared" si="42"/>
        <v>0.87222227331948066</v>
      </c>
      <c r="I82" s="20">
        <f t="shared" si="42"/>
        <v>0.85598625838719422</v>
      </c>
      <c r="J82" s="20">
        <f t="shared" si="42"/>
        <v>0.84340020030015062</v>
      </c>
      <c r="K82" s="20">
        <f t="shared" si="42"/>
        <v>0.83364356612414769</v>
      </c>
      <c r="L82" s="20">
        <f t="shared" si="42"/>
        <v>0.8260802838171688</v>
      </c>
      <c r="M82" s="20">
        <f t="shared" si="42"/>
        <v>0.82021727427687496</v>
      </c>
      <c r="N82" s="20">
        <f t="shared" si="42"/>
        <v>0.81567230564098847</v>
      </c>
    </row>
    <row r="83" spans="2:14" ht="14.25" x14ac:dyDescent="0.45">
      <c r="B83" s="167"/>
      <c r="C83" s="167"/>
      <c r="D83" s="19" t="s">
        <v>46</v>
      </c>
      <c r="E83" s="20">
        <f>10*E81</f>
        <v>0.95503875968992247</v>
      </c>
      <c r="F83" s="20">
        <f t="shared" ref="F83:N83" si="43">10*F81</f>
        <v>1.8752238447208702</v>
      </c>
      <c r="G83" s="20">
        <f t="shared" si="43"/>
        <v>2.7683905773030002</v>
      </c>
      <c r="H83" s="20">
        <f t="shared" si="43"/>
        <v>3.6406128506224809</v>
      </c>
      <c r="I83" s="20">
        <f t="shared" si="43"/>
        <v>4.4965991090096749</v>
      </c>
      <c r="J83" s="20">
        <f t="shared" si="43"/>
        <v>5.3399993093098264</v>
      </c>
      <c r="K83" s="20">
        <f t="shared" si="43"/>
        <v>6.1736428754339743</v>
      </c>
      <c r="L83" s="20">
        <f t="shared" si="43"/>
        <v>6.9997231592511433</v>
      </c>
      <c r="M83" s="20">
        <f t="shared" si="43"/>
        <v>7.8199404335280187</v>
      </c>
      <c r="N83" s="20">
        <f t="shared" si="43"/>
        <v>8.635612739169007</v>
      </c>
    </row>
    <row r="84" spans="2:14" ht="14.25" x14ac:dyDescent="0.45">
      <c r="B84" s="167"/>
      <c r="C84" s="165" t="s">
        <v>36</v>
      </c>
      <c r="D84" s="15" t="s">
        <v>43</v>
      </c>
      <c r="E84" s="16">
        <f>E79*E$15/$E$4</f>
        <v>0.1232</v>
      </c>
      <c r="F84" s="16">
        <f t="shared" ref="F84:N84" si="44">F79*F$15/$E$4</f>
        <v>0.15312799999999999</v>
      </c>
      <c r="G84" s="16">
        <f t="shared" si="44"/>
        <v>0.19173511999999998</v>
      </c>
      <c r="H84" s="16">
        <f t="shared" si="44"/>
        <v>0.24153830479999999</v>
      </c>
      <c r="I84" s="16">
        <f t="shared" si="44"/>
        <v>0.30578441319199995</v>
      </c>
      <c r="J84" s="16">
        <f t="shared" si="44"/>
        <v>0.38866189301767989</v>
      </c>
      <c r="K84" s="16">
        <f t="shared" si="44"/>
        <v>0.49557384199280707</v>
      </c>
      <c r="L84" s="16">
        <f t="shared" si="44"/>
        <v>0.63349025617072119</v>
      </c>
      <c r="M84" s="16">
        <f t="shared" si="44"/>
        <v>0.8114024304602302</v>
      </c>
      <c r="N84" s="16">
        <f t="shared" si="44"/>
        <v>1.040909135293697</v>
      </c>
    </row>
    <row r="85" spans="2:14" ht="14.25" x14ac:dyDescent="0.45">
      <c r="B85" s="167"/>
      <c r="C85" s="166"/>
      <c r="D85" s="15" t="s">
        <v>44</v>
      </c>
      <c r="E85" s="16"/>
      <c r="F85" s="16"/>
      <c r="G85" s="16"/>
      <c r="H85" s="16"/>
      <c r="I85" s="17">
        <f>AVERAGE(E84:I84)</f>
        <v>0.2030771675984</v>
      </c>
      <c r="J85" s="17"/>
      <c r="K85" s="17"/>
      <c r="L85" s="17"/>
      <c r="M85" s="17"/>
      <c r="N85" s="17">
        <f>AVERAGE(E84:N84)</f>
        <v>0.4385423394927136</v>
      </c>
    </row>
    <row r="86" spans="2:14" ht="14.25" x14ac:dyDescent="0.45">
      <c r="B86" s="167"/>
      <c r="C86" s="167"/>
      <c r="D86" s="19" t="s">
        <v>45</v>
      </c>
      <c r="E86" s="23">
        <f t="shared" ref="E86:F86" si="45">E82*E$15</f>
        <v>123200</v>
      </c>
      <c r="F86" s="23">
        <f t="shared" si="45"/>
        <v>153128</v>
      </c>
      <c r="G86" s="23">
        <f>G82*G$15</f>
        <v>191735.12</v>
      </c>
      <c r="H86" s="23">
        <f>H82*H$15</f>
        <v>241538.30480000001</v>
      </c>
      <c r="I86" s="23">
        <f>I82*I$15</f>
        <v>305784.41319199995</v>
      </c>
      <c r="J86" s="23">
        <f t="shared" ref="J86:N86" si="46">J82*J$15</f>
        <v>388661.89301767992</v>
      </c>
      <c r="K86" s="23">
        <f t="shared" si="46"/>
        <v>495573.84199280705</v>
      </c>
      <c r="L86" s="23">
        <f t="shared" si="46"/>
        <v>633490.25617072114</v>
      </c>
      <c r="M86" s="23">
        <f t="shared" si="46"/>
        <v>811402.43046023021</v>
      </c>
      <c r="N86" s="23">
        <f t="shared" si="46"/>
        <v>1040909.1352936971</v>
      </c>
    </row>
    <row r="87" spans="2:14" ht="14.25" customHeight="1" x14ac:dyDescent="0.45">
      <c r="B87" s="167"/>
      <c r="C87" s="167"/>
      <c r="D87" s="19" t="s">
        <v>47</v>
      </c>
      <c r="E87" s="24"/>
      <c r="F87" s="24"/>
      <c r="G87" s="24"/>
      <c r="H87" s="24"/>
      <c r="I87" s="23">
        <f>AVERAGE(E86:I86)</f>
        <v>203077.16759839997</v>
      </c>
      <c r="J87" s="23"/>
      <c r="K87" s="23"/>
      <c r="L87" s="23"/>
      <c r="M87" s="23"/>
      <c r="N87" s="23">
        <f>AVERAGE(E86:N86)</f>
        <v>438542.33949271357</v>
      </c>
    </row>
    <row r="88" spans="2:14" ht="14.25" x14ac:dyDescent="0.45">
      <c r="B88" s="167"/>
      <c r="C88" s="167"/>
      <c r="D88" s="19" t="s">
        <v>46</v>
      </c>
      <c r="E88" s="24">
        <f>E86</f>
        <v>123200</v>
      </c>
      <c r="F88" s="24">
        <f t="shared" ref="F88" si="47">E88+F86</f>
        <v>276328</v>
      </c>
      <c r="G88" s="24">
        <f>F88+G86</f>
        <v>468063.12</v>
      </c>
      <c r="H88" s="24">
        <f t="shared" ref="H88:I88" si="48">G88+H86</f>
        <v>709601.42480000004</v>
      </c>
      <c r="I88" s="24">
        <f t="shared" si="48"/>
        <v>1015385.8379919999</v>
      </c>
      <c r="J88" s="24">
        <f>I88+J86</f>
        <v>1404047.7310096798</v>
      </c>
      <c r="K88" s="24">
        <f t="shared" ref="K88:N88" si="49">J88+K86</f>
        <v>1899621.573002487</v>
      </c>
      <c r="L88" s="24">
        <f t="shared" si="49"/>
        <v>2533111.8291732082</v>
      </c>
      <c r="M88" s="24">
        <f t="shared" si="49"/>
        <v>3344514.2596334387</v>
      </c>
      <c r="N88" s="24">
        <f t="shared" si="49"/>
        <v>4385423.3949271357</v>
      </c>
    </row>
    <row r="89" spans="2:14" ht="14.25" x14ac:dyDescent="0.45">
      <c r="B89" s="167"/>
      <c r="C89" s="165" t="s">
        <v>35</v>
      </c>
      <c r="D89" s="15" t="s">
        <v>43</v>
      </c>
      <c r="E89" s="16">
        <f>E81*E$15/$E$4</f>
        <v>0.1232</v>
      </c>
      <c r="F89" s="16">
        <f>F81*F$15/$E$4-E89</f>
        <v>0.188856</v>
      </c>
      <c r="G89" s="16">
        <f>G81*G$15/$E$4-F89-E89</f>
        <v>0.28223136000000004</v>
      </c>
      <c r="H89" s="16">
        <f>H81*H$15/$E$4-G89-F89-E89</f>
        <v>0.41388163919999998</v>
      </c>
      <c r="I89" s="16">
        <f>I81*I$15/$E$4-H89-G89-F89-E89</f>
        <v>0.59815342295999985</v>
      </c>
      <c r="J89" s="16">
        <f>J81*J$15/$E$4-I89-H89-G89-F89-E89</f>
        <v>0.85449539544408026</v>
      </c>
      <c r="K89" s="16">
        <f>K81*K$15/$E$4-J89-I89-H89-G89-F89-E89</f>
        <v>1.2092110090979908</v>
      </c>
      <c r="L89" s="16">
        <f>L81*L$15/$E$4-K89-J89-I89-H89-G89-F89-E89</f>
        <v>1.6977986159143212</v>
      </c>
      <c r="M89" s="16">
        <f>M81*M$15/$E$4-L89-K89-J89-I89-H89-G89-F89-E89</f>
        <v>2.3680723888189839</v>
      </c>
      <c r="N89" s="16">
        <f>N81*N$15/$E$4-M89-L89-K89-J89-I89-H89-G89-F89-E89</f>
        <v>3.284320086409958</v>
      </c>
    </row>
    <row r="90" spans="2:14" ht="14.25" x14ac:dyDescent="0.45">
      <c r="B90" s="167"/>
      <c r="C90" s="166"/>
      <c r="D90" s="15" t="s">
        <v>44</v>
      </c>
      <c r="E90" s="17"/>
      <c r="F90" s="17"/>
      <c r="G90" s="17"/>
      <c r="H90" s="17"/>
      <c r="I90" s="17">
        <f>AVERAGE(E89:I89)</f>
        <v>0.32126448443199995</v>
      </c>
      <c r="J90" s="17"/>
      <c r="K90" s="17"/>
      <c r="L90" s="17"/>
      <c r="M90" s="17"/>
      <c r="N90" s="17">
        <f>AVERAGE(E89:N89)</f>
        <v>1.1020219917845333</v>
      </c>
    </row>
    <row r="91" spans="2:14" ht="14.25" x14ac:dyDescent="0.45">
      <c r="B91" s="167"/>
      <c r="C91" s="167"/>
      <c r="D91" s="19" t="s">
        <v>45</v>
      </c>
      <c r="E91" s="23">
        <f>E93</f>
        <v>123200</v>
      </c>
      <c r="F91" s="23">
        <f>F93-E93</f>
        <v>188856</v>
      </c>
      <c r="G91" s="23">
        <f>G93-F93</f>
        <v>282231.36</v>
      </c>
      <c r="H91" s="23">
        <f>H93-G93</f>
        <v>413881.63919999998</v>
      </c>
      <c r="I91" s="23">
        <f>I93-H93</f>
        <v>598153.42295999988</v>
      </c>
      <c r="J91" s="23">
        <f>J93-I93</f>
        <v>854495.39544408</v>
      </c>
      <c r="K91" s="23">
        <f t="shared" ref="K91:N91" si="50">K93-J93</f>
        <v>1209211.0090979906</v>
      </c>
      <c r="L91" s="23">
        <f t="shared" si="50"/>
        <v>1697798.6159143215</v>
      </c>
      <c r="M91" s="23">
        <f t="shared" si="50"/>
        <v>2368072.3888189839</v>
      </c>
      <c r="N91" s="23">
        <f t="shared" si="50"/>
        <v>3284320.0864099553</v>
      </c>
    </row>
    <row r="92" spans="2:14" ht="14.25" x14ac:dyDescent="0.45">
      <c r="B92" s="167"/>
      <c r="C92" s="167"/>
      <c r="D92" s="19" t="s">
        <v>47</v>
      </c>
      <c r="E92" s="23"/>
      <c r="F92" s="23"/>
      <c r="G92" s="23"/>
      <c r="H92" s="23"/>
      <c r="I92" s="23">
        <f>AVERAGE(E91:I91)</f>
        <v>321264.48443199997</v>
      </c>
      <c r="J92" s="23"/>
      <c r="K92" s="23"/>
      <c r="L92" s="23"/>
      <c r="M92" s="23"/>
      <c r="N92" s="23">
        <f>AVERAGE(E91:N91)</f>
        <v>1102021.991784533</v>
      </c>
    </row>
    <row r="93" spans="2:14" ht="14.25" x14ac:dyDescent="0.45">
      <c r="B93" s="167"/>
      <c r="C93" s="167"/>
      <c r="D93" s="19" t="s">
        <v>46</v>
      </c>
      <c r="E93" s="24">
        <f t="shared" ref="E93:F93" si="51">E83*E$15</f>
        <v>123200</v>
      </c>
      <c r="F93" s="24">
        <f t="shared" si="51"/>
        <v>312056</v>
      </c>
      <c r="G93" s="24">
        <f>G83*G$15</f>
        <v>594287.35999999999</v>
      </c>
      <c r="H93" s="24">
        <f>H83*H$15</f>
        <v>1008168.9992</v>
      </c>
      <c r="I93" s="24">
        <f>I83*I$15</f>
        <v>1606322.4221599998</v>
      </c>
      <c r="J93" s="24">
        <f t="shared" ref="J93:N93" si="52">J83*J$15</f>
        <v>2460817.8176040798</v>
      </c>
      <c r="K93" s="24">
        <f t="shared" si="52"/>
        <v>3670028.8267020704</v>
      </c>
      <c r="L93" s="24">
        <f t="shared" si="52"/>
        <v>5367827.4426163919</v>
      </c>
      <c r="M93" s="24">
        <f t="shared" si="52"/>
        <v>7735899.8314353758</v>
      </c>
      <c r="N93" s="24">
        <f t="shared" si="52"/>
        <v>11020219.917845331</v>
      </c>
    </row>
    <row r="94" spans="2:14" ht="14.25" x14ac:dyDescent="0.45">
      <c r="B94" s="167" t="s">
        <v>17</v>
      </c>
      <c r="C94" s="166" t="s">
        <v>32</v>
      </c>
      <c r="D94" s="15" t="s">
        <v>43</v>
      </c>
      <c r="E94" s="16">
        <f>E$28</f>
        <v>4.7751937984496125E-2</v>
      </c>
      <c r="F94" s="16">
        <f t="shared" ref="F94:N94" si="53">F$28</f>
        <v>4.600925425154738E-2</v>
      </c>
      <c r="G94" s="16">
        <f t="shared" si="53"/>
        <v>4.4658336629106496E-2</v>
      </c>
      <c r="H94" s="16">
        <f t="shared" si="53"/>
        <v>4.3611113665974033E-2</v>
      </c>
      <c r="I94" s="16">
        <f t="shared" si="53"/>
        <v>4.2799312919359712E-2</v>
      </c>
      <c r="J94" s="16">
        <f t="shared" si="53"/>
        <v>4.2170010015007531E-2</v>
      </c>
      <c r="K94" s="16">
        <f t="shared" si="53"/>
        <v>4.1682178306207386E-2</v>
      </c>
      <c r="L94" s="16">
        <f t="shared" si="53"/>
        <v>4.130401419085844E-2</v>
      </c>
      <c r="M94" s="16">
        <f t="shared" si="53"/>
        <v>4.101086371384375E-2</v>
      </c>
      <c r="N94" s="16">
        <f t="shared" si="53"/>
        <v>4.0783615282049421E-2</v>
      </c>
    </row>
    <row r="95" spans="2:14" ht="14.25" x14ac:dyDescent="0.45">
      <c r="B95" s="167"/>
      <c r="C95" s="166"/>
      <c r="D95" s="15" t="s">
        <v>44</v>
      </c>
      <c r="E95" s="16"/>
      <c r="F95" s="16"/>
      <c r="G95" s="16"/>
      <c r="H95" s="16"/>
      <c r="I95" s="82">
        <f>AVERAGE(E94:I94)</f>
        <v>4.4965991090096753E-2</v>
      </c>
      <c r="J95" s="17"/>
      <c r="K95" s="17"/>
      <c r="L95" s="17"/>
      <c r="M95" s="17"/>
      <c r="N95" s="17">
        <f>AVERAGE(E94:N94)</f>
        <v>4.3178063695845037E-2</v>
      </c>
    </row>
    <row r="96" spans="2:14" ht="14.25" x14ac:dyDescent="0.45">
      <c r="B96" s="167"/>
      <c r="C96" s="166"/>
      <c r="D96" s="15" t="s">
        <v>42</v>
      </c>
      <c r="E96" s="16">
        <f t="shared" ref="E96:N96" si="54">E$30</f>
        <v>4.7751937984496125E-2</v>
      </c>
      <c r="F96" s="16">
        <f t="shared" si="54"/>
        <v>9.3761192236043511E-2</v>
      </c>
      <c r="G96" s="16">
        <f t="shared" si="54"/>
        <v>0.13841952886515002</v>
      </c>
      <c r="H96" s="16">
        <f t="shared" si="54"/>
        <v>0.18203064253112405</v>
      </c>
      <c r="I96" s="16">
        <f t="shared" si="54"/>
        <v>0.22482995545048376</v>
      </c>
      <c r="J96" s="16">
        <f t="shared" si="54"/>
        <v>0.26699996546549132</v>
      </c>
      <c r="K96" s="16">
        <f t="shared" si="54"/>
        <v>0.30868214377169872</v>
      </c>
      <c r="L96" s="16">
        <f t="shared" si="54"/>
        <v>0.34998615796255717</v>
      </c>
      <c r="M96" s="16">
        <f t="shared" si="54"/>
        <v>0.39099702167640094</v>
      </c>
      <c r="N96" s="16">
        <f t="shared" si="54"/>
        <v>0.43178063695845037</v>
      </c>
    </row>
    <row r="97" spans="2:14" ht="14.25" customHeight="1" x14ac:dyDescent="0.45">
      <c r="B97" s="167"/>
      <c r="C97" s="167"/>
      <c r="D97" s="19" t="s">
        <v>45</v>
      </c>
      <c r="E97" s="20">
        <f t="shared" ref="E97:N97" si="55">10*E94</f>
        <v>0.47751937984496123</v>
      </c>
      <c r="F97" s="20">
        <f t="shared" si="55"/>
        <v>0.46009254251547382</v>
      </c>
      <c r="G97" s="20">
        <f t="shared" si="55"/>
        <v>0.44658336629106499</v>
      </c>
      <c r="H97" s="20">
        <f t="shared" si="55"/>
        <v>0.43611113665974033</v>
      </c>
      <c r="I97" s="20">
        <f t="shared" si="55"/>
        <v>0.42799312919359711</v>
      </c>
      <c r="J97" s="20">
        <f t="shared" si="55"/>
        <v>0.42170010015007531</v>
      </c>
      <c r="K97" s="20">
        <f t="shared" si="55"/>
        <v>0.41682178306207385</v>
      </c>
      <c r="L97" s="20">
        <f t="shared" si="55"/>
        <v>0.4130401419085844</v>
      </c>
      <c r="M97" s="20">
        <f t="shared" si="55"/>
        <v>0.41010863713843748</v>
      </c>
      <c r="N97" s="20">
        <f t="shared" si="55"/>
        <v>0.40783615282049424</v>
      </c>
    </row>
    <row r="98" spans="2:14" ht="14.25" x14ac:dyDescent="0.45">
      <c r="B98" s="167"/>
      <c r="C98" s="167"/>
      <c r="D98" s="19" t="s">
        <v>46</v>
      </c>
      <c r="E98" s="20">
        <f>10*E96</f>
        <v>0.47751937984496123</v>
      </c>
      <c r="F98" s="20">
        <f t="shared" ref="F98:N98" si="56">10*F96</f>
        <v>0.93761192236043511</v>
      </c>
      <c r="G98" s="20">
        <f t="shared" si="56"/>
        <v>1.3841952886515001</v>
      </c>
      <c r="H98" s="20">
        <f t="shared" si="56"/>
        <v>1.8203064253112404</v>
      </c>
      <c r="I98" s="20">
        <f t="shared" si="56"/>
        <v>2.2482995545048374</v>
      </c>
      <c r="J98" s="20">
        <f t="shared" si="56"/>
        <v>2.6699996546549132</v>
      </c>
      <c r="K98" s="20">
        <f t="shared" si="56"/>
        <v>3.0868214377169871</v>
      </c>
      <c r="L98" s="20">
        <f t="shared" si="56"/>
        <v>3.4998615796255717</v>
      </c>
      <c r="M98" s="20">
        <f t="shared" si="56"/>
        <v>3.9099702167640094</v>
      </c>
      <c r="N98" s="20">
        <f t="shared" si="56"/>
        <v>4.3178063695845035</v>
      </c>
    </row>
    <row r="99" spans="2:14" ht="14.25" x14ac:dyDescent="0.45">
      <c r="B99" s="167"/>
      <c r="C99" s="165" t="s">
        <v>36</v>
      </c>
      <c r="D99" s="15" t="s">
        <v>43</v>
      </c>
      <c r="E99" s="16">
        <f t="shared" ref="E99:N99" si="57">E94*E$15/$E$4</f>
        <v>6.1600000000000002E-2</v>
      </c>
      <c r="F99" s="16">
        <f t="shared" si="57"/>
        <v>7.6563999999999993E-2</v>
      </c>
      <c r="G99" s="16">
        <f t="shared" si="57"/>
        <v>9.5867559999999991E-2</v>
      </c>
      <c r="H99" s="16">
        <f t="shared" si="57"/>
        <v>0.1207691524</v>
      </c>
      <c r="I99" s="16">
        <f t="shared" si="57"/>
        <v>0.15289220659599997</v>
      </c>
      <c r="J99" s="16">
        <f t="shared" si="57"/>
        <v>0.19433094650883995</v>
      </c>
      <c r="K99" s="16">
        <f t="shared" si="57"/>
        <v>0.24778692099640354</v>
      </c>
      <c r="L99" s="16">
        <f t="shared" si="57"/>
        <v>0.31674512808536059</v>
      </c>
      <c r="M99" s="16">
        <f t="shared" si="57"/>
        <v>0.4057012152301151</v>
      </c>
      <c r="N99" s="16">
        <f t="shared" si="57"/>
        <v>0.5204545676468485</v>
      </c>
    </row>
    <row r="100" spans="2:14" ht="14.25" x14ac:dyDescent="0.45">
      <c r="B100" s="167"/>
      <c r="C100" s="166"/>
      <c r="D100" s="15" t="s">
        <v>44</v>
      </c>
      <c r="E100" s="16"/>
      <c r="F100" s="16"/>
      <c r="G100" s="16"/>
      <c r="H100" s="16"/>
      <c r="I100" s="17">
        <f>AVERAGE(E99:I99)</f>
        <v>0.1015385837992</v>
      </c>
      <c r="J100" s="17"/>
      <c r="K100" s="17"/>
      <c r="L100" s="17"/>
      <c r="M100" s="17"/>
      <c r="N100" s="17">
        <f>AVERAGE(E99:N99)</f>
        <v>0.2192711697463568</v>
      </c>
    </row>
    <row r="101" spans="2:14" ht="14.25" x14ac:dyDescent="0.45">
      <c r="B101" s="167"/>
      <c r="C101" s="167"/>
      <c r="D101" s="19" t="s">
        <v>45</v>
      </c>
      <c r="E101" s="23">
        <f t="shared" ref="E101:N101" si="58">E97*E$15</f>
        <v>61600</v>
      </c>
      <c r="F101" s="23">
        <f t="shared" si="58"/>
        <v>76564</v>
      </c>
      <c r="G101" s="23">
        <f>G97*G$15</f>
        <v>95867.56</v>
      </c>
      <c r="H101" s="23">
        <f>H97*H$15</f>
        <v>120769.15240000001</v>
      </c>
      <c r="I101" s="23">
        <f>I97*I$15</f>
        <v>152892.20659599997</v>
      </c>
      <c r="J101" s="23">
        <f t="shared" si="58"/>
        <v>194330.94650883996</v>
      </c>
      <c r="K101" s="23">
        <f t="shared" si="58"/>
        <v>247786.92099640353</v>
      </c>
      <c r="L101" s="23">
        <f t="shared" si="58"/>
        <v>316745.12808536057</v>
      </c>
      <c r="M101" s="23">
        <f t="shared" si="58"/>
        <v>405701.21523011511</v>
      </c>
      <c r="N101" s="23">
        <f t="shared" si="58"/>
        <v>520454.56764684856</v>
      </c>
    </row>
    <row r="102" spans="2:14" ht="14.25" customHeight="1" x14ac:dyDescent="0.45">
      <c r="B102" s="167"/>
      <c r="C102" s="167"/>
      <c r="D102" s="19" t="s">
        <v>47</v>
      </c>
      <c r="E102" s="24"/>
      <c r="F102" s="24"/>
      <c r="G102" s="24"/>
      <c r="H102" s="24"/>
      <c r="I102" s="23">
        <f>AVERAGE(E101:I101)</f>
        <v>101538.58379919999</v>
      </c>
      <c r="J102" s="23"/>
      <c r="K102" s="23"/>
      <c r="L102" s="23"/>
      <c r="M102" s="23"/>
      <c r="N102" s="23">
        <f>AVERAGE(E101:N101)</f>
        <v>219271.16974635678</v>
      </c>
    </row>
    <row r="103" spans="2:14" ht="14.25" x14ac:dyDescent="0.45">
      <c r="B103" s="167"/>
      <c r="C103" s="167"/>
      <c r="D103" s="19" t="s">
        <v>46</v>
      </c>
      <c r="E103" s="24">
        <f>E101</f>
        <v>61600</v>
      </c>
      <c r="F103" s="24">
        <f t="shared" ref="F103:N103" si="59">E103+F101</f>
        <v>138164</v>
      </c>
      <c r="G103" s="24">
        <f>F103+G101</f>
        <v>234031.56</v>
      </c>
      <c r="H103" s="24">
        <f t="shared" si="59"/>
        <v>354800.71240000002</v>
      </c>
      <c r="I103" s="24">
        <f t="shared" si="59"/>
        <v>507692.91899599996</v>
      </c>
      <c r="J103" s="24">
        <f>I103+J101</f>
        <v>702023.86550483992</v>
      </c>
      <c r="K103" s="24">
        <f t="shared" si="59"/>
        <v>949810.78650124348</v>
      </c>
      <c r="L103" s="24">
        <f t="shared" si="59"/>
        <v>1266555.9145866041</v>
      </c>
      <c r="M103" s="24">
        <f t="shared" si="59"/>
        <v>1672257.1298167193</v>
      </c>
      <c r="N103" s="24">
        <f t="shared" si="59"/>
        <v>2192711.6974635678</v>
      </c>
    </row>
    <row r="104" spans="2:14" ht="14.25" x14ac:dyDescent="0.45">
      <c r="B104" s="167"/>
      <c r="C104" s="165" t="s">
        <v>35</v>
      </c>
      <c r="D104" s="15" t="s">
        <v>43</v>
      </c>
      <c r="E104" s="16">
        <f>E96*E$15/$E$4</f>
        <v>6.1600000000000002E-2</v>
      </c>
      <c r="F104" s="16">
        <f>F96*F$15/$E$4-E104</f>
        <v>9.4427999999999998E-2</v>
      </c>
      <c r="G104" s="16">
        <f>G96*G$15/$E$4-F104-E104</f>
        <v>0.14111568000000002</v>
      </c>
      <c r="H104" s="16">
        <f>H96*H$15/$E$4-G104-F104-E104</f>
        <v>0.20694081959999999</v>
      </c>
      <c r="I104" s="16">
        <f>I96*I$15/$E$4-H104-G104-F104-E104</f>
        <v>0.29907671147999992</v>
      </c>
      <c r="J104" s="16">
        <f>J96*J$15/$E$4-I104-H104-G104-F104-E104</f>
        <v>0.42724769772204013</v>
      </c>
      <c r="K104" s="16">
        <f>K96*K$15/$E$4-J104-I104-H104-G104-F104-E104</f>
        <v>0.60460550454899542</v>
      </c>
      <c r="L104" s="16">
        <f>L96*L$15/$E$4-K104-J104-I104-H104-G104-F104-E104</f>
        <v>0.84889930795716062</v>
      </c>
      <c r="M104" s="16">
        <f>M96*M$15/$E$4-L104-K104-J104-I104-H104-G104-F104-E104</f>
        <v>1.1840361944094919</v>
      </c>
      <c r="N104" s="16">
        <f>N96*N$15/$E$4-M104-L104-K104-J104-I104-H104-G104-F104-E104</f>
        <v>1.642160043204979</v>
      </c>
    </row>
    <row r="105" spans="2:14" ht="14.25" x14ac:dyDescent="0.45">
      <c r="B105" s="167"/>
      <c r="C105" s="166"/>
      <c r="D105" s="15" t="s">
        <v>44</v>
      </c>
      <c r="E105" s="17"/>
      <c r="F105" s="17"/>
      <c r="G105" s="17"/>
      <c r="H105" s="17"/>
      <c r="I105" s="17">
        <f>AVERAGE(E104:I104)</f>
        <v>0.16063224221599998</v>
      </c>
      <c r="J105" s="17"/>
      <c r="K105" s="17"/>
      <c r="L105" s="17"/>
      <c r="M105" s="17"/>
      <c r="N105" s="17">
        <f>AVERAGE(E104:N104)</f>
        <v>0.55101099589226665</v>
      </c>
    </row>
    <row r="106" spans="2:14" ht="14.25" x14ac:dyDescent="0.45">
      <c r="B106" s="167"/>
      <c r="C106" s="167"/>
      <c r="D106" s="19" t="s">
        <v>45</v>
      </c>
      <c r="E106" s="23">
        <f>E108</f>
        <v>61600</v>
      </c>
      <c r="F106" s="23">
        <f>F108-E108</f>
        <v>94428</v>
      </c>
      <c r="G106" s="23">
        <f>G108-F108</f>
        <v>141115.68</v>
      </c>
      <c r="H106" s="23">
        <f>H108-G108</f>
        <v>206940.81959999999</v>
      </c>
      <c r="I106" s="23">
        <f>I108-H108</f>
        <v>299076.71147999994</v>
      </c>
      <c r="J106" s="23">
        <f>J108-I108</f>
        <v>427247.69772204</v>
      </c>
      <c r="K106" s="23">
        <f t="shared" ref="K106:N106" si="60">K108-J108</f>
        <v>604605.50454899529</v>
      </c>
      <c r="L106" s="23">
        <f t="shared" si="60"/>
        <v>848899.30795716075</v>
      </c>
      <c r="M106" s="23">
        <f t="shared" si="60"/>
        <v>1184036.194409492</v>
      </c>
      <c r="N106" s="23">
        <f t="shared" si="60"/>
        <v>1642160.0432049776</v>
      </c>
    </row>
    <row r="107" spans="2:14" ht="15" customHeight="1" x14ac:dyDescent="0.45">
      <c r="B107" s="167"/>
      <c r="C107" s="167"/>
      <c r="D107" s="19" t="s">
        <v>47</v>
      </c>
      <c r="E107" s="23"/>
      <c r="F107" s="23"/>
      <c r="G107" s="23"/>
      <c r="H107" s="23"/>
      <c r="I107" s="23">
        <f>AVERAGE(E106:I106)</f>
        <v>160632.24221599998</v>
      </c>
      <c r="J107" s="23"/>
      <c r="K107" s="23"/>
      <c r="L107" s="23"/>
      <c r="M107" s="23"/>
      <c r="N107" s="23">
        <f>AVERAGE(E106:N106)</f>
        <v>551010.99589226651</v>
      </c>
    </row>
    <row r="108" spans="2:14" ht="14.25" x14ac:dyDescent="0.45">
      <c r="B108" s="167"/>
      <c r="C108" s="167"/>
      <c r="D108" s="19" t="s">
        <v>46</v>
      </c>
      <c r="E108" s="24">
        <f t="shared" ref="E108:N108" si="61">E98*E$15</f>
        <v>61600</v>
      </c>
      <c r="F108" s="24">
        <f t="shared" si="61"/>
        <v>156028</v>
      </c>
      <c r="G108" s="24">
        <f>G98*G$15</f>
        <v>297143.67999999999</v>
      </c>
      <c r="H108" s="24">
        <f>H98*H$15</f>
        <v>504084.49959999998</v>
      </c>
      <c r="I108" s="24">
        <f>I98*I$15</f>
        <v>803161.21107999992</v>
      </c>
      <c r="J108" s="24">
        <f t="shared" si="61"/>
        <v>1230408.9088020399</v>
      </c>
      <c r="K108" s="24">
        <f t="shared" si="61"/>
        <v>1835014.4133510352</v>
      </c>
      <c r="L108" s="24">
        <f t="shared" si="61"/>
        <v>2683913.721308196</v>
      </c>
      <c r="M108" s="24">
        <f t="shared" si="61"/>
        <v>3867949.9157176879</v>
      </c>
      <c r="N108" s="24">
        <f t="shared" si="61"/>
        <v>5510109.9589226656</v>
      </c>
    </row>
    <row r="109" spans="2:14" ht="14.25" x14ac:dyDescent="0.45">
      <c r="B109" s="167" t="s">
        <v>18</v>
      </c>
      <c r="C109" s="166" t="s">
        <v>32</v>
      </c>
      <c r="D109" s="15" t="s">
        <v>43</v>
      </c>
      <c r="E109" s="16">
        <f>E66+E79+E94-E34-E50</f>
        <v>0.75178294573643412</v>
      </c>
      <c r="F109" s="16">
        <f t="shared" ref="F109:N109" si="62">F66+F79+F94-F34-F50</f>
        <v>0.60975422150111169</v>
      </c>
      <c r="G109" s="16">
        <f t="shared" si="62"/>
        <v>0.49965443527217951</v>
      </c>
      <c r="H109" s="16">
        <f t="shared" si="62"/>
        <v>0.41430576377688366</v>
      </c>
      <c r="I109" s="16">
        <f t="shared" si="62"/>
        <v>0.34814400292781639</v>
      </c>
      <c r="J109" s="16">
        <f t="shared" si="62"/>
        <v>0.29685581622311369</v>
      </c>
      <c r="K109" s="16">
        <f t="shared" si="62"/>
        <v>0.25709753195590224</v>
      </c>
      <c r="L109" s="16">
        <f t="shared" si="62"/>
        <v>0.22627715655496256</v>
      </c>
      <c r="M109" s="16">
        <f t="shared" si="62"/>
        <v>0.202385392678266</v>
      </c>
      <c r="N109" s="16">
        <f t="shared" si="62"/>
        <v>0.18386464548702749</v>
      </c>
    </row>
    <row r="110" spans="2:14" ht="14.25" x14ac:dyDescent="0.45">
      <c r="B110" s="167"/>
      <c r="C110" s="166"/>
      <c r="D110" s="15" t="s">
        <v>44</v>
      </c>
      <c r="E110" s="16"/>
      <c r="F110" s="16"/>
      <c r="G110" s="16"/>
      <c r="H110" s="16"/>
      <c r="I110" s="38">
        <f>AVERAGE(E109:I109)</f>
        <v>0.52472827384288501</v>
      </c>
      <c r="J110" s="16"/>
      <c r="K110" s="16"/>
      <c r="L110" s="16"/>
      <c r="M110" s="16"/>
      <c r="N110" s="17">
        <f>AVERAGE(E109:N109)</f>
        <v>0.3790121912113697</v>
      </c>
    </row>
    <row r="111" spans="2:14" ht="14.25" x14ac:dyDescent="0.45">
      <c r="B111" s="167"/>
      <c r="C111" s="166"/>
      <c r="D111" s="15" t="s">
        <v>42</v>
      </c>
      <c r="E111" s="16">
        <f>E68+E81+E96-E36-E52</f>
        <v>0.75178294573643412</v>
      </c>
      <c r="F111" s="16">
        <f t="shared" ref="F111:N111" si="63">F68+F81+F96-F36-F52</f>
        <v>1.3615371672375458</v>
      </c>
      <c r="G111" s="16">
        <f t="shared" si="63"/>
        <v>1.8611916025097255</v>
      </c>
      <c r="H111" s="16">
        <f t="shared" si="63"/>
        <v>2.2754973662866091</v>
      </c>
      <c r="I111" s="16">
        <f t="shared" si="63"/>
        <v>2.6236413692144245</v>
      </c>
      <c r="J111" s="16">
        <f t="shared" si="63"/>
        <v>2.9204971854375392</v>
      </c>
      <c r="K111" s="16">
        <f t="shared" si="63"/>
        <v>3.177594717393442</v>
      </c>
      <c r="L111" s="16">
        <f t="shared" si="63"/>
        <v>3.4038718739484022</v>
      </c>
      <c r="M111" s="16">
        <f t="shared" si="63"/>
        <v>3.606257266626673</v>
      </c>
      <c r="N111" s="16">
        <f t="shared" si="63"/>
        <v>3.7901219121136949</v>
      </c>
    </row>
    <row r="112" spans="2:14" ht="14.25" x14ac:dyDescent="0.45">
      <c r="B112" s="167"/>
      <c r="C112" s="167"/>
      <c r="D112" s="19" t="s">
        <v>45</v>
      </c>
      <c r="E112" s="20">
        <f>10*E109</f>
        <v>7.5178294573643409</v>
      </c>
      <c r="F112" s="20">
        <f t="shared" ref="F112:N112" si="64">10*F109</f>
        <v>6.0975422150111172</v>
      </c>
      <c r="G112" s="20">
        <f t="shared" si="64"/>
        <v>4.996544352721795</v>
      </c>
      <c r="H112" s="20">
        <f t="shared" si="64"/>
        <v>4.1430576377688366</v>
      </c>
      <c r="I112" s="20">
        <f t="shared" si="64"/>
        <v>3.481440029278164</v>
      </c>
      <c r="J112" s="20">
        <f t="shared" si="64"/>
        <v>2.9685581622311368</v>
      </c>
      <c r="K112" s="20">
        <f t="shared" si="64"/>
        <v>2.5709753195590226</v>
      </c>
      <c r="L112" s="20">
        <f t="shared" si="64"/>
        <v>2.2627715655496257</v>
      </c>
      <c r="M112" s="20">
        <f t="shared" si="64"/>
        <v>2.0238539267826599</v>
      </c>
      <c r="N112" s="20">
        <f t="shared" si="64"/>
        <v>1.838646454870275</v>
      </c>
    </row>
    <row r="113" spans="1:16" ht="14.25" x14ac:dyDescent="0.45">
      <c r="B113" s="167"/>
      <c r="C113" s="167"/>
      <c r="D113" s="19" t="s">
        <v>46</v>
      </c>
      <c r="E113" s="20">
        <f>10*E111</f>
        <v>7.5178294573643409</v>
      </c>
      <c r="F113" s="20">
        <f>10*F111</f>
        <v>13.615371672375458</v>
      </c>
      <c r="G113" s="20">
        <f>10*G111</f>
        <v>18.611916025097255</v>
      </c>
      <c r="H113" s="20">
        <f t="shared" ref="H113:N113" si="65">10*H111</f>
        <v>22.754973662866092</v>
      </c>
      <c r="I113" s="20">
        <f t="shared" si="65"/>
        <v>26.236413692144247</v>
      </c>
      <c r="J113" s="20">
        <f t="shared" si="65"/>
        <v>29.204971854375394</v>
      </c>
      <c r="K113" s="20">
        <f t="shared" si="65"/>
        <v>31.775947173934419</v>
      </c>
      <c r="L113" s="20">
        <f t="shared" si="65"/>
        <v>34.038718739484025</v>
      </c>
      <c r="M113" s="20">
        <f t="shared" si="65"/>
        <v>36.062572666266732</v>
      </c>
      <c r="N113" s="20">
        <f t="shared" si="65"/>
        <v>37.901219121136947</v>
      </c>
    </row>
    <row r="114" spans="1:16" ht="14.25" x14ac:dyDescent="0.45">
      <c r="B114" s="167"/>
      <c r="C114" s="165" t="s">
        <v>36</v>
      </c>
      <c r="D114" s="15" t="s">
        <v>43</v>
      </c>
      <c r="E114" s="16">
        <f>E71+E84+E99-E39-E55</f>
        <v>0.9698</v>
      </c>
      <c r="F114" s="16">
        <f t="shared" ref="F114:N114" si="66">F71+F84+F99-F39-F55</f>
        <v>1.0146919999999999</v>
      </c>
      <c r="G114" s="16">
        <f t="shared" si="66"/>
        <v>1.0726026799999997</v>
      </c>
      <c r="H114" s="16">
        <f t="shared" si="66"/>
        <v>1.1473074572000006</v>
      </c>
      <c r="I114" s="16">
        <f t="shared" si="66"/>
        <v>1.2436766197879989</v>
      </c>
      <c r="J114" s="16">
        <f t="shared" si="66"/>
        <v>1.3679928395265197</v>
      </c>
      <c r="K114" s="16">
        <f t="shared" si="66"/>
        <v>1.5283607629892115</v>
      </c>
      <c r="L114" s="16">
        <f t="shared" si="66"/>
        <v>1.7352353842560793</v>
      </c>
      <c r="M114" s="16">
        <f t="shared" si="66"/>
        <v>2.0021036456903478</v>
      </c>
      <c r="N114" s="16">
        <f t="shared" si="66"/>
        <v>2.3463637029405429</v>
      </c>
    </row>
    <row r="115" spans="1:16" ht="14.25" x14ac:dyDescent="0.45">
      <c r="B115" s="167"/>
      <c r="C115" s="166"/>
      <c r="D115" s="15" t="s">
        <v>44</v>
      </c>
      <c r="E115" s="16"/>
      <c r="F115" s="16"/>
      <c r="G115" s="16"/>
      <c r="H115" s="16"/>
      <c r="I115" s="17">
        <f>AVERAGE(E114:I114)</f>
        <v>1.0896157513975999</v>
      </c>
      <c r="J115" s="17"/>
      <c r="K115" s="17"/>
      <c r="L115" s="17"/>
      <c r="M115" s="17"/>
      <c r="N115" s="17">
        <f>AVERAGE(E114:N114)</f>
        <v>1.4428135092390701</v>
      </c>
    </row>
    <row r="116" spans="1:16" ht="14.25" x14ac:dyDescent="0.45">
      <c r="B116" s="167"/>
      <c r="C116" s="167"/>
      <c r="D116" s="19" t="s">
        <v>45</v>
      </c>
      <c r="E116" s="22">
        <f t="shared" ref="E116:N116" si="67">E112*E$15</f>
        <v>969800</v>
      </c>
      <c r="F116" s="22">
        <f t="shared" si="67"/>
        <v>1014692</v>
      </c>
      <c r="G116" s="22">
        <f>G112*G$15</f>
        <v>1072602.6799999997</v>
      </c>
      <c r="H116" s="22">
        <f>H112*H$15</f>
        <v>1147307.4572000005</v>
      </c>
      <c r="I116" s="22">
        <f>I112*I$15</f>
        <v>1243676.619787999</v>
      </c>
      <c r="J116" s="22">
        <f t="shared" si="67"/>
        <v>1367992.8395265199</v>
      </c>
      <c r="K116" s="22">
        <f t="shared" si="67"/>
        <v>1528360.7629892118</v>
      </c>
      <c r="L116" s="22">
        <f t="shared" si="67"/>
        <v>1735235.3842560796</v>
      </c>
      <c r="M116" s="22">
        <f t="shared" si="67"/>
        <v>2002103.6456903473</v>
      </c>
      <c r="N116" s="22">
        <f t="shared" si="67"/>
        <v>2346363.7029405423</v>
      </c>
    </row>
    <row r="117" spans="1:16" ht="14.25" x14ac:dyDescent="0.45">
      <c r="B117" s="167"/>
      <c r="C117" s="167"/>
      <c r="D117" s="19" t="s">
        <v>47</v>
      </c>
      <c r="E117" s="21"/>
      <c r="F117" s="21"/>
      <c r="G117" s="21"/>
      <c r="H117" s="21"/>
      <c r="I117" s="22">
        <f>AVERAGE(E116:I116)</f>
        <v>1089615.7513975997</v>
      </c>
      <c r="J117" s="22"/>
      <c r="K117" s="22"/>
      <c r="L117" s="22"/>
      <c r="M117" s="22"/>
      <c r="N117" s="22">
        <f>AVERAGE(E116:N116)</f>
        <v>1442813.5092390699</v>
      </c>
    </row>
    <row r="118" spans="1:16" ht="14.25" x14ac:dyDescent="0.45">
      <c r="B118" s="167"/>
      <c r="C118" s="167"/>
      <c r="D118" s="19" t="s">
        <v>46</v>
      </c>
      <c r="E118" s="21">
        <f>E116</f>
        <v>969800</v>
      </c>
      <c r="F118" s="21">
        <f t="shared" ref="F118:N118" si="68">E118+F116</f>
        <v>1984492</v>
      </c>
      <c r="G118" s="21">
        <f>F118+G116</f>
        <v>3057094.6799999997</v>
      </c>
      <c r="H118" s="21">
        <f t="shared" si="68"/>
        <v>4204402.1371999998</v>
      </c>
      <c r="I118" s="21">
        <f t="shared" si="68"/>
        <v>5448078.7569879983</v>
      </c>
      <c r="J118" s="21">
        <f>I118+J116</f>
        <v>6816071.5965145184</v>
      </c>
      <c r="K118" s="21">
        <f t="shared" si="68"/>
        <v>8344432.3595037302</v>
      </c>
      <c r="L118" s="21">
        <f t="shared" si="68"/>
        <v>10079667.743759809</v>
      </c>
      <c r="M118" s="21">
        <f t="shared" si="68"/>
        <v>12081771.389450157</v>
      </c>
      <c r="N118" s="21">
        <f t="shared" si="68"/>
        <v>14428135.092390699</v>
      </c>
    </row>
    <row r="119" spans="1:16" ht="15" customHeight="1" x14ac:dyDescent="0.45">
      <c r="B119" s="167"/>
      <c r="C119" s="165" t="s">
        <v>35</v>
      </c>
      <c r="D119" s="15" t="s">
        <v>43</v>
      </c>
      <c r="E119" s="16">
        <f>E74+E89+E104-E42-E58</f>
        <v>0.9698</v>
      </c>
      <c r="F119" s="16">
        <f t="shared" ref="F119:N119" si="69">F74+F89+F104-F42-F58</f>
        <v>1.2959340000000001</v>
      </c>
      <c r="G119" s="16">
        <f t="shared" si="69"/>
        <v>1.7296655399999992</v>
      </c>
      <c r="H119" s="16">
        <f t="shared" si="69"/>
        <v>2.3059733238000022</v>
      </c>
      <c r="I119" s="16">
        <f t="shared" si="69"/>
        <v>3.0710747502899949</v>
      </c>
      <c r="J119" s="16">
        <f t="shared" si="69"/>
        <v>4.0860026476126228</v>
      </c>
      <c r="K119" s="16">
        <f t="shared" si="69"/>
        <v>5.4313113388829777</v>
      </c>
      <c r="L119" s="16">
        <f t="shared" si="69"/>
        <v>7.2132662484258754</v>
      </c>
      <c r="M119" s="16">
        <f t="shared" si="69"/>
        <v>9.5719817219037218</v>
      </c>
      <c r="N119" s="16">
        <f t="shared" si="69"/>
        <v>12.692116478505881</v>
      </c>
    </row>
    <row r="120" spans="1:16" ht="15" customHeight="1" x14ac:dyDescent="0.45">
      <c r="B120" s="167"/>
      <c r="C120" s="166"/>
      <c r="D120" s="15" t="s">
        <v>44</v>
      </c>
      <c r="E120" s="17"/>
      <c r="F120" s="17"/>
      <c r="G120" s="17"/>
      <c r="H120" s="17"/>
      <c r="I120" s="17">
        <f>AVERAGE(E119:I119)</f>
        <v>1.8744895228179992</v>
      </c>
      <c r="J120" s="17"/>
      <c r="K120" s="17"/>
      <c r="L120" s="17"/>
      <c r="M120" s="17"/>
      <c r="N120" s="17">
        <f>AVERAGE(E119:N119)</f>
        <v>4.8367126049421074</v>
      </c>
    </row>
    <row r="121" spans="1:16" ht="15" customHeight="1" x14ac:dyDescent="0.45">
      <c r="B121" s="167"/>
      <c r="C121" s="167"/>
      <c r="D121" s="19" t="s">
        <v>45</v>
      </c>
      <c r="E121" s="22">
        <f>E123</f>
        <v>969800</v>
      </c>
      <c r="F121" s="22">
        <f>F123-E123</f>
        <v>1295934</v>
      </c>
      <c r="G121" s="22">
        <f>G123-F123</f>
        <v>1729665.54</v>
      </c>
      <c r="H121" s="22">
        <f t="shared" ref="H121:N121" si="70">H123-G123</f>
        <v>2305973.3238000013</v>
      </c>
      <c r="I121" s="22">
        <f t="shared" si="70"/>
        <v>3071074.7502899943</v>
      </c>
      <c r="J121" s="22">
        <f>J123-I123</f>
        <v>4086002.647612622</v>
      </c>
      <c r="K121" s="22">
        <f t="shared" si="70"/>
        <v>5431311.3388829734</v>
      </c>
      <c r="L121" s="22">
        <f t="shared" si="70"/>
        <v>7213266.248425886</v>
      </c>
      <c r="M121" s="22">
        <f t="shared" si="70"/>
        <v>9571981.7219037227</v>
      </c>
      <c r="N121" s="22">
        <f t="shared" si="70"/>
        <v>12692116.478505872</v>
      </c>
    </row>
    <row r="122" spans="1:16" ht="15" customHeight="1" x14ac:dyDescent="0.45">
      <c r="A122" s="8"/>
      <c r="B122" s="167"/>
      <c r="C122" s="167"/>
      <c r="D122" s="19" t="s">
        <v>47</v>
      </c>
      <c r="E122" s="22"/>
      <c r="F122" s="22"/>
      <c r="G122" s="22"/>
      <c r="H122" s="22"/>
      <c r="I122" s="22">
        <f>AVERAGE(E121:I121)</f>
        <v>1874489.5228179991</v>
      </c>
      <c r="J122" s="22"/>
      <c r="K122" s="22"/>
      <c r="L122" s="22"/>
      <c r="M122" s="22"/>
      <c r="N122" s="22">
        <f>AVERAGE(E121:N121)</f>
        <v>4836712.6049421076</v>
      </c>
      <c r="O122" s="8"/>
      <c r="P122" s="8"/>
    </row>
    <row r="123" spans="1:16" ht="15" customHeight="1" x14ac:dyDescent="0.45">
      <c r="B123" s="167"/>
      <c r="C123" s="167"/>
      <c r="D123" s="19" t="s">
        <v>46</v>
      </c>
      <c r="E123" s="21">
        <f t="shared" ref="E123:N123" si="71">E113*E$15</f>
        <v>969800</v>
      </c>
      <c r="F123" s="21">
        <f t="shared" si="71"/>
        <v>2265734</v>
      </c>
      <c r="G123" s="21">
        <f>G113*G$15</f>
        <v>3995399.54</v>
      </c>
      <c r="H123" s="21">
        <f>H113*H$15</f>
        <v>6301372.8638000013</v>
      </c>
      <c r="I123" s="21">
        <f>I113*I$15</f>
        <v>9372447.6140899956</v>
      </c>
      <c r="J123" s="21">
        <f t="shared" si="71"/>
        <v>13458450.261702618</v>
      </c>
      <c r="K123" s="21">
        <f t="shared" si="71"/>
        <v>18889761.600585591</v>
      </c>
      <c r="L123" s="21">
        <f t="shared" si="71"/>
        <v>26103027.849011477</v>
      </c>
      <c r="M123" s="21">
        <f t="shared" si="71"/>
        <v>35675009.5709152</v>
      </c>
      <c r="N123" s="21">
        <f t="shared" si="71"/>
        <v>48367126.049421072</v>
      </c>
    </row>
    <row r="124" spans="1:16" ht="15" customHeight="1" x14ac:dyDescent="0.45">
      <c r="B124" s="1"/>
      <c r="C124" s="1"/>
      <c r="D124" s="40"/>
      <c r="E124" s="10"/>
      <c r="F124" s="10"/>
      <c r="G124" s="10"/>
      <c r="H124" s="10"/>
      <c r="I124" s="10"/>
      <c r="J124" s="10"/>
      <c r="K124" s="10"/>
      <c r="L124" s="10"/>
      <c r="M124" s="10"/>
      <c r="N124" s="10"/>
    </row>
    <row r="125" spans="1:16" ht="15" customHeight="1" x14ac:dyDescent="0.45">
      <c r="B125" s="150" t="s">
        <v>120</v>
      </c>
      <c r="C125" s="152" t="s">
        <v>55</v>
      </c>
      <c r="D125" s="152" t="s">
        <v>54</v>
      </c>
      <c r="E125" s="148" t="s">
        <v>3</v>
      </c>
      <c r="F125" s="148" t="s">
        <v>4</v>
      </c>
      <c r="G125" s="148" t="s">
        <v>5</v>
      </c>
      <c r="H125" s="148" t="s">
        <v>6</v>
      </c>
      <c r="I125" s="148" t="s">
        <v>7</v>
      </c>
      <c r="J125" s="148" t="s">
        <v>8</v>
      </c>
      <c r="K125" s="148" t="s">
        <v>9</v>
      </c>
      <c r="L125" s="148" t="s">
        <v>10</v>
      </c>
      <c r="M125" s="148" t="s">
        <v>11</v>
      </c>
      <c r="N125" s="148" t="s">
        <v>12</v>
      </c>
    </row>
    <row r="126" spans="1:16" ht="15" customHeight="1" x14ac:dyDescent="0.45">
      <c r="B126" s="151"/>
      <c r="C126" s="153"/>
      <c r="D126" s="153"/>
      <c r="E126" s="149"/>
      <c r="F126" s="149"/>
      <c r="G126" s="149"/>
      <c r="H126" s="149"/>
      <c r="I126" s="149"/>
      <c r="J126" s="149"/>
      <c r="K126" s="149"/>
      <c r="L126" s="149"/>
      <c r="M126" s="149"/>
      <c r="N126" s="149"/>
    </row>
    <row r="127" spans="1:16" ht="15" customHeight="1" x14ac:dyDescent="0.45">
      <c r="B127" s="158" t="s">
        <v>141</v>
      </c>
      <c r="C127" s="156">
        <v>20000</v>
      </c>
      <c r="D127" s="44" t="s">
        <v>19</v>
      </c>
      <c r="E127" s="27">
        <f t="shared" ref="E127:N127" si="72">E$53/10*$C127/(2+$E$11)</f>
        <v>852.71317829457371</v>
      </c>
      <c r="F127" s="27">
        <f t="shared" si="72"/>
        <v>661.0179676702121</v>
      </c>
      <c r="G127" s="27">
        <f t="shared" si="72"/>
        <v>512.41702920171474</v>
      </c>
      <c r="H127" s="27">
        <f t="shared" si="72"/>
        <v>397.22250325714327</v>
      </c>
      <c r="I127" s="27">
        <f t="shared" si="72"/>
        <v>307.92442112956843</v>
      </c>
      <c r="J127" s="27">
        <f t="shared" si="72"/>
        <v>238.70110165082824</v>
      </c>
      <c r="K127" s="27">
        <f t="shared" si="72"/>
        <v>185.03961368281261</v>
      </c>
      <c r="L127" s="27">
        <f t="shared" si="72"/>
        <v>143.44156099442836</v>
      </c>
      <c r="M127" s="27">
        <f t="shared" si="72"/>
        <v>111.19500852281269</v>
      </c>
      <c r="N127" s="27">
        <f t="shared" si="72"/>
        <v>86.197681025436196</v>
      </c>
    </row>
    <row r="128" spans="1:16" ht="15" customHeight="1" x14ac:dyDescent="0.45">
      <c r="B128" s="159"/>
      <c r="C128" s="156"/>
      <c r="D128" s="19" t="s">
        <v>22</v>
      </c>
      <c r="E128" s="27"/>
      <c r="F128" s="27"/>
      <c r="G128" s="27"/>
      <c r="H128" s="27"/>
      <c r="I128" s="28">
        <f>AVERAGE(E127:I127)</f>
        <v>546.25901991064245</v>
      </c>
      <c r="J128" s="27"/>
      <c r="K128" s="27"/>
      <c r="L128" s="27"/>
      <c r="M128" s="27"/>
      <c r="N128" s="27">
        <f>AVERAGE(E127:N127)</f>
        <v>349.58700654295308</v>
      </c>
    </row>
    <row r="129" spans="2:14" ht="15" customHeight="1" x14ac:dyDescent="0.45">
      <c r="B129" s="159"/>
      <c r="C129" s="156"/>
      <c r="D129" s="19" t="s">
        <v>41</v>
      </c>
      <c r="E129" s="27">
        <f t="shared" ref="E129:N129" si="73">E$54/10*$C127/(2+$E$11)</f>
        <v>852.71317829457371</v>
      </c>
      <c r="F129" s="27">
        <f t="shared" si="73"/>
        <v>1513.7311459647856</v>
      </c>
      <c r="G129" s="27">
        <f t="shared" si="73"/>
        <v>2026.1481751665003</v>
      </c>
      <c r="H129" s="27">
        <f t="shared" si="73"/>
        <v>2423.3706784236424</v>
      </c>
      <c r="I129" s="28">
        <f t="shared" si="73"/>
        <v>2731.2950995532142</v>
      </c>
      <c r="J129" s="27">
        <f t="shared" si="73"/>
        <v>2969.9962012040405</v>
      </c>
      <c r="K129" s="27">
        <f t="shared" si="73"/>
        <v>3155.0358148868509</v>
      </c>
      <c r="L129" s="27">
        <f t="shared" si="73"/>
        <v>3298.477375881288</v>
      </c>
      <c r="M129" s="27">
        <f t="shared" si="73"/>
        <v>3409.6723844040871</v>
      </c>
      <c r="N129" s="27">
        <f t="shared" si="73"/>
        <v>3495.870065429538</v>
      </c>
    </row>
    <row r="130" spans="2:14" ht="15" customHeight="1" x14ac:dyDescent="0.45">
      <c r="B130" s="159"/>
      <c r="C130" s="156">
        <v>400000</v>
      </c>
      <c r="D130" s="44" t="s">
        <v>19</v>
      </c>
      <c r="E130" s="27">
        <f t="shared" ref="E130:N130" si="74">E$53/10*$C130/(2+$E$11)</f>
        <v>17054.263565891473</v>
      </c>
      <c r="F130" s="27">
        <f t="shared" si="74"/>
        <v>13220.359353404241</v>
      </c>
      <c r="G130" s="27">
        <f t="shared" si="74"/>
        <v>10248.340584034295</v>
      </c>
      <c r="H130" s="27">
        <f t="shared" si="74"/>
        <v>7944.4500651428652</v>
      </c>
      <c r="I130" s="27">
        <f t="shared" si="74"/>
        <v>6158.4884225913684</v>
      </c>
      <c r="J130" s="27">
        <f t="shared" si="74"/>
        <v>4774.0220330165648</v>
      </c>
      <c r="K130" s="27">
        <f t="shared" si="74"/>
        <v>3700.7922736562518</v>
      </c>
      <c r="L130" s="27">
        <f t="shared" si="74"/>
        <v>2868.8312198885674</v>
      </c>
      <c r="M130" s="27">
        <f t="shared" si="74"/>
        <v>2223.9001704562538</v>
      </c>
      <c r="N130" s="27">
        <f t="shared" si="74"/>
        <v>1723.9536205087243</v>
      </c>
    </row>
    <row r="131" spans="2:14" ht="15" customHeight="1" x14ac:dyDescent="0.45">
      <c r="B131" s="159"/>
      <c r="C131" s="156"/>
      <c r="D131" s="19" t="s">
        <v>22</v>
      </c>
      <c r="E131" s="27"/>
      <c r="F131" s="27"/>
      <c r="G131" s="27"/>
      <c r="H131" s="27"/>
      <c r="I131" s="28">
        <f>AVERAGE(E130:I130)</f>
        <v>10925.180398212849</v>
      </c>
      <c r="J131" s="27"/>
      <c r="K131" s="27"/>
      <c r="L131" s="27"/>
      <c r="M131" s="27"/>
      <c r="N131" s="27">
        <f>AVERAGE(E130:N130)</f>
        <v>6991.7401308590606</v>
      </c>
    </row>
    <row r="132" spans="2:14" ht="15" customHeight="1" x14ac:dyDescent="0.45">
      <c r="B132" s="159"/>
      <c r="C132" s="156"/>
      <c r="D132" s="19" t="s">
        <v>41</v>
      </c>
      <c r="E132" s="27">
        <f t="shared" ref="E132:N132" si="75">E$54/10*$C130/(2+$E$11)</f>
        <v>17054.263565891473</v>
      </c>
      <c r="F132" s="27">
        <f t="shared" si="75"/>
        <v>30274.622919295711</v>
      </c>
      <c r="G132" s="27">
        <f t="shared" si="75"/>
        <v>40522.963503330007</v>
      </c>
      <c r="H132" s="27">
        <f t="shared" si="75"/>
        <v>48467.413568472854</v>
      </c>
      <c r="I132" s="28">
        <f t="shared" si="75"/>
        <v>54625.901991064275</v>
      </c>
      <c r="J132" s="27">
        <f t="shared" si="75"/>
        <v>59399.924024080799</v>
      </c>
      <c r="K132" s="27">
        <f t="shared" si="75"/>
        <v>63100.71629773701</v>
      </c>
      <c r="L132" s="27">
        <f t="shared" si="75"/>
        <v>65969.547517625761</v>
      </c>
      <c r="M132" s="27">
        <f t="shared" si="75"/>
        <v>68193.447688081738</v>
      </c>
      <c r="N132" s="27">
        <f t="shared" si="75"/>
        <v>69917.401308590765</v>
      </c>
    </row>
    <row r="133" spans="2:14" ht="15" customHeight="1" x14ac:dyDescent="0.45">
      <c r="B133" s="159"/>
      <c r="C133" s="157">
        <v>1000000</v>
      </c>
      <c r="D133" s="15" t="s">
        <v>19</v>
      </c>
      <c r="E133" s="29">
        <f t="shared" ref="E133:N133" si="76">E$53/10*$C133/(2+$E$11)</f>
        <v>42635.65891472868</v>
      </c>
      <c r="F133" s="29">
        <f t="shared" si="76"/>
        <v>33050.898383510605</v>
      </c>
      <c r="G133" s="29">
        <f t="shared" si="76"/>
        <v>25620.851460085738</v>
      </c>
      <c r="H133" s="29">
        <f t="shared" si="76"/>
        <v>19861.125162857163</v>
      </c>
      <c r="I133" s="29">
        <f t="shared" si="76"/>
        <v>15396.221056478422</v>
      </c>
      <c r="J133" s="29">
        <f t="shared" si="76"/>
        <v>11935.055082541414</v>
      </c>
      <c r="K133" s="29">
        <f t="shared" si="76"/>
        <v>9251.9806841406298</v>
      </c>
      <c r="L133" s="29">
        <f t="shared" si="76"/>
        <v>7172.0780497214191</v>
      </c>
      <c r="M133" s="29">
        <f t="shared" si="76"/>
        <v>5559.7504261406348</v>
      </c>
      <c r="N133" s="29">
        <f t="shared" si="76"/>
        <v>4309.8840512718107</v>
      </c>
    </row>
    <row r="134" spans="2:14" ht="15" customHeight="1" x14ac:dyDescent="0.45">
      <c r="B134" s="159"/>
      <c r="C134" s="157"/>
      <c r="D134" s="15" t="s">
        <v>22</v>
      </c>
      <c r="E134" s="29"/>
      <c r="F134" s="29"/>
      <c r="G134" s="29"/>
      <c r="H134" s="29"/>
      <c r="I134" s="30">
        <f>AVERAGE(E133:I133)</f>
        <v>27312.950995532126</v>
      </c>
      <c r="J134" s="29"/>
      <c r="K134" s="29"/>
      <c r="L134" s="29"/>
      <c r="M134" s="29"/>
      <c r="N134" s="29">
        <f>AVERAGE(E133:N133)</f>
        <v>17479.350327147658</v>
      </c>
    </row>
    <row r="135" spans="2:14" ht="15" customHeight="1" x14ac:dyDescent="0.45">
      <c r="B135" s="160"/>
      <c r="C135" s="157"/>
      <c r="D135" s="15" t="s">
        <v>41</v>
      </c>
      <c r="E135" s="29">
        <f t="shared" ref="E135:N135" si="77">E$54/10*$C133/(2+$E$11)</f>
        <v>42635.65891472868</v>
      </c>
      <c r="F135" s="29">
        <f t="shared" si="77"/>
        <v>75686.557298239277</v>
      </c>
      <c r="G135" s="29">
        <f t="shared" si="77"/>
        <v>101307.40875832502</v>
      </c>
      <c r="H135" s="29">
        <f t="shared" si="77"/>
        <v>121168.53392118211</v>
      </c>
      <c r="I135" s="30">
        <f t="shared" si="77"/>
        <v>136564.75497766069</v>
      </c>
      <c r="J135" s="29">
        <f t="shared" si="77"/>
        <v>148499.810060202</v>
      </c>
      <c r="K135" s="29">
        <f t="shared" si="77"/>
        <v>157751.79074434255</v>
      </c>
      <c r="L135" s="29">
        <f t="shared" si="77"/>
        <v>164923.86879406442</v>
      </c>
      <c r="M135" s="29">
        <f t="shared" si="77"/>
        <v>170483.61922020436</v>
      </c>
      <c r="N135" s="29">
        <f t="shared" si="77"/>
        <v>174793.50327147692</v>
      </c>
    </row>
    <row r="136" spans="2:14" ht="15" customHeight="1" x14ac:dyDescent="0.45">
      <c r="B136" s="3"/>
      <c r="C136" s="1"/>
      <c r="D136" s="40"/>
      <c r="E136" s="10"/>
      <c r="F136" s="10"/>
      <c r="G136" s="10"/>
      <c r="H136" s="10"/>
      <c r="I136" s="10"/>
      <c r="J136" s="10"/>
      <c r="K136" s="10"/>
      <c r="L136" s="10"/>
      <c r="M136" s="10"/>
      <c r="N136" s="10"/>
    </row>
  </sheetData>
  <mergeCells count="105">
    <mergeCell ref="B13:B14"/>
    <mergeCell ref="C13:C14"/>
    <mergeCell ref="D13:D14"/>
    <mergeCell ref="E13:E14"/>
    <mergeCell ref="F13:F14"/>
    <mergeCell ref="G13:G14"/>
    <mergeCell ref="H13:H14"/>
    <mergeCell ref="I13:I14"/>
    <mergeCell ref="J13:J14"/>
    <mergeCell ref="K13:K14"/>
    <mergeCell ref="L13:L14"/>
    <mergeCell ref="M13:M14"/>
    <mergeCell ref="N13:N14"/>
    <mergeCell ref="B64:B65"/>
    <mergeCell ref="C64:C65"/>
    <mergeCell ref="D64:D65"/>
    <mergeCell ref="E64:E65"/>
    <mergeCell ref="F64:F65"/>
    <mergeCell ref="D2:E3"/>
    <mergeCell ref="G2:I3"/>
    <mergeCell ref="K2:N2"/>
    <mergeCell ref="B2:C11"/>
    <mergeCell ref="B94:B108"/>
    <mergeCell ref="C94:C98"/>
    <mergeCell ref="C99:C103"/>
    <mergeCell ref="C104:C108"/>
    <mergeCell ref="B109:B123"/>
    <mergeCell ref="C109:C113"/>
    <mergeCell ref="C114:C118"/>
    <mergeCell ref="B15:B16"/>
    <mergeCell ref="C15:C16"/>
    <mergeCell ref="B25:B27"/>
    <mergeCell ref="C25:C27"/>
    <mergeCell ref="B17:B24"/>
    <mergeCell ref="C17:C24"/>
    <mergeCell ref="B28:B30"/>
    <mergeCell ref="C28:C30"/>
    <mergeCell ref="B32:B33"/>
    <mergeCell ref="C32:C33"/>
    <mergeCell ref="D32:D33"/>
    <mergeCell ref="E32:E33"/>
    <mergeCell ref="F32:F33"/>
    <mergeCell ref="G32:G33"/>
    <mergeCell ref="H32:H33"/>
    <mergeCell ref="I32:I33"/>
    <mergeCell ref="J32:J33"/>
    <mergeCell ref="K32:K33"/>
    <mergeCell ref="L32:L33"/>
    <mergeCell ref="M32:M33"/>
    <mergeCell ref="N32:N33"/>
    <mergeCell ref="B34:B46"/>
    <mergeCell ref="C34:C38"/>
    <mergeCell ref="C39:C41"/>
    <mergeCell ref="C42:C46"/>
    <mergeCell ref="B48:B49"/>
    <mergeCell ref="C48:C49"/>
    <mergeCell ref="D48:D49"/>
    <mergeCell ref="E48:E49"/>
    <mergeCell ref="F48:F49"/>
    <mergeCell ref="G48:G49"/>
    <mergeCell ref="H48:H49"/>
    <mergeCell ref="I48:I49"/>
    <mergeCell ref="J48:J49"/>
    <mergeCell ref="K48:K49"/>
    <mergeCell ref="L48:L49"/>
    <mergeCell ref="M48:M49"/>
    <mergeCell ref="N48:N49"/>
    <mergeCell ref="B50:B62"/>
    <mergeCell ref="C50:C54"/>
    <mergeCell ref="C55:C57"/>
    <mergeCell ref="C58:C62"/>
    <mergeCell ref="G64:G65"/>
    <mergeCell ref="H64:H65"/>
    <mergeCell ref="I64:I65"/>
    <mergeCell ref="J64:J65"/>
    <mergeCell ref="K64:K65"/>
    <mergeCell ref="L64:L65"/>
    <mergeCell ref="M64:M65"/>
    <mergeCell ref="N64:N65"/>
    <mergeCell ref="B66:B78"/>
    <mergeCell ref="C66:C70"/>
    <mergeCell ref="C71:C73"/>
    <mergeCell ref="C74:C78"/>
    <mergeCell ref="B79:B93"/>
    <mergeCell ref="C79:C83"/>
    <mergeCell ref="C84:C88"/>
    <mergeCell ref="C89:C93"/>
    <mergeCell ref="C119:C123"/>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B127:B135"/>
    <mergeCell ref="C127:C129"/>
    <mergeCell ref="C130:C132"/>
    <mergeCell ref="C133:C135"/>
  </mergeCells>
  <pageMargins left="0.7" right="0.7" top="0.75" bottom="0.75" header="0.3" footer="0.3"/>
  <pageSetup orientation="portrait" r:id="rId1"/>
  <headerFooter>
    <oddHeader>&amp;R&amp;"Aptos"&amp;12&amp;K000000 Unclassified / Non 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YIELD_CALCULATOR</vt:lpstr>
      <vt:lpstr>YIELD_BURNDOWN</vt:lpstr>
      <vt:lpstr>BTC_MORTGAGE</vt:lpstr>
      <vt:lpstr>DC2</vt:lpstr>
      <vt:lpstr>SUMMARY</vt:lpstr>
      <vt:lpstr>2X</vt:lpstr>
      <vt:lpstr>2.5X</vt:lpstr>
      <vt:lpstr>3X</vt:lpstr>
      <vt:lpstr>3.5X</vt:lpstr>
      <vt:lpstr>4X</vt:lpstr>
      <vt:lpstr>4.5X</vt:lpstr>
      <vt:lpstr>5X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Hutchinson</dc:creator>
  <cp:lastModifiedBy>Kyle Hutchinson</cp:lastModifiedBy>
  <dcterms:created xsi:type="dcterms:W3CDTF">2025-08-18T00:15:32Z</dcterms:created>
  <dcterms:modified xsi:type="dcterms:W3CDTF">2026-02-19T01:17:01Z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2026-02-03T00:56:37Z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e3638565-75f5-4e2d-aa95-893e63d50bb0</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ies>
</file>