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eb409204932c1c/Lightning Bank Case Study/"/>
    </mc:Choice>
  </mc:AlternateContent>
  <xr:revisionPtr revIDLastSave="2217" documentId="13_ncr:1_{EAA91975-2987-4A27-8581-E5ECB033CA79}" xr6:coauthVersionLast="47" xr6:coauthVersionMax="47" xr10:uidLastSave="{C6E08EE6-C07F-4C2B-A109-AA705F65B360}"/>
  <bookViews>
    <workbookView xWindow="-98" yWindow="-98" windowWidth="28996" windowHeight="15675" activeTab="1" xr2:uid="{10396A79-A4B2-467C-A467-ECE59C587EB2}"/>
  </bookViews>
  <sheets>
    <sheet name="SHARED_VARIABLES" sheetId="42" r:id="rId1"/>
    <sheet name="BORROWER_YIELD" sheetId="52" r:id="rId2"/>
    <sheet name="LSP_REVENUE" sheetId="49" r:id="rId3"/>
    <sheet name="LENDER_YIELD" sheetId="50" r:id="rId4"/>
    <sheet name="2X" sheetId="41" r:id="rId5"/>
    <sheet name="2.5X" sheetId="43" r:id="rId6"/>
    <sheet name="3X" sheetId="44" r:id="rId7"/>
    <sheet name="3.5X" sheetId="45" r:id="rId8"/>
    <sheet name="4X" sheetId="46" r:id="rId9"/>
    <sheet name="4.5X" sheetId="47" r:id="rId10"/>
    <sheet name="5X" sheetId="48" r:id="rId11"/>
    <sheet name="CUSTOM" sheetId="5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3" l="1"/>
  <c r="H8" i="52"/>
  <c r="L8" i="52"/>
  <c r="P8" i="52"/>
  <c r="P5" i="52"/>
  <c r="L5" i="52"/>
  <c r="H5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L26" i="51"/>
  <c r="G3" i="50"/>
  <c r="P8" i="49"/>
  <c r="L8" i="49"/>
  <c r="H8" i="49"/>
  <c r="P5" i="49"/>
  <c r="L5" i="49"/>
  <c r="H5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9" i="51" l="1"/>
  <c r="F9" i="51" s="1"/>
  <c r="F10" i="51" s="1"/>
  <c r="F31" i="51" l="1"/>
  <c r="F11" i="51"/>
  <c r="E10" i="51"/>
  <c r="E30" i="51"/>
  <c r="F30" i="51" s="1"/>
  <c r="G30" i="51" s="1"/>
  <c r="H30" i="51" s="1"/>
  <c r="I30" i="51" s="1"/>
  <c r="J30" i="51" s="1"/>
  <c r="K30" i="51" s="1"/>
  <c r="L30" i="51" s="1"/>
  <c r="M30" i="51" s="1"/>
  <c r="N30" i="51" s="1"/>
  <c r="G9" i="51"/>
  <c r="E11" i="51" l="1"/>
  <c r="E31" i="51"/>
  <c r="E16" i="51"/>
  <c r="F14" i="51"/>
  <c r="F12" i="51"/>
  <c r="F32" i="51"/>
  <c r="F17" i="51"/>
  <c r="F38" i="51" s="1"/>
  <c r="F13" i="51"/>
  <c r="F34" i="51" s="1"/>
  <c r="F18" i="51"/>
  <c r="F39" i="51" s="1"/>
  <c r="G10" i="51"/>
  <c r="H9" i="51"/>
  <c r="F16" i="51"/>
  <c r="G16" i="51" l="1"/>
  <c r="G11" i="51"/>
  <c r="G31" i="51"/>
  <c r="F33" i="51"/>
  <c r="F15" i="51"/>
  <c r="F36" i="51" s="1"/>
  <c r="E32" i="51"/>
  <c r="E13" i="51"/>
  <c r="E34" i="51" s="1"/>
  <c r="E14" i="51"/>
  <c r="E12" i="51"/>
  <c r="E18" i="51"/>
  <c r="E39" i="51" s="1"/>
  <c r="E17" i="51"/>
  <c r="E38" i="51" s="1"/>
  <c r="F37" i="51"/>
  <c r="F19" i="51"/>
  <c r="F35" i="51"/>
  <c r="F24" i="51"/>
  <c r="F22" i="51"/>
  <c r="F23" i="51"/>
  <c r="F21" i="51"/>
  <c r="H10" i="51"/>
  <c r="I9" i="51"/>
  <c r="E37" i="51"/>
  <c r="I10" i="51" l="1"/>
  <c r="J9" i="51"/>
  <c r="E23" i="51"/>
  <c r="E21" i="51"/>
  <c r="E35" i="51"/>
  <c r="E24" i="51"/>
  <c r="E22" i="51"/>
  <c r="H11" i="51"/>
  <c r="H31" i="51"/>
  <c r="H16" i="51"/>
  <c r="G32" i="51"/>
  <c r="G13" i="51"/>
  <c r="G34" i="51" s="1"/>
  <c r="G12" i="51"/>
  <c r="G14" i="51"/>
  <c r="G18" i="51"/>
  <c r="G39" i="51" s="1"/>
  <c r="G17" i="51"/>
  <c r="G38" i="51" s="1"/>
  <c r="E19" i="51"/>
  <c r="F20" i="51"/>
  <c r="F41" i="51" s="1"/>
  <c r="F40" i="51"/>
  <c r="E15" i="51"/>
  <c r="E36" i="51" s="1"/>
  <c r="E33" i="51"/>
  <c r="G37" i="51"/>
  <c r="G19" i="51" l="1"/>
  <c r="E40" i="51"/>
  <c r="E20" i="51"/>
  <c r="E41" i="51" s="1"/>
  <c r="H32" i="51"/>
  <c r="H12" i="51"/>
  <c r="H18" i="51"/>
  <c r="H39" i="51" s="1"/>
  <c r="H14" i="51"/>
  <c r="H17" i="51"/>
  <c r="H38" i="51" s="1"/>
  <c r="H13" i="51"/>
  <c r="H34" i="51" s="1"/>
  <c r="G24" i="51"/>
  <c r="G22" i="51"/>
  <c r="G35" i="51"/>
  <c r="G23" i="51"/>
  <c r="G21" i="51"/>
  <c r="H37" i="51"/>
  <c r="J10" i="51"/>
  <c r="K9" i="51"/>
  <c r="G15" i="51"/>
  <c r="G36" i="51" s="1"/>
  <c r="G33" i="51"/>
  <c r="I11" i="51"/>
  <c r="I31" i="51"/>
  <c r="I16" i="51"/>
  <c r="I32" i="51" l="1"/>
  <c r="I17" i="51"/>
  <c r="I38" i="51" s="1"/>
  <c r="I14" i="51"/>
  <c r="I12" i="51"/>
  <c r="I18" i="51"/>
  <c r="I39" i="51" s="1"/>
  <c r="I13" i="51"/>
  <c r="I34" i="51" s="1"/>
  <c r="G20" i="51"/>
  <c r="G41" i="51" s="1"/>
  <c r="G40" i="51"/>
  <c r="I37" i="51"/>
  <c r="H19" i="51"/>
  <c r="H23" i="51"/>
  <c r="H21" i="51"/>
  <c r="H24" i="51"/>
  <c r="H22" i="51"/>
  <c r="H35" i="51"/>
  <c r="J31" i="51"/>
  <c r="J16" i="51"/>
  <c r="J11" i="51"/>
  <c r="H15" i="51"/>
  <c r="H36" i="51" s="1"/>
  <c r="H33" i="51"/>
  <c r="K10" i="51"/>
  <c r="L9" i="51"/>
  <c r="I15" i="51" l="1"/>
  <c r="I36" i="51" s="1"/>
  <c r="I33" i="51"/>
  <c r="L10" i="51"/>
  <c r="M9" i="51"/>
  <c r="J14" i="51"/>
  <c r="J12" i="51"/>
  <c r="J32" i="51"/>
  <c r="J17" i="51"/>
  <c r="J38" i="51" s="1"/>
  <c r="J13" i="51"/>
  <c r="J34" i="51" s="1"/>
  <c r="J18" i="51"/>
  <c r="J39" i="51" s="1"/>
  <c r="H40" i="51"/>
  <c r="H20" i="51"/>
  <c r="H41" i="51" s="1"/>
  <c r="I23" i="51"/>
  <c r="I21" i="51"/>
  <c r="I35" i="51"/>
  <c r="I24" i="51"/>
  <c r="I22" i="51"/>
  <c r="K16" i="51"/>
  <c r="K31" i="51"/>
  <c r="K11" i="51"/>
  <c r="J37" i="51"/>
  <c r="I19" i="51"/>
  <c r="K32" i="51" l="1"/>
  <c r="K17" i="51"/>
  <c r="K38" i="51" s="1"/>
  <c r="K14" i="51"/>
  <c r="K12" i="51"/>
  <c r="K13" i="51"/>
  <c r="K34" i="51" s="1"/>
  <c r="K18" i="51"/>
  <c r="K39" i="51" s="1"/>
  <c r="M10" i="51"/>
  <c r="N9" i="51"/>
  <c r="N10" i="51" s="1"/>
  <c r="I20" i="51"/>
  <c r="I41" i="51" s="1"/>
  <c r="I40" i="51"/>
  <c r="L11" i="51"/>
  <c r="L31" i="51"/>
  <c r="L16" i="51"/>
  <c r="J19" i="51"/>
  <c r="K37" i="51"/>
  <c r="K19" i="51"/>
  <c r="J33" i="51"/>
  <c r="J15" i="51"/>
  <c r="J36" i="51" s="1"/>
  <c r="J35" i="51"/>
  <c r="J23" i="51"/>
  <c r="J24" i="51"/>
  <c r="J22" i="51"/>
  <c r="J21" i="51"/>
  <c r="L37" i="51" l="1"/>
  <c r="K40" i="51"/>
  <c r="K33" i="51"/>
  <c r="K15" i="51"/>
  <c r="K36" i="51" s="1"/>
  <c r="L32" i="51"/>
  <c r="L18" i="51"/>
  <c r="L39" i="51" s="1"/>
  <c r="L14" i="51"/>
  <c r="L12" i="51"/>
  <c r="L13" i="51"/>
  <c r="L34" i="51" s="1"/>
  <c r="L17" i="51"/>
  <c r="L38" i="51" s="1"/>
  <c r="M11" i="51"/>
  <c r="M31" i="51"/>
  <c r="M16" i="51"/>
  <c r="K24" i="51"/>
  <c r="K22" i="51"/>
  <c r="K23" i="51"/>
  <c r="K21" i="51"/>
  <c r="K35" i="51"/>
  <c r="N31" i="51"/>
  <c r="N16" i="51"/>
  <c r="N11" i="51"/>
  <c r="J20" i="51"/>
  <c r="J41" i="51" s="1"/>
  <c r="J40" i="51"/>
  <c r="N14" i="51" l="1"/>
  <c r="N12" i="51"/>
  <c r="N32" i="51"/>
  <c r="N17" i="51"/>
  <c r="N38" i="51" s="1"/>
  <c r="N13" i="51"/>
  <c r="N34" i="51" s="1"/>
  <c r="N18" i="51"/>
  <c r="N39" i="51" s="1"/>
  <c r="M37" i="51"/>
  <c r="K20" i="51"/>
  <c r="K41" i="51" s="1"/>
  <c r="N37" i="51"/>
  <c r="L15" i="51"/>
  <c r="L36" i="51" s="1"/>
  <c r="L33" i="51"/>
  <c r="M32" i="51"/>
  <c r="M17" i="51"/>
  <c r="M38" i="51" s="1"/>
  <c r="M13" i="51"/>
  <c r="M34" i="51" s="1"/>
  <c r="M14" i="51"/>
  <c r="M12" i="51"/>
  <c r="M18" i="51"/>
  <c r="M39" i="51" s="1"/>
  <c r="L24" i="51"/>
  <c r="L23" i="51"/>
  <c r="L21" i="51"/>
  <c r="L35" i="51"/>
  <c r="L22" i="51"/>
  <c r="L19" i="51"/>
  <c r="N19" i="51" l="1"/>
  <c r="M19" i="51"/>
  <c r="M15" i="51"/>
  <c r="M36" i="51" s="1"/>
  <c r="M33" i="51"/>
  <c r="N33" i="51"/>
  <c r="N15" i="51"/>
  <c r="N36" i="51" s="1"/>
  <c r="L40" i="51"/>
  <c r="L20" i="51"/>
  <c r="L41" i="51" s="1"/>
  <c r="M23" i="51"/>
  <c r="M21" i="51"/>
  <c r="M35" i="51"/>
  <c r="M24" i="51"/>
  <c r="M22" i="51"/>
  <c r="N35" i="51"/>
  <c r="N21" i="51"/>
  <c r="N24" i="51"/>
  <c r="N22" i="51"/>
  <c r="N23" i="51"/>
  <c r="M40" i="51" l="1"/>
  <c r="M20" i="51"/>
  <c r="M41" i="51" s="1"/>
  <c r="N20" i="51"/>
  <c r="N41" i="51" s="1"/>
  <c r="N40" i="51"/>
  <c r="N6" i="48" l="1"/>
  <c r="L26" i="48" s="1"/>
  <c r="K6" i="48"/>
  <c r="H6" i="48"/>
  <c r="E6" i="48"/>
  <c r="K3" i="48"/>
  <c r="H3" i="48"/>
  <c r="E3" i="48"/>
  <c r="N6" i="47"/>
  <c r="L26" i="47" s="1"/>
  <c r="K6" i="47"/>
  <c r="H6" i="47"/>
  <c r="E6" i="47"/>
  <c r="K3" i="47"/>
  <c r="H3" i="47"/>
  <c r="E3" i="47"/>
  <c r="E9" i="47" s="1"/>
  <c r="E10" i="47" s="1"/>
  <c r="N6" i="46"/>
  <c r="L26" i="46" s="1"/>
  <c r="K6" i="46"/>
  <c r="H6" i="46"/>
  <c r="E6" i="46"/>
  <c r="K3" i="46"/>
  <c r="H3" i="46"/>
  <c r="E3" i="46"/>
  <c r="N6" i="45"/>
  <c r="L26" i="45" s="1"/>
  <c r="K6" i="45"/>
  <c r="H6" i="45"/>
  <c r="E6" i="45"/>
  <c r="K3" i="45"/>
  <c r="H3" i="45"/>
  <c r="E3" i="45"/>
  <c r="N6" i="44"/>
  <c r="L26" i="44" s="1"/>
  <c r="K6" i="44"/>
  <c r="H6" i="44"/>
  <c r="E6" i="44"/>
  <c r="K3" i="44"/>
  <c r="H3" i="44"/>
  <c r="E3" i="44"/>
  <c r="N6" i="43"/>
  <c r="L26" i="43" s="1"/>
  <c r="K6" i="43"/>
  <c r="H6" i="43"/>
  <c r="E6" i="43"/>
  <c r="K3" i="43"/>
  <c r="H3" i="43"/>
  <c r="E3" i="43"/>
  <c r="N6" i="41"/>
  <c r="L26" i="41" s="1"/>
  <c r="K6" i="41"/>
  <c r="H6" i="41"/>
  <c r="E6" i="41"/>
  <c r="K3" i="41"/>
  <c r="H3" i="41"/>
  <c r="E3" i="41"/>
  <c r="E9" i="41" s="1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30" i="47" l="1"/>
  <c r="F30" i="47" s="1"/>
  <c r="G30" i="47" s="1"/>
  <c r="H30" i="47" s="1"/>
  <c r="I30" i="47" s="1"/>
  <c r="J30" i="47" s="1"/>
  <c r="K30" i="47" s="1"/>
  <c r="L30" i="47" s="1"/>
  <c r="M30" i="47" s="1"/>
  <c r="N30" i="47" s="1"/>
  <c r="E31" i="47"/>
  <c r="E16" i="47"/>
  <c r="E9" i="48"/>
  <c r="E11" i="47"/>
  <c r="E17" i="47" s="1"/>
  <c r="F9" i="47"/>
  <c r="E9" i="46"/>
  <c r="F9" i="46" s="1"/>
  <c r="E9" i="45"/>
  <c r="E9" i="44"/>
  <c r="E9" i="43"/>
  <c r="E30" i="41"/>
  <c r="F30" i="41" s="1"/>
  <c r="G30" i="41" s="1"/>
  <c r="H30" i="41" s="1"/>
  <c r="I30" i="41" s="1"/>
  <c r="J30" i="41" s="1"/>
  <c r="K30" i="41" s="1"/>
  <c r="L30" i="41" s="1"/>
  <c r="M30" i="41" s="1"/>
  <c r="N30" i="41" s="1"/>
  <c r="E10" i="41"/>
  <c r="F9" i="41"/>
  <c r="E37" i="47" l="1"/>
  <c r="E38" i="47"/>
  <c r="E30" i="48"/>
  <c r="F30" i="48" s="1"/>
  <c r="G30" i="48" s="1"/>
  <c r="H30" i="48" s="1"/>
  <c r="I30" i="48" s="1"/>
  <c r="J30" i="48" s="1"/>
  <c r="K30" i="48" s="1"/>
  <c r="L30" i="48" s="1"/>
  <c r="M30" i="48" s="1"/>
  <c r="N30" i="48" s="1"/>
  <c r="E10" i="48"/>
  <c r="E16" i="48" s="1"/>
  <c r="F9" i="48"/>
  <c r="F10" i="47"/>
  <c r="G9" i="47"/>
  <c r="E13" i="47"/>
  <c r="E34" i="47" s="1"/>
  <c r="E12" i="47"/>
  <c r="E32" i="47"/>
  <c r="E14" i="47"/>
  <c r="E18" i="47"/>
  <c r="G9" i="46"/>
  <c r="F10" i="46"/>
  <c r="E30" i="46"/>
  <c r="F30" i="46" s="1"/>
  <c r="G30" i="46" s="1"/>
  <c r="H30" i="46" s="1"/>
  <c r="I30" i="46" s="1"/>
  <c r="J30" i="46" s="1"/>
  <c r="K30" i="46" s="1"/>
  <c r="L30" i="46" s="1"/>
  <c r="M30" i="46" s="1"/>
  <c r="N30" i="46" s="1"/>
  <c r="E10" i="46"/>
  <c r="E30" i="45"/>
  <c r="F30" i="45" s="1"/>
  <c r="G30" i="45" s="1"/>
  <c r="H30" i="45" s="1"/>
  <c r="I30" i="45" s="1"/>
  <c r="J30" i="45" s="1"/>
  <c r="K30" i="45" s="1"/>
  <c r="L30" i="45" s="1"/>
  <c r="M30" i="45" s="1"/>
  <c r="N30" i="45" s="1"/>
  <c r="E10" i="45"/>
  <c r="F9" i="45"/>
  <c r="E30" i="44"/>
  <c r="F30" i="44" s="1"/>
  <c r="G30" i="44" s="1"/>
  <c r="H30" i="44" s="1"/>
  <c r="I30" i="44" s="1"/>
  <c r="J30" i="44" s="1"/>
  <c r="K30" i="44" s="1"/>
  <c r="L30" i="44" s="1"/>
  <c r="M30" i="44" s="1"/>
  <c r="N30" i="44" s="1"/>
  <c r="E10" i="44"/>
  <c r="F9" i="44"/>
  <c r="E10" i="43"/>
  <c r="E30" i="43"/>
  <c r="F30" i="43" s="1"/>
  <c r="G30" i="43" s="1"/>
  <c r="H30" i="43" s="1"/>
  <c r="I30" i="43" s="1"/>
  <c r="J30" i="43" s="1"/>
  <c r="K30" i="43" s="1"/>
  <c r="L30" i="43" s="1"/>
  <c r="M30" i="43" s="1"/>
  <c r="N30" i="43" s="1"/>
  <c r="F9" i="43"/>
  <c r="F10" i="41"/>
  <c r="G9" i="41"/>
  <c r="E11" i="41"/>
  <c r="E31" i="41"/>
  <c r="E16" i="41"/>
  <c r="E24" i="47" l="1"/>
  <c r="E35" i="47"/>
  <c r="E23" i="47"/>
  <c r="E33" i="47"/>
  <c r="E15" i="47"/>
  <c r="E36" i="47" s="1"/>
  <c r="E39" i="47"/>
  <c r="E19" i="47"/>
  <c r="E40" i="47" s="1"/>
  <c r="E22" i="47"/>
  <c r="E21" i="47"/>
  <c r="E31" i="48"/>
  <c r="E11" i="48"/>
  <c r="E14" i="48" s="1"/>
  <c r="G9" i="48"/>
  <c r="F10" i="48"/>
  <c r="H9" i="47"/>
  <c r="G10" i="47"/>
  <c r="F31" i="47"/>
  <c r="F16" i="47"/>
  <c r="F11" i="47"/>
  <c r="E31" i="46"/>
  <c r="E16" i="46"/>
  <c r="E11" i="46"/>
  <c r="F31" i="46"/>
  <c r="F16" i="46"/>
  <c r="F11" i="46"/>
  <c r="G10" i="46"/>
  <c r="H9" i="46"/>
  <c r="G9" i="45"/>
  <c r="F10" i="45"/>
  <c r="E31" i="45"/>
  <c r="E16" i="45"/>
  <c r="E11" i="45"/>
  <c r="E31" i="44"/>
  <c r="E16" i="44"/>
  <c r="E11" i="44"/>
  <c r="F10" i="44"/>
  <c r="G9" i="44"/>
  <c r="E31" i="43"/>
  <c r="E16" i="43"/>
  <c r="E11" i="43"/>
  <c r="G9" i="43"/>
  <c r="F10" i="43"/>
  <c r="E32" i="41"/>
  <c r="E17" i="41"/>
  <c r="E14" i="41"/>
  <c r="E12" i="41"/>
  <c r="E33" i="41" s="1"/>
  <c r="E18" i="41"/>
  <c r="E13" i="41"/>
  <c r="E34" i="41" s="1"/>
  <c r="H9" i="41"/>
  <c r="G10" i="41"/>
  <c r="E37" i="41"/>
  <c r="F16" i="41"/>
  <c r="F31" i="41"/>
  <c r="F11" i="41"/>
  <c r="E23" i="41" l="1"/>
  <c r="E37" i="45"/>
  <c r="E23" i="48"/>
  <c r="E24" i="48"/>
  <c r="E19" i="41"/>
  <c r="E40" i="41" s="1"/>
  <c r="E20" i="47"/>
  <c r="E21" i="41"/>
  <c r="E15" i="41"/>
  <c r="E36" i="41" s="1"/>
  <c r="E22" i="48"/>
  <c r="E21" i="48"/>
  <c r="E35" i="48"/>
  <c r="E39" i="41"/>
  <c r="E38" i="41"/>
  <c r="G10" i="48"/>
  <c r="H9" i="48"/>
  <c r="E32" i="48"/>
  <c r="E12" i="48"/>
  <c r="E18" i="48"/>
  <c r="E17" i="48"/>
  <c r="E13" i="48"/>
  <c r="E34" i="48" s="1"/>
  <c r="E37" i="48"/>
  <c r="F31" i="48"/>
  <c r="F16" i="48"/>
  <c r="F11" i="48"/>
  <c r="F37" i="47"/>
  <c r="G11" i="47"/>
  <c r="G16" i="47"/>
  <c r="G31" i="47"/>
  <c r="F12" i="47"/>
  <c r="F32" i="47"/>
  <c r="F17" i="47"/>
  <c r="F18" i="47"/>
  <c r="F13" i="47"/>
  <c r="F34" i="47" s="1"/>
  <c r="F14" i="47"/>
  <c r="H10" i="47"/>
  <c r="I9" i="47"/>
  <c r="F32" i="46"/>
  <c r="F12" i="46"/>
  <c r="F17" i="46"/>
  <c r="F38" i="46" s="1"/>
  <c r="F13" i="46"/>
  <c r="F34" i="46" s="1"/>
  <c r="F14" i="46"/>
  <c r="F18" i="46"/>
  <c r="F39" i="46" s="1"/>
  <c r="E37" i="46"/>
  <c r="F37" i="46"/>
  <c r="H10" i="46"/>
  <c r="I9" i="46"/>
  <c r="G11" i="46"/>
  <c r="G31" i="46"/>
  <c r="G16" i="46"/>
  <c r="E32" i="46"/>
  <c r="E12" i="46"/>
  <c r="E14" i="46"/>
  <c r="E17" i="46"/>
  <c r="E18" i="46"/>
  <c r="E13" i="46"/>
  <c r="F31" i="45"/>
  <c r="F16" i="45"/>
  <c r="F37" i="45" s="1"/>
  <c r="F11" i="45"/>
  <c r="E32" i="45"/>
  <c r="E12" i="45"/>
  <c r="E14" i="45"/>
  <c r="E17" i="45"/>
  <c r="E18" i="45"/>
  <c r="E13" i="45"/>
  <c r="E34" i="45" s="1"/>
  <c r="G10" i="45"/>
  <c r="H9" i="45"/>
  <c r="F31" i="44"/>
  <c r="F16" i="44"/>
  <c r="F11" i="44"/>
  <c r="E32" i="44"/>
  <c r="E12" i="44"/>
  <c r="E17" i="44"/>
  <c r="E18" i="44"/>
  <c r="E14" i="44"/>
  <c r="E13" i="44"/>
  <c r="E34" i="44" s="1"/>
  <c r="E37" i="44"/>
  <c r="G10" i="44"/>
  <c r="H9" i="44"/>
  <c r="E37" i="43"/>
  <c r="F31" i="43"/>
  <c r="F16" i="43"/>
  <c r="F11" i="43"/>
  <c r="G10" i="43"/>
  <c r="H9" i="43"/>
  <c r="E32" i="43"/>
  <c r="E12" i="43"/>
  <c r="E14" i="43"/>
  <c r="E17" i="43"/>
  <c r="E18" i="43"/>
  <c r="E13" i="43"/>
  <c r="F32" i="41"/>
  <c r="F17" i="41"/>
  <c r="F38" i="41" s="1"/>
  <c r="F14" i="41"/>
  <c r="F12" i="41"/>
  <c r="F33" i="41" s="1"/>
  <c r="F13" i="41"/>
  <c r="F34" i="41" s="1"/>
  <c r="F18" i="41"/>
  <c r="F39" i="41" s="1"/>
  <c r="G31" i="41"/>
  <c r="G16" i="41"/>
  <c r="G11" i="41"/>
  <c r="F37" i="41"/>
  <c r="I9" i="41"/>
  <c r="H10" i="41"/>
  <c r="E22" i="41"/>
  <c r="E24" i="41"/>
  <c r="E35" i="41"/>
  <c r="E41" i="47" l="1"/>
  <c r="F35" i="41"/>
  <c r="F23" i="41"/>
  <c r="F35" i="47"/>
  <c r="F24" i="47"/>
  <c r="F23" i="47"/>
  <c r="E24" i="46"/>
  <c r="E35" i="46"/>
  <c r="E23" i="46"/>
  <c r="F35" i="46"/>
  <c r="F24" i="46"/>
  <c r="F23" i="46"/>
  <c r="E21" i="45"/>
  <c r="E24" i="45"/>
  <c r="E35" i="45"/>
  <c r="E23" i="45"/>
  <c r="E35" i="44"/>
  <c r="E23" i="44"/>
  <c r="E24" i="44"/>
  <c r="E24" i="43"/>
  <c r="E23" i="43"/>
  <c r="E34" i="43"/>
  <c r="E35" i="43"/>
  <c r="E20" i="41"/>
  <c r="F15" i="41"/>
  <c r="F36" i="41" s="1"/>
  <c r="E33" i="48"/>
  <c r="E15" i="48"/>
  <c r="E36" i="48" s="1"/>
  <c r="F33" i="47"/>
  <c r="F15" i="47"/>
  <c r="F36" i="47" s="1"/>
  <c r="E33" i="46"/>
  <c r="E15" i="46"/>
  <c r="E36" i="46" s="1"/>
  <c r="F33" i="46"/>
  <c r="F15" i="46"/>
  <c r="F36" i="46" s="1"/>
  <c r="E33" i="45"/>
  <c r="E15" i="45"/>
  <c r="E36" i="45" s="1"/>
  <c r="E33" i="44"/>
  <c r="E15" i="44"/>
  <c r="E36" i="44" s="1"/>
  <c r="E33" i="43"/>
  <c r="E15" i="43"/>
  <c r="E36" i="43" s="1"/>
  <c r="E19" i="44"/>
  <c r="E40" i="44" s="1"/>
  <c r="E19" i="46"/>
  <c r="E40" i="46" s="1"/>
  <c r="F19" i="41"/>
  <c r="F40" i="41" s="1"/>
  <c r="E38" i="48"/>
  <c r="E19" i="48"/>
  <c r="E40" i="48" s="1"/>
  <c r="E39" i="48"/>
  <c r="F21" i="47"/>
  <c r="F22" i="47"/>
  <c r="F39" i="47"/>
  <c r="F38" i="47"/>
  <c r="F19" i="47"/>
  <c r="F40" i="47" s="1"/>
  <c r="E34" i="46"/>
  <c r="E21" i="46"/>
  <c r="E39" i="46"/>
  <c r="F19" i="46"/>
  <c r="F40" i="46" s="1"/>
  <c r="E38" i="46"/>
  <c r="E39" i="45"/>
  <c r="E19" i="45"/>
  <c r="E40" i="45" s="1"/>
  <c r="E38" i="45"/>
  <c r="E38" i="44"/>
  <c r="E39" i="44"/>
  <c r="E39" i="43"/>
  <c r="E38" i="43"/>
  <c r="E19" i="43"/>
  <c r="E40" i="43" s="1"/>
  <c r="E41" i="41"/>
  <c r="H10" i="48"/>
  <c r="I9" i="48"/>
  <c r="F37" i="48"/>
  <c r="F32" i="48"/>
  <c r="F14" i="48"/>
  <c r="F13" i="48"/>
  <c r="F34" i="48" s="1"/>
  <c r="F18" i="48"/>
  <c r="F39" i="48" s="1"/>
  <c r="F12" i="48"/>
  <c r="F17" i="48"/>
  <c r="F38" i="48" s="1"/>
  <c r="G11" i="48"/>
  <c r="G31" i="48"/>
  <c r="G16" i="48"/>
  <c r="H16" i="47"/>
  <c r="H31" i="47"/>
  <c r="H11" i="47"/>
  <c r="G37" i="47"/>
  <c r="G32" i="47"/>
  <c r="G18" i="47"/>
  <c r="G39" i="47" s="1"/>
  <c r="G13" i="47"/>
  <c r="G34" i="47" s="1"/>
  <c r="G17" i="47"/>
  <c r="G38" i="47" s="1"/>
  <c r="G12" i="47"/>
  <c r="G14" i="47"/>
  <c r="I10" i="47"/>
  <c r="J9" i="47"/>
  <c r="G37" i="46"/>
  <c r="H31" i="46"/>
  <c r="H16" i="46"/>
  <c r="H11" i="46"/>
  <c r="E22" i="46"/>
  <c r="I10" i="46"/>
  <c r="J9" i="46"/>
  <c r="G32" i="46"/>
  <c r="G13" i="46"/>
  <c r="G34" i="46" s="1"/>
  <c r="G18" i="46"/>
  <c r="G39" i="46" s="1"/>
  <c r="G17" i="46"/>
  <c r="G38" i="46" s="1"/>
  <c r="G12" i="46"/>
  <c r="G14" i="46"/>
  <c r="F21" i="46"/>
  <c r="F22" i="46"/>
  <c r="H10" i="45"/>
  <c r="I9" i="45"/>
  <c r="G16" i="45"/>
  <c r="G37" i="45" s="1"/>
  <c r="G11" i="45"/>
  <c r="G31" i="45"/>
  <c r="E22" i="45"/>
  <c r="F32" i="45"/>
  <c r="F14" i="45"/>
  <c r="F13" i="45"/>
  <c r="F34" i="45" s="1"/>
  <c r="F18" i="45"/>
  <c r="F39" i="45" s="1"/>
  <c r="F12" i="45"/>
  <c r="F17" i="45"/>
  <c r="F38" i="45" s="1"/>
  <c r="G16" i="44"/>
  <c r="G11" i="44"/>
  <c r="G31" i="44"/>
  <c r="E21" i="44"/>
  <c r="E22" i="44"/>
  <c r="F32" i="44"/>
  <c r="F14" i="44"/>
  <c r="F13" i="44"/>
  <c r="F34" i="44" s="1"/>
  <c r="F12" i="44"/>
  <c r="F17" i="44"/>
  <c r="F38" i="44" s="1"/>
  <c r="F18" i="44"/>
  <c r="F39" i="44" s="1"/>
  <c r="F37" i="44"/>
  <c r="H10" i="44"/>
  <c r="I9" i="44"/>
  <c r="F37" i="43"/>
  <c r="H10" i="43"/>
  <c r="I9" i="43"/>
  <c r="E21" i="43"/>
  <c r="E22" i="43"/>
  <c r="G31" i="43"/>
  <c r="G11" i="43"/>
  <c r="G16" i="43"/>
  <c r="F32" i="43"/>
  <c r="F12" i="43"/>
  <c r="F17" i="43"/>
  <c r="F38" i="43" s="1"/>
  <c r="F14" i="43"/>
  <c r="F18" i="43"/>
  <c r="F39" i="43" s="1"/>
  <c r="H31" i="41"/>
  <c r="H16" i="41"/>
  <c r="H11" i="41"/>
  <c r="G18" i="41"/>
  <c r="G13" i="41"/>
  <c r="G34" i="41" s="1"/>
  <c r="G12" i="41"/>
  <c r="G33" i="41" s="1"/>
  <c r="G32" i="41"/>
  <c r="G17" i="41"/>
  <c r="G14" i="41"/>
  <c r="I10" i="41"/>
  <c r="J9" i="41"/>
  <c r="G37" i="41"/>
  <c r="F22" i="41"/>
  <c r="F24" i="41"/>
  <c r="F21" i="41"/>
  <c r="G38" i="41" l="1"/>
  <c r="P14" i="52"/>
  <c r="G35" i="41"/>
  <c r="G23" i="41"/>
  <c r="F24" i="48"/>
  <c r="F23" i="48"/>
  <c r="G23" i="47"/>
  <c r="G24" i="47"/>
  <c r="G35" i="47"/>
  <c r="G35" i="46"/>
  <c r="G23" i="46"/>
  <c r="G24" i="46"/>
  <c r="F24" i="45"/>
  <c r="F23" i="45"/>
  <c r="F35" i="45"/>
  <c r="F24" i="44"/>
  <c r="F23" i="44"/>
  <c r="F35" i="44"/>
  <c r="F24" i="43"/>
  <c r="F23" i="43"/>
  <c r="F34" i="43"/>
  <c r="F35" i="43"/>
  <c r="G15" i="41"/>
  <c r="G36" i="41" s="1"/>
  <c r="E20" i="46"/>
  <c r="E20" i="43"/>
  <c r="E20" i="48"/>
  <c r="E20" i="45"/>
  <c r="E20" i="44"/>
  <c r="F20" i="46"/>
  <c r="F41" i="46" s="1"/>
  <c r="F20" i="47"/>
  <c r="F20" i="41"/>
  <c r="F41" i="41" s="1"/>
  <c r="F33" i="48"/>
  <c r="F15" i="48"/>
  <c r="F36" i="48" s="1"/>
  <c r="G33" i="47"/>
  <c r="G15" i="47"/>
  <c r="G36" i="47" s="1"/>
  <c r="G33" i="46"/>
  <c r="G15" i="46"/>
  <c r="G36" i="46" s="1"/>
  <c r="F33" i="45"/>
  <c r="F15" i="45"/>
  <c r="F36" i="45" s="1"/>
  <c r="F33" i="44"/>
  <c r="F15" i="44"/>
  <c r="F36" i="44" s="1"/>
  <c r="F33" i="43"/>
  <c r="F15" i="43"/>
  <c r="F36" i="43" s="1"/>
  <c r="G19" i="41"/>
  <c r="G40" i="41" s="1"/>
  <c r="F22" i="48"/>
  <c r="F21" i="48"/>
  <c r="F19" i="48"/>
  <c r="F40" i="48" s="1"/>
  <c r="G19" i="47"/>
  <c r="G40" i="47" s="1"/>
  <c r="G21" i="47"/>
  <c r="G22" i="47"/>
  <c r="G19" i="46"/>
  <c r="G40" i="46" s="1"/>
  <c r="F19" i="45"/>
  <c r="F40" i="45" s="1"/>
  <c r="F19" i="44"/>
  <c r="F40" i="44" s="1"/>
  <c r="F19" i="43"/>
  <c r="F40" i="43" s="1"/>
  <c r="G39" i="41"/>
  <c r="G18" i="48"/>
  <c r="G32" i="48"/>
  <c r="G13" i="48"/>
  <c r="G34" i="48" s="1"/>
  <c r="G14" i="48"/>
  <c r="G17" i="48"/>
  <c r="G38" i="48" s="1"/>
  <c r="G12" i="48"/>
  <c r="F35" i="48"/>
  <c r="I10" i="48"/>
  <c r="J9" i="48"/>
  <c r="G37" i="48"/>
  <c r="H31" i="48"/>
  <c r="H16" i="48"/>
  <c r="H11" i="48"/>
  <c r="I31" i="47"/>
  <c r="I16" i="47"/>
  <c r="I11" i="47"/>
  <c r="H32" i="47"/>
  <c r="H18" i="47"/>
  <c r="H12" i="47"/>
  <c r="H14" i="47"/>
  <c r="H17" i="47"/>
  <c r="H13" i="47"/>
  <c r="H34" i="47" s="1"/>
  <c r="K9" i="47"/>
  <c r="J10" i="47"/>
  <c r="H37" i="47"/>
  <c r="H37" i="46"/>
  <c r="G22" i="46"/>
  <c r="G21" i="46"/>
  <c r="I31" i="46"/>
  <c r="I16" i="46"/>
  <c r="N14" i="52" s="1"/>
  <c r="I11" i="46"/>
  <c r="J10" i="46"/>
  <c r="K9" i="46"/>
  <c r="H32" i="46"/>
  <c r="H14" i="46"/>
  <c r="H13" i="46"/>
  <c r="H34" i="46" s="1"/>
  <c r="H18" i="46"/>
  <c r="H12" i="46"/>
  <c r="H17" i="46"/>
  <c r="H38" i="46" s="1"/>
  <c r="I10" i="45"/>
  <c r="J9" i="45"/>
  <c r="H31" i="45"/>
  <c r="H16" i="45"/>
  <c r="H11" i="45"/>
  <c r="F21" i="45"/>
  <c r="F22" i="45"/>
  <c r="G32" i="45"/>
  <c r="G13" i="45"/>
  <c r="G34" i="45" s="1"/>
  <c r="G18" i="45"/>
  <c r="G17" i="45"/>
  <c r="G38" i="45" s="1"/>
  <c r="G12" i="45"/>
  <c r="G14" i="45"/>
  <c r="H31" i="44"/>
  <c r="H16" i="44"/>
  <c r="H11" i="44"/>
  <c r="G32" i="44"/>
  <c r="G13" i="44"/>
  <c r="G34" i="44" s="1"/>
  <c r="G18" i="44"/>
  <c r="G12" i="44"/>
  <c r="G14" i="44"/>
  <c r="G17" i="44"/>
  <c r="I10" i="44"/>
  <c r="J9" i="44"/>
  <c r="F21" i="44"/>
  <c r="F22" i="44"/>
  <c r="G37" i="44"/>
  <c r="F21" i="43"/>
  <c r="F22" i="43"/>
  <c r="I10" i="43"/>
  <c r="J9" i="43"/>
  <c r="G37" i="43"/>
  <c r="H31" i="43"/>
  <c r="H16" i="43"/>
  <c r="H11" i="43"/>
  <c r="G13" i="43"/>
  <c r="G32" i="43"/>
  <c r="G18" i="43"/>
  <c r="G12" i="43"/>
  <c r="G14" i="43"/>
  <c r="G17" i="43"/>
  <c r="G38" i="43" s="1"/>
  <c r="G24" i="41"/>
  <c r="G21" i="41"/>
  <c r="G22" i="41"/>
  <c r="J10" i="41"/>
  <c r="K9" i="41"/>
  <c r="H18" i="41"/>
  <c r="H13" i="41"/>
  <c r="H34" i="41" s="1"/>
  <c r="H32" i="41"/>
  <c r="H14" i="41"/>
  <c r="H23" i="41" s="1"/>
  <c r="H17" i="41"/>
  <c r="H19" i="41" s="1"/>
  <c r="H40" i="41" s="1"/>
  <c r="H12" i="41"/>
  <c r="H33" i="41" s="1"/>
  <c r="I31" i="41"/>
  <c r="I16" i="41"/>
  <c r="F14" i="52" s="1"/>
  <c r="I11" i="41"/>
  <c r="H37" i="41"/>
  <c r="E41" i="44" l="1"/>
  <c r="H37" i="45"/>
  <c r="E41" i="46"/>
  <c r="E41" i="45"/>
  <c r="H39" i="41"/>
  <c r="H39" i="47"/>
  <c r="F41" i="47"/>
  <c r="E41" i="48"/>
  <c r="G39" i="43"/>
  <c r="G39" i="48"/>
  <c r="E41" i="43"/>
  <c r="G23" i="48"/>
  <c r="G24" i="48"/>
  <c r="H23" i="47"/>
  <c r="H35" i="47"/>
  <c r="H24" i="47"/>
  <c r="H35" i="46"/>
  <c r="H24" i="46"/>
  <c r="H23" i="46"/>
  <c r="G23" i="45"/>
  <c r="G24" i="45"/>
  <c r="G35" i="45"/>
  <c r="G23" i="44"/>
  <c r="G35" i="44"/>
  <c r="G24" i="44"/>
  <c r="G24" i="43"/>
  <c r="G23" i="43"/>
  <c r="G34" i="43"/>
  <c r="G35" i="43"/>
  <c r="H35" i="41"/>
  <c r="G20" i="47"/>
  <c r="G41" i="47" s="1"/>
  <c r="H15" i="41"/>
  <c r="F20" i="44"/>
  <c r="F41" i="44" s="1"/>
  <c r="G20" i="46"/>
  <c r="G41" i="46" s="1"/>
  <c r="F20" i="48"/>
  <c r="F41" i="48" s="1"/>
  <c r="F20" i="43"/>
  <c r="F41" i="43" s="1"/>
  <c r="F20" i="45"/>
  <c r="F41" i="45" s="1"/>
  <c r="G20" i="41"/>
  <c r="G41" i="41" s="1"/>
  <c r="G33" i="48"/>
  <c r="G15" i="48"/>
  <c r="G36" i="48" s="1"/>
  <c r="G19" i="48"/>
  <c r="G40" i="48" s="1"/>
  <c r="H33" i="47"/>
  <c r="H15" i="47"/>
  <c r="H36" i="47" s="1"/>
  <c r="H33" i="46"/>
  <c r="H15" i="46"/>
  <c r="H36" i="46" s="1"/>
  <c r="G33" i="45"/>
  <c r="G15" i="45"/>
  <c r="G36" i="45" s="1"/>
  <c r="G33" i="44"/>
  <c r="G15" i="44"/>
  <c r="G36" i="44" s="1"/>
  <c r="G33" i="43"/>
  <c r="G15" i="43"/>
  <c r="G36" i="43" s="1"/>
  <c r="G19" i="44"/>
  <c r="G40" i="44" s="1"/>
  <c r="G21" i="48"/>
  <c r="G22" i="48"/>
  <c r="H21" i="47"/>
  <c r="H22" i="47"/>
  <c r="H38" i="47"/>
  <c r="H19" i="47"/>
  <c r="H40" i="47" s="1"/>
  <c r="H39" i="46"/>
  <c r="H19" i="46"/>
  <c r="H40" i="46" s="1"/>
  <c r="G39" i="45"/>
  <c r="G19" i="45"/>
  <c r="G40" i="45" s="1"/>
  <c r="G39" i="44"/>
  <c r="G38" i="44"/>
  <c r="G19" i="43"/>
  <c r="G40" i="43" s="1"/>
  <c r="H38" i="41"/>
  <c r="H37" i="48"/>
  <c r="J10" i="48"/>
  <c r="K9" i="48"/>
  <c r="G35" i="48"/>
  <c r="I31" i="48"/>
  <c r="I16" i="48"/>
  <c r="R14" i="52" s="1"/>
  <c r="I11" i="48"/>
  <c r="H32" i="48"/>
  <c r="H14" i="48"/>
  <c r="H13" i="48"/>
  <c r="H34" i="48" s="1"/>
  <c r="H18" i="48"/>
  <c r="H12" i="48"/>
  <c r="H17" i="48"/>
  <c r="H38" i="48" s="1"/>
  <c r="J31" i="47"/>
  <c r="J16" i="47"/>
  <c r="J11" i="47"/>
  <c r="I32" i="47"/>
  <c r="I13" i="47"/>
  <c r="I34" i="47" s="1"/>
  <c r="I12" i="47"/>
  <c r="I17" i="47"/>
  <c r="I14" i="47"/>
  <c r="I18" i="47"/>
  <c r="I39" i="47" s="1"/>
  <c r="K10" i="47"/>
  <c r="L9" i="47"/>
  <c r="I37" i="47"/>
  <c r="K10" i="46"/>
  <c r="L9" i="46"/>
  <c r="J31" i="46"/>
  <c r="J16" i="46"/>
  <c r="J11" i="46"/>
  <c r="H22" i="46"/>
  <c r="H21" i="46"/>
  <c r="I32" i="46"/>
  <c r="I12" i="46"/>
  <c r="I14" i="46"/>
  <c r="I13" i="46"/>
  <c r="I34" i="46" s="1"/>
  <c r="I17" i="46"/>
  <c r="I18" i="46"/>
  <c r="I39" i="46" s="1"/>
  <c r="I37" i="46"/>
  <c r="G22" i="45"/>
  <c r="G21" i="45"/>
  <c r="J10" i="45"/>
  <c r="K9" i="45"/>
  <c r="H32" i="45"/>
  <c r="H13" i="45"/>
  <c r="H34" i="45" s="1"/>
  <c r="H18" i="45"/>
  <c r="H39" i="45" s="1"/>
  <c r="H14" i="45"/>
  <c r="H12" i="45"/>
  <c r="H17" i="45"/>
  <c r="H38" i="45" s="1"/>
  <c r="I31" i="45"/>
  <c r="I16" i="45"/>
  <c r="I37" i="45" s="1"/>
  <c r="I11" i="45"/>
  <c r="G22" i="44"/>
  <c r="G21" i="44"/>
  <c r="K9" i="44"/>
  <c r="J10" i="44"/>
  <c r="I31" i="44"/>
  <c r="I16" i="44"/>
  <c r="J14" i="52" s="1"/>
  <c r="I11" i="44"/>
  <c r="H32" i="44"/>
  <c r="H14" i="44"/>
  <c r="H12" i="44"/>
  <c r="H17" i="44"/>
  <c r="H13" i="44"/>
  <c r="H34" i="44" s="1"/>
  <c r="H18" i="44"/>
  <c r="H39" i="44" s="1"/>
  <c r="H37" i="44"/>
  <c r="G21" i="43"/>
  <c r="G22" i="43"/>
  <c r="H32" i="43"/>
  <c r="H14" i="43"/>
  <c r="H13" i="43"/>
  <c r="H18" i="43"/>
  <c r="H39" i="43" s="1"/>
  <c r="H12" i="43"/>
  <c r="H17" i="43"/>
  <c r="H38" i="43" s="1"/>
  <c r="H37" i="43"/>
  <c r="J10" i="43"/>
  <c r="K9" i="43"/>
  <c r="I31" i="43"/>
  <c r="I16" i="43"/>
  <c r="H14" i="52" s="1"/>
  <c r="I11" i="43"/>
  <c r="I32" i="41"/>
  <c r="I17" i="41"/>
  <c r="I38" i="41" s="1"/>
  <c r="I14" i="41"/>
  <c r="I23" i="41" s="1"/>
  <c r="I12" i="41"/>
  <c r="I33" i="41" s="1"/>
  <c r="I13" i="41"/>
  <c r="I34" i="41" s="1"/>
  <c r="I18" i="41"/>
  <c r="I39" i="41" s="1"/>
  <c r="I37" i="41"/>
  <c r="H24" i="41"/>
  <c r="H21" i="41"/>
  <c r="H22" i="41"/>
  <c r="L9" i="41"/>
  <c r="K10" i="41"/>
  <c r="J31" i="41"/>
  <c r="J16" i="41"/>
  <c r="J11" i="41"/>
  <c r="H38" i="44" l="1"/>
  <c r="F17" i="49"/>
  <c r="P16" i="52"/>
  <c r="F16" i="52"/>
  <c r="P14" i="49"/>
  <c r="L14" i="52"/>
  <c r="F15" i="52"/>
  <c r="F17" i="52" s="1"/>
  <c r="P15" i="52"/>
  <c r="I38" i="46"/>
  <c r="N15" i="52"/>
  <c r="N17" i="52" s="1"/>
  <c r="N16" i="52"/>
  <c r="H24" i="48"/>
  <c r="H23" i="48"/>
  <c r="I24" i="47"/>
  <c r="I35" i="47"/>
  <c r="I23" i="47"/>
  <c r="P17" i="49" s="1"/>
  <c r="I24" i="46"/>
  <c r="I35" i="46"/>
  <c r="I23" i="46"/>
  <c r="N14" i="49"/>
  <c r="H23" i="45"/>
  <c r="H35" i="45"/>
  <c r="H24" i="45"/>
  <c r="H24" i="44"/>
  <c r="H23" i="44"/>
  <c r="H35" i="44"/>
  <c r="H24" i="43"/>
  <c r="H23" i="43"/>
  <c r="H34" i="43"/>
  <c r="H35" i="43"/>
  <c r="H20" i="41"/>
  <c r="H41" i="41" s="1"/>
  <c r="H36" i="41"/>
  <c r="I35" i="41"/>
  <c r="F14" i="49"/>
  <c r="I15" i="41"/>
  <c r="I36" i="41" s="1"/>
  <c r="H20" i="46"/>
  <c r="I19" i="41"/>
  <c r="I40" i="41" s="1"/>
  <c r="G20" i="44"/>
  <c r="G20" i="48"/>
  <c r="G41" i="48" s="1"/>
  <c r="G20" i="43"/>
  <c r="G41" i="43" s="1"/>
  <c r="G20" i="45"/>
  <c r="G41" i="45" s="1"/>
  <c r="H20" i="47"/>
  <c r="H33" i="48"/>
  <c r="H15" i="48"/>
  <c r="H36" i="48" s="1"/>
  <c r="I33" i="47"/>
  <c r="I15" i="47"/>
  <c r="I36" i="47" s="1"/>
  <c r="I33" i="46"/>
  <c r="I15" i="46"/>
  <c r="I36" i="46" s="1"/>
  <c r="H33" i="45"/>
  <c r="H15" i="45"/>
  <c r="H36" i="45" s="1"/>
  <c r="H33" i="44"/>
  <c r="H15" i="44"/>
  <c r="H36" i="44" s="1"/>
  <c r="H33" i="43"/>
  <c r="H15" i="43"/>
  <c r="H36" i="43" s="1"/>
  <c r="H19" i="48"/>
  <c r="H40" i="48" s="1"/>
  <c r="H21" i="48"/>
  <c r="H22" i="48"/>
  <c r="H39" i="48"/>
  <c r="I38" i="47"/>
  <c r="I19" i="47"/>
  <c r="I40" i="47" s="1"/>
  <c r="I22" i="47"/>
  <c r="P16" i="49" s="1"/>
  <c r="I21" i="47"/>
  <c r="I19" i="46"/>
  <c r="I40" i="46" s="1"/>
  <c r="H41" i="46"/>
  <c r="H19" i="45"/>
  <c r="H40" i="45" s="1"/>
  <c r="H19" i="44"/>
  <c r="H40" i="44" s="1"/>
  <c r="G41" i="44"/>
  <c r="H19" i="43"/>
  <c r="H40" i="43" s="1"/>
  <c r="I37" i="48"/>
  <c r="K10" i="48"/>
  <c r="L9" i="48"/>
  <c r="I12" i="48"/>
  <c r="I32" i="48"/>
  <c r="I14" i="48"/>
  <c r="I13" i="48"/>
  <c r="I34" i="48" s="1"/>
  <c r="I17" i="48"/>
  <c r="R15" i="52" s="1"/>
  <c r="I18" i="48"/>
  <c r="I39" i="48" s="1"/>
  <c r="J31" i="48"/>
  <c r="J16" i="48"/>
  <c r="J11" i="48"/>
  <c r="H35" i="48"/>
  <c r="L10" i="47"/>
  <c r="M9" i="47"/>
  <c r="K31" i="47"/>
  <c r="K11" i="47"/>
  <c r="K16" i="47"/>
  <c r="J32" i="47"/>
  <c r="J12" i="47"/>
  <c r="J14" i="47"/>
  <c r="J17" i="47"/>
  <c r="J38" i="47" s="1"/>
  <c r="J18" i="47"/>
  <c r="J39" i="47" s="1"/>
  <c r="J13" i="47"/>
  <c r="J34" i="47" s="1"/>
  <c r="J37" i="47"/>
  <c r="I21" i="46"/>
  <c r="I22" i="46"/>
  <c r="J37" i="46"/>
  <c r="L10" i="46"/>
  <c r="M9" i="46"/>
  <c r="J32" i="46"/>
  <c r="J14" i="46"/>
  <c r="J12" i="46"/>
  <c r="J17" i="46"/>
  <c r="J38" i="46" s="1"/>
  <c r="J13" i="46"/>
  <c r="J34" i="46" s="1"/>
  <c r="J18" i="46"/>
  <c r="K11" i="46"/>
  <c r="K31" i="46"/>
  <c r="K16" i="46"/>
  <c r="H22" i="45"/>
  <c r="H21" i="45"/>
  <c r="J31" i="45"/>
  <c r="J16" i="45"/>
  <c r="J37" i="45" s="1"/>
  <c r="J11" i="45"/>
  <c r="I12" i="45"/>
  <c r="I32" i="45"/>
  <c r="I13" i="45"/>
  <c r="I34" i="45" s="1"/>
  <c r="I17" i="45"/>
  <c r="L15" i="52" s="1"/>
  <c r="I18" i="45"/>
  <c r="I39" i="45" s="1"/>
  <c r="I14" i="45"/>
  <c r="K10" i="45"/>
  <c r="L9" i="45"/>
  <c r="I37" i="44"/>
  <c r="H22" i="44"/>
  <c r="H21" i="44"/>
  <c r="J31" i="44"/>
  <c r="J16" i="44"/>
  <c r="J11" i="44"/>
  <c r="I32" i="44"/>
  <c r="I12" i="44"/>
  <c r="I17" i="44"/>
  <c r="I18" i="44"/>
  <c r="I14" i="44"/>
  <c r="I13" i="44"/>
  <c r="I34" i="44" s="1"/>
  <c r="K10" i="44"/>
  <c r="L9" i="44"/>
  <c r="K10" i="43"/>
  <c r="L9" i="43"/>
  <c r="H22" i="43"/>
  <c r="H21" i="43"/>
  <c r="I32" i="43"/>
  <c r="I12" i="43"/>
  <c r="I18" i="43"/>
  <c r="I39" i="43" s="1"/>
  <c r="I14" i="43"/>
  <c r="I13" i="43"/>
  <c r="I17" i="43"/>
  <c r="J31" i="43"/>
  <c r="J16" i="43"/>
  <c r="J11" i="43"/>
  <c r="I37" i="43"/>
  <c r="J37" i="41"/>
  <c r="I22" i="41"/>
  <c r="I24" i="41"/>
  <c r="F18" i="49" s="1"/>
  <c r="I21" i="41"/>
  <c r="J32" i="41"/>
  <c r="J17" i="41"/>
  <c r="J38" i="41" s="1"/>
  <c r="J14" i="41"/>
  <c r="J12" i="41"/>
  <c r="J33" i="41" s="1"/>
  <c r="J18" i="41"/>
  <c r="J13" i="41"/>
  <c r="J34" i="41" s="1"/>
  <c r="K31" i="41"/>
  <c r="K16" i="41"/>
  <c r="K11" i="41"/>
  <c r="L10" i="41"/>
  <c r="M9" i="41"/>
  <c r="N17" i="49" l="1"/>
  <c r="L17" i="52"/>
  <c r="I38" i="43"/>
  <c r="R16" i="52"/>
  <c r="R17" i="52" s="1"/>
  <c r="H15" i="52"/>
  <c r="H17" i="52" s="1"/>
  <c r="J35" i="41"/>
  <c r="J23" i="41"/>
  <c r="L14" i="49"/>
  <c r="P17" i="52"/>
  <c r="J15" i="52"/>
  <c r="H16" i="52"/>
  <c r="I39" i="44"/>
  <c r="J16" i="52"/>
  <c r="J17" i="52" s="1"/>
  <c r="H41" i="47"/>
  <c r="J14" i="49"/>
  <c r="P18" i="49"/>
  <c r="P15" i="49"/>
  <c r="L16" i="52"/>
  <c r="I23" i="48"/>
  <c r="I24" i="48"/>
  <c r="R18" i="49"/>
  <c r="R14" i="49"/>
  <c r="J35" i="47"/>
  <c r="J24" i="47"/>
  <c r="J23" i="47"/>
  <c r="N16" i="49"/>
  <c r="N18" i="49"/>
  <c r="J24" i="46"/>
  <c r="J23" i="46"/>
  <c r="J35" i="46"/>
  <c r="N15" i="49"/>
  <c r="I35" i="45"/>
  <c r="I23" i="45"/>
  <c r="I24" i="45"/>
  <c r="I23" i="44"/>
  <c r="I24" i="44"/>
  <c r="J18" i="49" s="1"/>
  <c r="I35" i="44"/>
  <c r="I24" i="43"/>
  <c r="I23" i="43"/>
  <c r="H17" i="49" s="1"/>
  <c r="I34" i="43"/>
  <c r="I35" i="43"/>
  <c r="H14" i="49"/>
  <c r="F16" i="49"/>
  <c r="F15" i="49"/>
  <c r="H20" i="43"/>
  <c r="H41" i="43" s="1"/>
  <c r="J15" i="41"/>
  <c r="J36" i="41" s="1"/>
  <c r="I20" i="41"/>
  <c r="F18" i="52" s="1"/>
  <c r="F19" i="52" s="1"/>
  <c r="H20" i="44"/>
  <c r="I20" i="46"/>
  <c r="H20" i="48"/>
  <c r="H41" i="48" s="1"/>
  <c r="H20" i="45"/>
  <c r="H41" i="45" s="1"/>
  <c r="I20" i="47"/>
  <c r="P18" i="52" s="1"/>
  <c r="P19" i="52" s="1"/>
  <c r="I41" i="47"/>
  <c r="I33" i="48"/>
  <c r="I15" i="48"/>
  <c r="I36" i="48" s="1"/>
  <c r="J33" i="47"/>
  <c r="J15" i="47"/>
  <c r="J36" i="47" s="1"/>
  <c r="J33" i="46"/>
  <c r="J15" i="46"/>
  <c r="J36" i="46" s="1"/>
  <c r="I33" i="45"/>
  <c r="I15" i="45"/>
  <c r="I36" i="45" s="1"/>
  <c r="I33" i="44"/>
  <c r="I15" i="44"/>
  <c r="I36" i="44" s="1"/>
  <c r="I33" i="43"/>
  <c r="I15" i="43"/>
  <c r="I36" i="43" s="1"/>
  <c r="J19" i="46"/>
  <c r="J40" i="46" s="1"/>
  <c r="I19" i="44"/>
  <c r="I40" i="44" s="1"/>
  <c r="J19" i="41"/>
  <c r="J40" i="41" s="1"/>
  <c r="I19" i="48"/>
  <c r="I40" i="48" s="1"/>
  <c r="I38" i="48"/>
  <c r="I21" i="48"/>
  <c r="R15" i="49" s="1"/>
  <c r="I22" i="48"/>
  <c r="R16" i="49" s="1"/>
  <c r="J19" i="47"/>
  <c r="J40" i="47" s="1"/>
  <c r="J22" i="47"/>
  <c r="J21" i="47"/>
  <c r="J39" i="46"/>
  <c r="I38" i="45"/>
  <c r="I19" i="45"/>
  <c r="I40" i="45" s="1"/>
  <c r="I38" i="44"/>
  <c r="H41" i="44"/>
  <c r="I19" i="43"/>
  <c r="I40" i="43" s="1"/>
  <c r="J39" i="41"/>
  <c r="J37" i="48"/>
  <c r="I35" i="48"/>
  <c r="K16" i="48"/>
  <c r="K11" i="48"/>
  <c r="K31" i="48"/>
  <c r="J32" i="48"/>
  <c r="J12" i="48"/>
  <c r="J17" i="48"/>
  <c r="J38" i="48" s="1"/>
  <c r="J14" i="48"/>
  <c r="J13" i="48"/>
  <c r="J34" i="48" s="1"/>
  <c r="J18" i="48"/>
  <c r="J39" i="48" s="1"/>
  <c r="L10" i="48"/>
  <c r="M9" i="48"/>
  <c r="K32" i="47"/>
  <c r="K12" i="47"/>
  <c r="K13" i="47"/>
  <c r="K34" i="47" s="1"/>
  <c r="K17" i="47"/>
  <c r="K38" i="47" s="1"/>
  <c r="K14" i="47"/>
  <c r="K18" i="47"/>
  <c r="K39" i="47" s="1"/>
  <c r="M10" i="47"/>
  <c r="N9" i="47"/>
  <c r="N10" i="47" s="1"/>
  <c r="K37" i="47"/>
  <c r="L31" i="47"/>
  <c r="L11" i="47"/>
  <c r="L16" i="47"/>
  <c r="K13" i="46"/>
  <c r="K34" i="46" s="1"/>
  <c r="K32" i="46"/>
  <c r="K18" i="46"/>
  <c r="K39" i="46" s="1"/>
  <c r="K17" i="46"/>
  <c r="K12" i="46"/>
  <c r="K14" i="46"/>
  <c r="M10" i="46"/>
  <c r="N9" i="46"/>
  <c r="N10" i="46" s="1"/>
  <c r="J21" i="46"/>
  <c r="J22" i="46"/>
  <c r="L31" i="46"/>
  <c r="L16" i="46"/>
  <c r="L11" i="46"/>
  <c r="K37" i="46"/>
  <c r="L10" i="45"/>
  <c r="M9" i="45"/>
  <c r="K31" i="45"/>
  <c r="K11" i="45"/>
  <c r="K16" i="45"/>
  <c r="K37" i="45" s="1"/>
  <c r="I21" i="45"/>
  <c r="L15" i="49" s="1"/>
  <c r="I22" i="45"/>
  <c r="L16" i="49" s="1"/>
  <c r="J32" i="45"/>
  <c r="J12" i="45"/>
  <c r="J17" i="45"/>
  <c r="J38" i="45" s="1"/>
  <c r="J14" i="45"/>
  <c r="J13" i="45"/>
  <c r="J34" i="45" s="1"/>
  <c r="J18" i="45"/>
  <c r="J39" i="45" s="1"/>
  <c r="K11" i="44"/>
  <c r="K31" i="44"/>
  <c r="K16" i="44"/>
  <c r="J37" i="44"/>
  <c r="I22" i="44"/>
  <c r="J16" i="49" s="1"/>
  <c r="I21" i="44"/>
  <c r="L10" i="44"/>
  <c r="M9" i="44"/>
  <c r="J32" i="44"/>
  <c r="J12" i="44"/>
  <c r="J17" i="44"/>
  <c r="J38" i="44" s="1"/>
  <c r="J18" i="44"/>
  <c r="J39" i="44" s="1"/>
  <c r="J14" i="44"/>
  <c r="J13" i="44"/>
  <c r="J34" i="44" s="1"/>
  <c r="J32" i="43"/>
  <c r="J12" i="43"/>
  <c r="J17" i="43"/>
  <c r="J38" i="43" s="1"/>
  <c r="J13" i="43"/>
  <c r="J14" i="43"/>
  <c r="J18" i="43"/>
  <c r="J39" i="43" s="1"/>
  <c r="J37" i="43"/>
  <c r="I22" i="43"/>
  <c r="I21" i="43"/>
  <c r="L10" i="43"/>
  <c r="M9" i="43"/>
  <c r="K31" i="43"/>
  <c r="K16" i="43"/>
  <c r="K11" i="43"/>
  <c r="K18" i="41"/>
  <c r="K39" i="41" s="1"/>
  <c r="K13" i="41"/>
  <c r="K34" i="41" s="1"/>
  <c r="K32" i="41"/>
  <c r="K17" i="41"/>
  <c r="K14" i="41"/>
  <c r="K23" i="41" s="1"/>
  <c r="K12" i="41"/>
  <c r="K33" i="41" s="1"/>
  <c r="K37" i="41"/>
  <c r="M10" i="41"/>
  <c r="N9" i="41"/>
  <c r="N10" i="41" s="1"/>
  <c r="J22" i="41"/>
  <c r="J21" i="41"/>
  <c r="J24" i="41"/>
  <c r="L31" i="41"/>
  <c r="L16" i="41"/>
  <c r="L11" i="41"/>
  <c r="N18" i="52" l="1"/>
  <c r="N19" i="52" s="1"/>
  <c r="H18" i="49"/>
  <c r="R17" i="49"/>
  <c r="J17" i="49"/>
  <c r="H16" i="49"/>
  <c r="K38" i="41"/>
  <c r="I41" i="46"/>
  <c r="L17" i="49"/>
  <c r="J15" i="49"/>
  <c r="H15" i="49"/>
  <c r="J24" i="48"/>
  <c r="J23" i="48"/>
  <c r="K23" i="47"/>
  <c r="K24" i="47"/>
  <c r="K35" i="47"/>
  <c r="K23" i="46"/>
  <c r="K24" i="46"/>
  <c r="K35" i="46"/>
  <c r="J35" i="45"/>
  <c r="J24" i="45"/>
  <c r="J23" i="45"/>
  <c r="L18" i="49"/>
  <c r="J23" i="44"/>
  <c r="J24" i="44"/>
  <c r="J35" i="44"/>
  <c r="J24" i="43"/>
  <c r="J23" i="43"/>
  <c r="J34" i="43"/>
  <c r="J35" i="43"/>
  <c r="K35" i="41"/>
  <c r="I41" i="41"/>
  <c r="K15" i="41"/>
  <c r="K36" i="41" s="1"/>
  <c r="I20" i="43"/>
  <c r="I41" i="43" s="1"/>
  <c r="I20" i="44"/>
  <c r="J20" i="46"/>
  <c r="J41" i="46" s="1"/>
  <c r="I20" i="48"/>
  <c r="I20" i="45"/>
  <c r="J20" i="47"/>
  <c r="J41" i="47" s="1"/>
  <c r="J20" i="41"/>
  <c r="J33" i="48"/>
  <c r="J15" i="48"/>
  <c r="J36" i="48" s="1"/>
  <c r="K33" i="47"/>
  <c r="K15" i="47"/>
  <c r="K36" i="47" s="1"/>
  <c r="K33" i="46"/>
  <c r="K15" i="46"/>
  <c r="K36" i="46" s="1"/>
  <c r="J33" i="45"/>
  <c r="J15" i="45"/>
  <c r="J36" i="45" s="1"/>
  <c r="J33" i="44"/>
  <c r="J15" i="44"/>
  <c r="J36" i="44" s="1"/>
  <c r="J33" i="43"/>
  <c r="J15" i="43"/>
  <c r="J36" i="43" s="1"/>
  <c r="K19" i="41"/>
  <c r="K40" i="41" s="1"/>
  <c r="J22" i="48"/>
  <c r="J21" i="48"/>
  <c r="J19" i="48"/>
  <c r="J40" i="48" s="1"/>
  <c r="K21" i="47"/>
  <c r="K22" i="47"/>
  <c r="K19" i="47"/>
  <c r="K40" i="47" s="1"/>
  <c r="K19" i="46"/>
  <c r="K40" i="46" s="1"/>
  <c r="K38" i="46"/>
  <c r="J19" i="45"/>
  <c r="J40" i="45" s="1"/>
  <c r="J19" i="44"/>
  <c r="J40" i="44" s="1"/>
  <c r="J19" i="43"/>
  <c r="J40" i="43" s="1"/>
  <c r="L31" i="48"/>
  <c r="L16" i="48"/>
  <c r="L11" i="48"/>
  <c r="J35" i="48"/>
  <c r="K13" i="48"/>
  <c r="K34" i="48" s="1"/>
  <c r="K32" i="48"/>
  <c r="K18" i="48"/>
  <c r="K39" i="48" s="1"/>
  <c r="K12" i="48"/>
  <c r="K17" i="48"/>
  <c r="K38" i="48" s="1"/>
  <c r="K14" i="48"/>
  <c r="K37" i="48"/>
  <c r="M10" i="48"/>
  <c r="N9" i="48"/>
  <c r="N10" i="48" s="1"/>
  <c r="M31" i="47"/>
  <c r="M16" i="47"/>
  <c r="M11" i="47"/>
  <c r="L37" i="47"/>
  <c r="L32" i="47"/>
  <c r="L18" i="47"/>
  <c r="L39" i="47" s="1"/>
  <c r="L14" i="47"/>
  <c r="L17" i="47"/>
  <c r="L38" i="47" s="1"/>
  <c r="L13" i="47"/>
  <c r="L34" i="47" s="1"/>
  <c r="L12" i="47"/>
  <c r="N31" i="47"/>
  <c r="N16" i="47"/>
  <c r="P20" i="52" s="1"/>
  <c r="N11" i="47"/>
  <c r="N31" i="46"/>
  <c r="N16" i="46"/>
  <c r="N20" i="52" s="1"/>
  <c r="N11" i="46"/>
  <c r="L32" i="46"/>
  <c r="L13" i="46"/>
  <c r="L34" i="46" s="1"/>
  <c r="L18" i="46"/>
  <c r="L39" i="46" s="1"/>
  <c r="L17" i="46"/>
  <c r="L38" i="46" s="1"/>
  <c r="L12" i="46"/>
  <c r="L14" i="46"/>
  <c r="M31" i="46"/>
  <c r="M16" i="46"/>
  <c r="M11" i="46"/>
  <c r="L37" i="46"/>
  <c r="K22" i="46"/>
  <c r="K21" i="46"/>
  <c r="J21" i="45"/>
  <c r="J22" i="45"/>
  <c r="K18" i="45"/>
  <c r="K39" i="45" s="1"/>
  <c r="K13" i="45"/>
  <c r="K34" i="45" s="1"/>
  <c r="K32" i="45"/>
  <c r="K17" i="45"/>
  <c r="K38" i="45" s="1"/>
  <c r="K12" i="45"/>
  <c r="K14" i="45"/>
  <c r="M10" i="45"/>
  <c r="N9" i="45"/>
  <c r="N10" i="45" s="1"/>
  <c r="L31" i="45"/>
  <c r="L16" i="45"/>
  <c r="L37" i="45" s="1"/>
  <c r="L11" i="45"/>
  <c r="M10" i="44"/>
  <c r="N9" i="44"/>
  <c r="N10" i="44" s="1"/>
  <c r="L31" i="44"/>
  <c r="L16" i="44"/>
  <c r="L11" i="44"/>
  <c r="K37" i="44"/>
  <c r="J21" i="44"/>
  <c r="J22" i="44"/>
  <c r="K13" i="44"/>
  <c r="K34" i="44" s="1"/>
  <c r="K32" i="44"/>
  <c r="K18" i="44"/>
  <c r="K17" i="44"/>
  <c r="K19" i="44" s="1"/>
  <c r="K40" i="44" s="1"/>
  <c r="K12" i="44"/>
  <c r="K14" i="44"/>
  <c r="K32" i="43"/>
  <c r="K18" i="43"/>
  <c r="K39" i="43" s="1"/>
  <c r="K13" i="43"/>
  <c r="K17" i="43"/>
  <c r="K38" i="43" s="1"/>
  <c r="K12" i="43"/>
  <c r="K14" i="43"/>
  <c r="M10" i="43"/>
  <c r="N9" i="43"/>
  <c r="N10" i="43" s="1"/>
  <c r="K37" i="43"/>
  <c r="L31" i="43"/>
  <c r="L16" i="43"/>
  <c r="L11" i="43"/>
  <c r="J21" i="43"/>
  <c r="J22" i="43"/>
  <c r="L37" i="41"/>
  <c r="K24" i="41"/>
  <c r="K21" i="41"/>
  <c r="K22" i="41"/>
  <c r="L18" i="41"/>
  <c r="L39" i="41" s="1"/>
  <c r="L13" i="41"/>
  <c r="L34" i="41" s="1"/>
  <c r="L17" i="41"/>
  <c r="L38" i="41" s="1"/>
  <c r="L12" i="41"/>
  <c r="L33" i="41" s="1"/>
  <c r="L32" i="41"/>
  <c r="L14" i="41"/>
  <c r="N16" i="41"/>
  <c r="N31" i="41"/>
  <c r="N11" i="41"/>
  <c r="M11" i="41"/>
  <c r="M31" i="41"/>
  <c r="M16" i="41"/>
  <c r="L35" i="41" l="1"/>
  <c r="L23" i="41"/>
  <c r="J41" i="41"/>
  <c r="H18" i="52"/>
  <c r="H19" i="52" s="1"/>
  <c r="I41" i="44"/>
  <c r="J18" i="52"/>
  <c r="J19" i="52" s="1"/>
  <c r="I41" i="45"/>
  <c r="F20" i="52"/>
  <c r="I41" i="48"/>
  <c r="R18" i="52"/>
  <c r="R19" i="52" s="1"/>
  <c r="L18" i="52"/>
  <c r="L19" i="52" s="1"/>
  <c r="K23" i="48"/>
  <c r="K24" i="48"/>
  <c r="L23" i="47"/>
  <c r="L35" i="47"/>
  <c r="L24" i="47"/>
  <c r="L23" i="46"/>
  <c r="L35" i="46"/>
  <c r="L24" i="46"/>
  <c r="K23" i="45"/>
  <c r="K24" i="45"/>
  <c r="K35" i="45"/>
  <c r="K23" i="44"/>
  <c r="K35" i="44"/>
  <c r="K24" i="44"/>
  <c r="K24" i="43"/>
  <c r="K23" i="43"/>
  <c r="K34" i="43"/>
  <c r="K35" i="43"/>
  <c r="L15" i="41"/>
  <c r="L36" i="41" s="1"/>
  <c r="K20" i="47"/>
  <c r="K41" i="47" s="1"/>
  <c r="J20" i="43"/>
  <c r="J41" i="43" s="1"/>
  <c r="J20" i="45"/>
  <c r="J41" i="45" s="1"/>
  <c r="J20" i="48"/>
  <c r="J20" i="44"/>
  <c r="J41" i="44" s="1"/>
  <c r="K20" i="46"/>
  <c r="K41" i="46" s="1"/>
  <c r="K20" i="41"/>
  <c r="K41" i="41" s="1"/>
  <c r="K33" i="48"/>
  <c r="K15" i="48"/>
  <c r="K36" i="48" s="1"/>
  <c r="L33" i="47"/>
  <c r="L15" i="47"/>
  <c r="L36" i="47" s="1"/>
  <c r="L33" i="46"/>
  <c r="L15" i="46"/>
  <c r="L36" i="46" s="1"/>
  <c r="K33" i="45"/>
  <c r="K15" i="45"/>
  <c r="K36" i="45" s="1"/>
  <c r="K33" i="44"/>
  <c r="K15" i="44"/>
  <c r="K36" i="44" s="1"/>
  <c r="K33" i="43"/>
  <c r="K15" i="43"/>
  <c r="K36" i="43" s="1"/>
  <c r="L19" i="41"/>
  <c r="L40" i="41" s="1"/>
  <c r="K19" i="48"/>
  <c r="K40" i="48" s="1"/>
  <c r="K21" i="48"/>
  <c r="K22" i="48"/>
  <c r="L19" i="47"/>
  <c r="L40" i="47" s="1"/>
  <c r="L22" i="47"/>
  <c r="L21" i="47"/>
  <c r="L19" i="46"/>
  <c r="L40" i="46" s="1"/>
  <c r="K19" i="45"/>
  <c r="K40" i="45" s="1"/>
  <c r="K39" i="44"/>
  <c r="K38" i="44"/>
  <c r="K19" i="43"/>
  <c r="K40" i="43" s="1"/>
  <c r="L32" i="48"/>
  <c r="L18" i="48"/>
  <c r="L39" i="48" s="1"/>
  <c r="L17" i="48"/>
  <c r="L38" i="48" s="1"/>
  <c r="L12" i="48"/>
  <c r="L14" i="48"/>
  <c r="L13" i="48"/>
  <c r="L34" i="48" s="1"/>
  <c r="L37" i="48"/>
  <c r="M31" i="48"/>
  <c r="M16" i="48"/>
  <c r="M11" i="48"/>
  <c r="N31" i="48"/>
  <c r="N16" i="48"/>
  <c r="N11" i="48"/>
  <c r="K35" i="48"/>
  <c r="N32" i="47"/>
  <c r="N12" i="47"/>
  <c r="N17" i="47"/>
  <c r="P21" i="52" s="1"/>
  <c r="N18" i="47"/>
  <c r="N14" i="47"/>
  <c r="N13" i="47"/>
  <c r="N34" i="47" s="1"/>
  <c r="M18" i="47"/>
  <c r="M39" i="47" s="1"/>
  <c r="M32" i="47"/>
  <c r="M17" i="47"/>
  <c r="M38" i="47" s="1"/>
  <c r="M13" i="47"/>
  <c r="M34" i="47" s="1"/>
  <c r="M12" i="47"/>
  <c r="M14" i="47"/>
  <c r="N37" i="47"/>
  <c r="M37" i="47"/>
  <c r="L22" i="46"/>
  <c r="L21" i="46"/>
  <c r="M12" i="46"/>
  <c r="M32" i="46"/>
  <c r="M17" i="46"/>
  <c r="M38" i="46" s="1"/>
  <c r="M18" i="46"/>
  <c r="M39" i="46" s="1"/>
  <c r="M14" i="46"/>
  <c r="M13" i="46"/>
  <c r="M34" i="46" s="1"/>
  <c r="M37" i="46"/>
  <c r="N32" i="46"/>
  <c r="N12" i="46"/>
  <c r="N17" i="46"/>
  <c r="N18" i="46"/>
  <c r="N13" i="46"/>
  <c r="N34" i="46" s="1"/>
  <c r="N14" i="46"/>
  <c r="N37" i="46"/>
  <c r="N31" i="45"/>
  <c r="N16" i="45"/>
  <c r="N11" i="45"/>
  <c r="L32" i="45"/>
  <c r="L17" i="45"/>
  <c r="L38" i="45" s="1"/>
  <c r="L12" i="45"/>
  <c r="L14" i="45"/>
  <c r="L13" i="45"/>
  <c r="L34" i="45" s="1"/>
  <c r="L18" i="45"/>
  <c r="L39" i="45" s="1"/>
  <c r="M31" i="45"/>
  <c r="M16" i="45"/>
  <c r="M37" i="45" s="1"/>
  <c r="M11" i="45"/>
  <c r="K21" i="45"/>
  <c r="K22" i="45"/>
  <c r="L37" i="44"/>
  <c r="N31" i="44"/>
  <c r="N16" i="44"/>
  <c r="J20" i="52" s="1"/>
  <c r="N11" i="44"/>
  <c r="K21" i="44"/>
  <c r="K22" i="44"/>
  <c r="L32" i="44"/>
  <c r="L14" i="44"/>
  <c r="L17" i="44"/>
  <c r="L38" i="44" s="1"/>
  <c r="L12" i="44"/>
  <c r="L13" i="44"/>
  <c r="L34" i="44" s="1"/>
  <c r="L18" i="44"/>
  <c r="L39" i="44" s="1"/>
  <c r="M31" i="44"/>
  <c r="M16" i="44"/>
  <c r="M11" i="44"/>
  <c r="L37" i="43"/>
  <c r="N31" i="43"/>
  <c r="N16" i="43"/>
  <c r="H20" i="52" s="1"/>
  <c r="N11" i="43"/>
  <c r="M31" i="43"/>
  <c r="M16" i="43"/>
  <c r="M11" i="43"/>
  <c r="K22" i="43"/>
  <c r="K21" i="43"/>
  <c r="L32" i="43"/>
  <c r="L13" i="43"/>
  <c r="L18" i="43"/>
  <c r="L39" i="43" s="1"/>
  <c r="L17" i="43"/>
  <c r="L38" i="43" s="1"/>
  <c r="L12" i="43"/>
  <c r="L14" i="43"/>
  <c r="M37" i="41"/>
  <c r="N37" i="41"/>
  <c r="N32" i="41"/>
  <c r="N17" i="41"/>
  <c r="F21" i="52" s="1"/>
  <c r="N14" i="41"/>
  <c r="N12" i="41"/>
  <c r="N33" i="41" s="1"/>
  <c r="N18" i="41"/>
  <c r="N13" i="41"/>
  <c r="N34" i="41" s="1"/>
  <c r="M32" i="41"/>
  <c r="M17" i="41"/>
  <c r="M38" i="41" s="1"/>
  <c r="M14" i="41"/>
  <c r="M12" i="41"/>
  <c r="M33" i="41" s="1"/>
  <c r="M13" i="41"/>
  <c r="M34" i="41" s="1"/>
  <c r="M18" i="41"/>
  <c r="M39" i="41" s="1"/>
  <c r="L24" i="41"/>
  <c r="L21" i="41"/>
  <c r="L22" i="41"/>
  <c r="N23" i="41" l="1"/>
  <c r="N39" i="46"/>
  <c r="N22" i="52"/>
  <c r="N21" i="52"/>
  <c r="R20" i="52"/>
  <c r="M35" i="41"/>
  <c r="M23" i="41"/>
  <c r="F22" i="52"/>
  <c r="F23" i="52" s="1"/>
  <c r="J41" i="48"/>
  <c r="N37" i="45"/>
  <c r="L20" i="52"/>
  <c r="P22" i="52"/>
  <c r="P23" i="52" s="1"/>
  <c r="L24" i="48"/>
  <c r="L23" i="48"/>
  <c r="N35" i="47"/>
  <c r="N24" i="47"/>
  <c r="N23" i="47"/>
  <c r="P19" i="49"/>
  <c r="M23" i="47"/>
  <c r="M24" i="47"/>
  <c r="M35" i="47"/>
  <c r="N35" i="46"/>
  <c r="N24" i="46"/>
  <c r="N23" i="46"/>
  <c r="N19" i="49"/>
  <c r="M23" i="46"/>
  <c r="M24" i="46"/>
  <c r="M35" i="46"/>
  <c r="L23" i="45"/>
  <c r="L35" i="45"/>
  <c r="L24" i="45"/>
  <c r="L24" i="44"/>
  <c r="L23" i="44"/>
  <c r="L35" i="44"/>
  <c r="L24" i="43"/>
  <c r="L23" i="43"/>
  <c r="L34" i="43"/>
  <c r="L35" i="43"/>
  <c r="N35" i="41"/>
  <c r="F19" i="49"/>
  <c r="K20" i="44"/>
  <c r="N15" i="41"/>
  <c r="N36" i="41" s="1"/>
  <c r="M15" i="41"/>
  <c r="M36" i="41" s="1"/>
  <c r="N19" i="41"/>
  <c r="N40" i="41" s="1"/>
  <c r="K20" i="43"/>
  <c r="K41" i="43" s="1"/>
  <c r="K20" i="45"/>
  <c r="L20" i="47"/>
  <c r="L41" i="47" s="1"/>
  <c r="L20" i="46"/>
  <c r="L41" i="46" s="1"/>
  <c r="K20" i="48"/>
  <c r="K41" i="48" s="1"/>
  <c r="L20" i="41"/>
  <c r="L41" i="41" s="1"/>
  <c r="L33" i="48"/>
  <c r="L15" i="48"/>
  <c r="L36" i="48" s="1"/>
  <c r="M33" i="47"/>
  <c r="M15" i="47"/>
  <c r="M36" i="47" s="1"/>
  <c r="N33" i="47"/>
  <c r="N15" i="47"/>
  <c r="N36" i="47" s="1"/>
  <c r="N33" i="46"/>
  <c r="N15" i="46"/>
  <c r="N36" i="46" s="1"/>
  <c r="M33" i="46"/>
  <c r="M15" i="46"/>
  <c r="M36" i="46" s="1"/>
  <c r="L33" i="45"/>
  <c r="L15" i="45"/>
  <c r="L36" i="45" s="1"/>
  <c r="L33" i="44"/>
  <c r="L15" i="44"/>
  <c r="L36" i="44" s="1"/>
  <c r="L33" i="43"/>
  <c r="L15" i="43"/>
  <c r="L36" i="43" s="1"/>
  <c r="L19" i="45"/>
  <c r="L40" i="45" s="1"/>
  <c r="M19" i="41"/>
  <c r="M40" i="41" s="1"/>
  <c r="L19" i="48"/>
  <c r="L40" i="48" s="1"/>
  <c r="L21" i="48"/>
  <c r="L22" i="48"/>
  <c r="N21" i="47"/>
  <c r="N22" i="47"/>
  <c r="M22" i="47"/>
  <c r="M21" i="47"/>
  <c r="N39" i="47"/>
  <c r="N19" i="47"/>
  <c r="N40" i="47" s="1"/>
  <c r="N38" i="47"/>
  <c r="M19" i="47"/>
  <c r="M40" i="47" s="1"/>
  <c r="N38" i="46"/>
  <c r="N19" i="46"/>
  <c r="N40" i="46" s="1"/>
  <c r="M19" i="46"/>
  <c r="M40" i="46" s="1"/>
  <c r="L19" i="44"/>
  <c r="L40" i="44" s="1"/>
  <c r="L19" i="43"/>
  <c r="L40" i="43" s="1"/>
  <c r="N38" i="41"/>
  <c r="N39" i="41"/>
  <c r="L35" i="48"/>
  <c r="N32" i="48"/>
  <c r="N14" i="48"/>
  <c r="N18" i="48"/>
  <c r="R22" i="52" s="1"/>
  <c r="N12" i="48"/>
  <c r="N17" i="48"/>
  <c r="N13" i="48"/>
  <c r="N34" i="48" s="1"/>
  <c r="M12" i="48"/>
  <c r="M32" i="48"/>
  <c r="M14" i="48"/>
  <c r="M18" i="48"/>
  <c r="M39" i="48" s="1"/>
  <c r="M17" i="48"/>
  <c r="M38" i="48" s="1"/>
  <c r="M13" i="48"/>
  <c r="M34" i="48" s="1"/>
  <c r="N37" i="48"/>
  <c r="M37" i="48"/>
  <c r="N21" i="46"/>
  <c r="N22" i="46"/>
  <c r="M21" i="46"/>
  <c r="M22" i="46"/>
  <c r="N32" i="45"/>
  <c r="N13" i="45"/>
  <c r="N34" i="45" s="1"/>
  <c r="N12" i="45"/>
  <c r="N17" i="45"/>
  <c r="N18" i="45"/>
  <c r="L22" i="52" s="1"/>
  <c r="N14" i="45"/>
  <c r="L22" i="45"/>
  <c r="L21" i="45"/>
  <c r="M32" i="45"/>
  <c r="M12" i="45"/>
  <c r="M18" i="45"/>
  <c r="M39" i="45" s="1"/>
  <c r="M17" i="45"/>
  <c r="M38" i="45" s="1"/>
  <c r="M13" i="45"/>
  <c r="M34" i="45" s="1"/>
  <c r="M14" i="45"/>
  <c r="L22" i="44"/>
  <c r="L21" i="44"/>
  <c r="M32" i="44"/>
  <c r="M12" i="44"/>
  <c r="M17" i="44"/>
  <c r="M13" i="44"/>
  <c r="M34" i="44" s="1"/>
  <c r="M14" i="44"/>
  <c r="M18" i="44"/>
  <c r="M39" i="44" s="1"/>
  <c r="M37" i="44"/>
  <c r="N32" i="44"/>
  <c r="N13" i="44"/>
  <c r="N34" i="44" s="1"/>
  <c r="N17" i="44"/>
  <c r="N18" i="44"/>
  <c r="N14" i="44"/>
  <c r="N12" i="44"/>
  <c r="N37" i="44"/>
  <c r="M12" i="43"/>
  <c r="M32" i="43"/>
  <c r="M14" i="43"/>
  <c r="M13" i="43"/>
  <c r="M17" i="43"/>
  <c r="M38" i="43" s="1"/>
  <c r="M18" i="43"/>
  <c r="M39" i="43" s="1"/>
  <c r="N37" i="43"/>
  <c r="M37" i="43"/>
  <c r="L22" i="43"/>
  <c r="L21" i="43"/>
  <c r="N32" i="43"/>
  <c r="N18" i="43"/>
  <c r="N12" i="43"/>
  <c r="N17" i="43"/>
  <c r="H21" i="52" s="1"/>
  <c r="N13" i="43"/>
  <c r="N14" i="43"/>
  <c r="M22" i="41"/>
  <c r="M24" i="41"/>
  <c r="M21" i="41"/>
  <c r="N22" i="41"/>
  <c r="N24" i="41"/>
  <c r="N21" i="41"/>
  <c r="N39" i="43" l="1"/>
  <c r="H22" i="52"/>
  <c r="H23" i="52" s="1"/>
  <c r="L21" i="52"/>
  <c r="L23" i="52" s="1"/>
  <c r="K41" i="44"/>
  <c r="P22" i="49"/>
  <c r="F22" i="49"/>
  <c r="F21" i="49"/>
  <c r="N38" i="44"/>
  <c r="J21" i="52"/>
  <c r="N21" i="49"/>
  <c r="N20" i="49"/>
  <c r="K41" i="45"/>
  <c r="F23" i="49"/>
  <c r="J22" i="52"/>
  <c r="R21" i="52"/>
  <c r="R23" i="52" s="1"/>
  <c r="P20" i="49"/>
  <c r="N22" i="49"/>
  <c r="N23" i="52"/>
  <c r="N24" i="48"/>
  <c r="N23" i="48"/>
  <c r="R19" i="49"/>
  <c r="M23" i="48"/>
  <c r="M24" i="48"/>
  <c r="P23" i="49"/>
  <c r="P21" i="49"/>
  <c r="N23" i="49"/>
  <c r="M24" i="45"/>
  <c r="M35" i="45"/>
  <c r="M23" i="45"/>
  <c r="N24" i="45"/>
  <c r="N23" i="45"/>
  <c r="N35" i="45"/>
  <c r="L19" i="49"/>
  <c r="N35" i="44"/>
  <c r="N24" i="44"/>
  <c r="N23" i="44"/>
  <c r="J19" i="49"/>
  <c r="M23" i="44"/>
  <c r="M24" i="44"/>
  <c r="M35" i="44"/>
  <c r="M24" i="43"/>
  <c r="M23" i="43"/>
  <c r="N24" i="43"/>
  <c r="N23" i="43"/>
  <c r="M34" i="43"/>
  <c r="N34" i="43"/>
  <c r="N35" i="43"/>
  <c r="H19" i="49"/>
  <c r="M35" i="43"/>
  <c r="F20" i="49"/>
  <c r="N20" i="41"/>
  <c r="N20" i="47"/>
  <c r="M20" i="46"/>
  <c r="M41" i="46" s="1"/>
  <c r="L20" i="48"/>
  <c r="L41" i="48" s="1"/>
  <c r="L20" i="44"/>
  <c r="L41" i="44" s="1"/>
  <c r="L20" i="43"/>
  <c r="L41" i="43" s="1"/>
  <c r="L20" i="45"/>
  <c r="L41" i="45" s="1"/>
  <c r="N20" i="46"/>
  <c r="N24" i="52" s="1"/>
  <c r="N25" i="52" s="1"/>
  <c r="M20" i="47"/>
  <c r="M41" i="47" s="1"/>
  <c r="M20" i="41"/>
  <c r="M41" i="41" s="1"/>
  <c r="N33" i="48"/>
  <c r="N15" i="48"/>
  <c r="N36" i="48" s="1"/>
  <c r="M33" i="48"/>
  <c r="M15" i="48"/>
  <c r="M36" i="48" s="1"/>
  <c r="M33" i="45"/>
  <c r="M15" i="45"/>
  <c r="M36" i="45" s="1"/>
  <c r="N33" i="45"/>
  <c r="N15" i="45"/>
  <c r="N36" i="45" s="1"/>
  <c r="M33" i="44"/>
  <c r="M15" i="44"/>
  <c r="M36" i="44" s="1"/>
  <c r="N33" i="44"/>
  <c r="N15" i="44"/>
  <c r="N36" i="44" s="1"/>
  <c r="M33" i="43"/>
  <c r="M15" i="43"/>
  <c r="M36" i="43" s="1"/>
  <c r="N33" i="43"/>
  <c r="N15" i="43"/>
  <c r="N36" i="43" s="1"/>
  <c r="M19" i="44"/>
  <c r="M40" i="44" s="1"/>
  <c r="M19" i="45"/>
  <c r="M40" i="45" s="1"/>
  <c r="N39" i="48"/>
  <c r="M19" i="48"/>
  <c r="M40" i="48" s="1"/>
  <c r="N22" i="48"/>
  <c r="N21" i="48"/>
  <c r="M21" i="48"/>
  <c r="M22" i="48"/>
  <c r="N38" i="48"/>
  <c r="N19" i="48"/>
  <c r="N40" i="48" s="1"/>
  <c r="N41" i="47"/>
  <c r="N39" i="45"/>
  <c r="N38" i="45"/>
  <c r="N19" i="45"/>
  <c r="N40" i="45" s="1"/>
  <c r="N19" i="44"/>
  <c r="N40" i="44" s="1"/>
  <c r="N39" i="44"/>
  <c r="M38" i="44"/>
  <c r="M19" i="43"/>
  <c r="M40" i="43" s="1"/>
  <c r="N38" i="43"/>
  <c r="N19" i="43"/>
  <c r="N40" i="43" s="1"/>
  <c r="N41" i="41"/>
  <c r="N35" i="48"/>
  <c r="M35" i="48"/>
  <c r="N21" i="45"/>
  <c r="N22" i="45"/>
  <c r="M22" i="45"/>
  <c r="M21" i="45"/>
  <c r="N21" i="44"/>
  <c r="N22" i="44"/>
  <c r="M21" i="44"/>
  <c r="M22" i="44"/>
  <c r="M21" i="43"/>
  <c r="M22" i="43"/>
  <c r="N21" i="43"/>
  <c r="N22" i="43"/>
  <c r="P24" i="52" l="1"/>
  <c r="P25" i="52" s="1"/>
  <c r="H22" i="49"/>
  <c r="J22" i="49"/>
  <c r="R22" i="49"/>
  <c r="J23" i="52"/>
  <c r="L23" i="49"/>
  <c r="J21" i="49"/>
  <c r="L21" i="49"/>
  <c r="F24" i="52"/>
  <c r="F25" i="52" s="1"/>
  <c r="L22" i="49"/>
  <c r="R23" i="49"/>
  <c r="R20" i="49"/>
  <c r="R21" i="49"/>
  <c r="L20" i="49"/>
  <c r="J20" i="49"/>
  <c r="J23" i="49"/>
  <c r="H21" i="49"/>
  <c r="H23" i="49"/>
  <c r="H20" i="49"/>
  <c r="N41" i="46"/>
  <c r="N20" i="45"/>
  <c r="N20" i="48"/>
  <c r="N20" i="43"/>
  <c r="N20" i="44"/>
  <c r="J24" i="52" s="1"/>
  <c r="J25" i="52" s="1"/>
  <c r="M20" i="48"/>
  <c r="M41" i="48" s="1"/>
  <c r="M20" i="43"/>
  <c r="M41" i="43" s="1"/>
  <c r="M20" i="44"/>
  <c r="M41" i="44" s="1"/>
  <c r="M20" i="45"/>
  <c r="M41" i="45" s="1"/>
  <c r="N41" i="43" l="1"/>
  <c r="H24" i="52"/>
  <c r="H25" i="52" s="1"/>
  <c r="N41" i="48"/>
  <c r="R24" i="52"/>
  <c r="R25" i="52" s="1"/>
  <c r="N41" i="44"/>
  <c r="N41" i="45"/>
  <c r="L24" i="52"/>
  <c r="L25" i="52" s="1"/>
</calcChain>
</file>

<file path=xl/sharedStrings.xml><?xml version="1.0" encoding="utf-8"?>
<sst xmlns="http://schemas.openxmlformats.org/spreadsheetml/2006/main" count="680" uniqueCount="77">
  <si>
    <t>Bitcoin</t>
  </si>
  <si>
    <t>X: @KyleHutch_</t>
  </si>
  <si>
    <t>S E R V I C E</t>
  </si>
  <si>
    <t>T R A N S A C T I O N</t>
  </si>
  <si>
    <t>L I Q U I D I T Y</t>
  </si>
  <si>
    <t>G R O W T H</t>
  </si>
  <si>
    <t>G R O S S   T O T A L</t>
  </si>
  <si>
    <t xml:space="preserve">S E C U R I T Y </t>
  </si>
  <si>
    <t>D E B T</t>
  </si>
  <si>
    <t>N E T   T O T A L</t>
  </si>
  <si>
    <t>C A P I T A L   L E V E R A G E</t>
  </si>
  <si>
    <t>4 X</t>
  </si>
  <si>
    <t>5 X</t>
  </si>
  <si>
    <r>
      <t xml:space="preserve">B I T C O I N   L E A S I N G   Y I E L D
A N N U A L I Z E D   </t>
    </r>
    <r>
      <rPr>
        <sz val="20"/>
        <color rgb="FFFFA500"/>
        <rFont val="Aptos Narrow"/>
        <family val="2"/>
        <scheme val="minor"/>
      </rPr>
      <t>B T C</t>
    </r>
    <r>
      <rPr>
        <sz val="20"/>
        <color rgb="FF1F9BFD"/>
        <rFont val="Aptos Narrow"/>
        <family val="2"/>
        <scheme val="minor"/>
      </rPr>
      <t xml:space="preserve">
5   Y E A R   A V E R A G E</t>
    </r>
  </si>
  <si>
    <r>
      <t xml:space="preserve">B I T C O I N   L E A S I N G   Y I E L D
A N N U A L I Z E D   </t>
    </r>
    <r>
      <rPr>
        <sz val="20"/>
        <color rgb="FFFFA500"/>
        <rFont val="Aptos Narrow"/>
        <family val="2"/>
        <scheme val="minor"/>
      </rPr>
      <t>B T C</t>
    </r>
    <r>
      <rPr>
        <sz val="20"/>
        <color rgb="FF1F9BFD"/>
        <rFont val="Aptos Narrow"/>
        <family val="2"/>
        <scheme val="minor"/>
      </rPr>
      <t xml:space="preserve">
10   Y E A R   A V E R A G E</t>
    </r>
  </si>
  <si>
    <t>S E C U R I T Y</t>
  </si>
  <si>
    <r>
      <rPr>
        <sz val="20"/>
        <color rgb="FFCCCCCC"/>
        <rFont val="Aptos Narrow"/>
        <family val="2"/>
        <scheme val="minor"/>
      </rPr>
      <t xml:space="preserve">A M P L I F Y 
Y O U R
</t>
    </r>
    <r>
      <rPr>
        <sz val="20"/>
        <color rgb="FFFFA500"/>
        <rFont val="Aptos Narrow"/>
        <family val="2"/>
        <scheme val="minor"/>
      </rPr>
      <t xml:space="preserve">B I T C O I N
</t>
    </r>
    <r>
      <rPr>
        <sz val="20"/>
        <color rgb="FFCCCCCC"/>
        <rFont val="Aptos Narrow"/>
        <family val="2"/>
        <scheme val="minor"/>
      </rPr>
      <t>O N   T H E</t>
    </r>
    <r>
      <rPr>
        <sz val="20"/>
        <color rgb="FFFFA500"/>
        <rFont val="Aptos Narrow"/>
        <family val="2"/>
        <scheme val="minor"/>
      </rPr>
      <t xml:space="preserve">
L I G H T N I N G
N E T W O R K</t>
    </r>
  </si>
  <si>
    <t>R E C E I V E S</t>
  </si>
  <si>
    <t>D E S C R I P T I O N</t>
  </si>
  <si>
    <t>Lightning Service Provider</t>
  </si>
  <si>
    <t>B U Y S</t>
  </si>
  <si>
    <t>Bitcoin Borrower</t>
  </si>
  <si>
    <t>Fiat Lender</t>
  </si>
  <si>
    <t>Security Fees</t>
  </si>
  <si>
    <t>Debt and Service Fees</t>
  </si>
  <si>
    <t>Net Total Bitcoin Yield</t>
  </si>
  <si>
    <t>M E E T   T H E
P L A Y E R S</t>
  </si>
  <si>
    <t>P O S I T I O N</t>
  </si>
  <si>
    <r>
      <t xml:space="preserve">B I T C O I N   L E A S I N G   Y I E L D
A N N U A L I Z E D   </t>
    </r>
    <r>
      <rPr>
        <sz val="20"/>
        <color rgb="FF719C59"/>
        <rFont val="Aptos Narrow"/>
        <family val="2"/>
        <scheme val="minor"/>
      </rPr>
      <t>F I A T</t>
    </r>
    <r>
      <rPr>
        <sz val="20"/>
        <color rgb="FF1F9BFD"/>
        <rFont val="Aptos Narrow"/>
        <family val="2"/>
        <scheme val="minor"/>
      </rPr>
      <t xml:space="preserve">   O R   </t>
    </r>
    <r>
      <rPr>
        <sz val="20"/>
        <color rgb="FFFFA500"/>
        <rFont val="Aptos Narrow"/>
        <family val="2"/>
        <scheme val="minor"/>
      </rPr>
      <t>B T C</t>
    </r>
  </si>
  <si>
    <r>
      <t xml:space="preserve">B I T C O I N   L E A S I N G   F E E S
A N N U A L I Z E D   </t>
    </r>
    <r>
      <rPr>
        <sz val="20"/>
        <color rgb="FF719C59"/>
        <rFont val="Aptos Narrow"/>
        <family val="2"/>
        <scheme val="minor"/>
      </rPr>
      <t>F I A T</t>
    </r>
  </si>
  <si>
    <t>L E A S E - T O - C A P I T A L</t>
  </si>
  <si>
    <t>T O T A L</t>
  </si>
  <si>
    <r>
      <t xml:space="preserve">Self-custodial </t>
    </r>
    <r>
      <rPr>
        <sz val="20"/>
        <color rgb="FFFFA500"/>
        <rFont val="Aptos Narrow"/>
        <family val="2"/>
        <scheme val="minor"/>
      </rPr>
      <t>bitcoin</t>
    </r>
    <r>
      <rPr>
        <sz val="20"/>
        <color rgb="FFCCCCCC"/>
        <rFont val="Aptos Narrow"/>
        <family val="2"/>
        <scheme val="minor"/>
      </rPr>
      <t xml:space="preserve"> </t>
    </r>
    <r>
      <rPr>
        <sz val="20"/>
        <color rgb="FFFFA500"/>
        <rFont val="Aptos Narrow"/>
        <family val="2"/>
        <scheme val="minor"/>
      </rPr>
      <t>capital</t>
    </r>
    <r>
      <rPr>
        <sz val="20"/>
        <color rgb="FFCCCCCC"/>
        <rFont val="Aptos Narrow"/>
        <family val="2"/>
        <scheme val="minor"/>
      </rPr>
      <t xml:space="preserve"> with price drawdown liquidation protection</t>
    </r>
  </si>
  <si>
    <r>
      <t xml:space="preserve">Custodial </t>
    </r>
    <r>
      <rPr>
        <sz val="20"/>
        <color rgb="FF719C59"/>
        <rFont val="Aptos Narrow"/>
        <family val="2"/>
        <scheme val="minor"/>
      </rPr>
      <t>bitcoin</t>
    </r>
    <r>
      <rPr>
        <sz val="20"/>
        <color rgb="FFCCCCCC"/>
        <rFont val="Aptos Narrow"/>
        <family val="2"/>
        <scheme val="minor"/>
      </rPr>
      <t xml:space="preserve"> </t>
    </r>
    <r>
      <rPr>
        <sz val="20"/>
        <color rgb="FF719C59"/>
        <rFont val="Aptos Narrow"/>
        <family val="2"/>
        <scheme val="minor"/>
      </rPr>
      <t>credit</t>
    </r>
    <r>
      <rPr>
        <sz val="20"/>
        <color rgb="FFCCCCCC"/>
        <rFont val="Aptos Narrow"/>
        <family val="2"/>
        <scheme val="minor"/>
      </rPr>
      <t xml:space="preserve"> with fiat price stability</t>
    </r>
  </si>
  <si>
    <t>A global, permissionless, decentralized and distributed strategy for ultra-high yields using leveraged bitcoin growth, liquidity and transaction leasing exposure</t>
  </si>
  <si>
    <r>
      <t xml:space="preserve">Balancer providing </t>
    </r>
    <r>
      <rPr>
        <sz val="20"/>
        <color theme="5"/>
        <rFont val="Aptos Narrow"/>
        <family val="2"/>
        <scheme val="minor"/>
      </rPr>
      <t>bitcoin yield</t>
    </r>
    <r>
      <rPr>
        <sz val="20"/>
        <color rgb="FFCCCCCC"/>
        <rFont val="Aptos Narrow"/>
        <family val="2"/>
        <scheme val="minor"/>
      </rPr>
      <t xml:space="preserve"> collection and distribution services</t>
    </r>
  </si>
  <si>
    <t>Security (ex: ETF)</t>
  </si>
  <si>
    <t>3 . 5 X</t>
  </si>
  <si>
    <t>3 X</t>
  </si>
  <si>
    <t>2 X</t>
  </si>
  <si>
    <t>4 . 5 X</t>
  </si>
  <si>
    <t>2 . 5 X</t>
  </si>
  <si>
    <t>A M P L I F I E D   C A G R</t>
  </si>
  <si>
    <t>Y E A R   1</t>
  </si>
  <si>
    <t>Y E A R   2</t>
  </si>
  <si>
    <t>Y E A R   3</t>
  </si>
  <si>
    <t>Y E A R   4</t>
  </si>
  <si>
    <t>Y E A R   5</t>
  </si>
  <si>
    <t>Y E A R   6</t>
  </si>
  <si>
    <t>Y E A R   7</t>
  </si>
  <si>
    <t>Y E A R   8</t>
  </si>
  <si>
    <t>Y E A R   9</t>
  </si>
  <si>
    <t>Y E A R   10</t>
  </si>
  <si>
    <t>S E R V I C E   F E E</t>
  </si>
  <si>
    <t>D E B T
L E A S E
T O
C A P I T A L</t>
  </si>
  <si>
    <r>
      <t xml:space="preserve">C U M U L A T I V E   </t>
    </r>
    <r>
      <rPr>
        <sz val="20"/>
        <color rgb="FF719C59"/>
        <rFont val="Aptos Narrow"/>
        <family val="2"/>
        <scheme val="minor"/>
      </rPr>
      <t>F I A T</t>
    </r>
  </si>
  <si>
    <r>
      <t xml:space="preserve">C U M U L A T I V E   </t>
    </r>
    <r>
      <rPr>
        <sz val="20"/>
        <color rgb="FFFFA500"/>
        <rFont val="Aptos Narrow"/>
        <family val="2"/>
        <scheme val="minor"/>
      </rPr>
      <t>B T C</t>
    </r>
  </si>
  <si>
    <r>
      <t xml:space="preserve">R E M A I N I N G   </t>
    </r>
    <r>
      <rPr>
        <sz val="20"/>
        <color rgb="FFFFA500"/>
        <rFont val="Aptos Narrow"/>
        <family val="2"/>
        <scheme val="minor"/>
      </rPr>
      <t>B T C</t>
    </r>
  </si>
  <si>
    <r>
      <t xml:space="preserve">B I T C O I N   L E A S I N G   F E E S
A N N U A L I Z E D   </t>
    </r>
    <r>
      <rPr>
        <sz val="20"/>
        <color rgb="FFFFA500"/>
        <rFont val="Aptos Narrow"/>
        <family val="2"/>
        <scheme val="minor"/>
      </rPr>
      <t>B T C</t>
    </r>
  </si>
  <si>
    <r>
      <t xml:space="preserve">B I T C O I N   L E A S I N G   Y I E L D
A N N U A L I Z E D   </t>
    </r>
    <r>
      <rPr>
        <sz val="20"/>
        <color rgb="FFFFA500"/>
        <rFont val="Aptos Narrow"/>
        <family val="2"/>
        <scheme val="minor"/>
      </rPr>
      <t>B T C</t>
    </r>
  </si>
  <si>
    <t>B I T C O I N   G R O W T H</t>
  </si>
  <si>
    <t>B I T CO I N   E X T R A C T I O N</t>
  </si>
  <si>
    <r>
      <t xml:space="preserve">C A P I T A L   I N   </t>
    </r>
    <r>
      <rPr>
        <sz val="20"/>
        <color rgb="FFFFA500"/>
        <rFont val="Aptos Narrow"/>
        <family val="2"/>
        <scheme val="minor"/>
      </rPr>
      <t>B T C</t>
    </r>
  </si>
  <si>
    <r>
      <t xml:space="preserve">B I T C O I N   I N   </t>
    </r>
    <r>
      <rPr>
        <sz val="20"/>
        <color rgb="FF719C59"/>
        <rFont val="Aptos Narrow"/>
        <family val="2"/>
        <scheme val="minor"/>
      </rPr>
      <t>F I A T</t>
    </r>
  </si>
  <si>
    <t>T E S T   C A S E</t>
  </si>
  <si>
    <r>
      <rPr>
        <sz val="20"/>
        <color rgb="FF1F9BFD"/>
        <rFont val="Aptos Narrow"/>
        <family val="2"/>
        <scheme val="minor"/>
      </rPr>
      <t xml:space="preserve">T V L
I N </t>
    </r>
    <r>
      <rPr>
        <sz val="20"/>
        <color rgb="FFFFA500"/>
        <rFont val="Aptos Narrow"/>
        <family val="2"/>
        <scheme val="minor"/>
      </rPr>
      <t xml:space="preserve">  B T C</t>
    </r>
  </si>
  <si>
    <t>F E E   T O T A L</t>
  </si>
  <si>
    <r>
      <t xml:space="preserve">B I T C O I N   T V L   R E V E N U E
A N N U A L I Z E D   </t>
    </r>
    <r>
      <rPr>
        <sz val="20"/>
        <color rgb="FFFFA500"/>
        <rFont val="Aptos Narrow"/>
        <family val="2"/>
        <scheme val="minor"/>
      </rPr>
      <t>B T C</t>
    </r>
  </si>
  <si>
    <r>
      <t xml:space="preserve">B I T C O I N   T V L   R E V E N U E
A N N U A L I Z E D   </t>
    </r>
    <r>
      <rPr>
        <sz val="20"/>
        <color rgb="FFFFA500"/>
        <rFont val="Aptos Narrow"/>
        <family val="2"/>
        <scheme val="minor"/>
      </rPr>
      <t>B T C</t>
    </r>
    <r>
      <rPr>
        <sz val="20"/>
        <color rgb="FF1F9BFD"/>
        <rFont val="Aptos Narrow"/>
        <family val="2"/>
        <scheme val="minor"/>
      </rPr>
      <t xml:space="preserve">
5   Y E A R   A V E R A G E</t>
    </r>
  </si>
  <si>
    <r>
      <t xml:space="preserve">B I T C O I N   T V L   R E V E N U E
A N N U A L I Z E D   </t>
    </r>
    <r>
      <rPr>
        <sz val="20"/>
        <color rgb="FFFFA500"/>
        <rFont val="Aptos Narrow"/>
        <family val="2"/>
        <scheme val="minor"/>
      </rPr>
      <t>B T C</t>
    </r>
    <r>
      <rPr>
        <sz val="20"/>
        <color rgb="FF1F9BFD"/>
        <rFont val="Aptos Narrow"/>
        <family val="2"/>
        <scheme val="minor"/>
      </rPr>
      <t xml:space="preserve">
10   Y E A R   A V E R A G E</t>
    </r>
  </si>
  <si>
    <t>B I T C O I N   L I G H T N I N G   C R E D I T   D E R I V A T I V E S   -   L S P   R E V E N U E   S U M M A R Y</t>
  </si>
  <si>
    <t>B I T C O I N   L I G H T N I N G   C R E D I T   D E R I V A T I V E S   -   B I T C O I N   B O R R O W E R   Y I E L D   S U M M A R Y</t>
  </si>
  <si>
    <t>B I T C O I N   L I G H T N I N G   C R E D I T   D E R I V A T I V E S   -   S H A R E D   V A R I A B L E S</t>
  </si>
  <si>
    <t>B I T C O I N   L I G H T N I N G   C R E D I T   D E R I V A T I V E S   -   L E N D E R   Y I E L D   S U M M A R Y</t>
  </si>
  <si>
    <r>
      <t xml:space="preserve">E X P E C T E D   S E C U R I T Y   Y I E L D
A N N U A L I Z E D   </t>
    </r>
    <r>
      <rPr>
        <sz val="20"/>
        <color rgb="FF719C59"/>
        <rFont val="Aptos Narrow"/>
        <family val="2"/>
        <scheme val="minor"/>
      </rPr>
      <t>F I A T</t>
    </r>
  </si>
  <si>
    <t>Security = Bond, Preferred Share, Exchange Traded Fund (ETF)</t>
  </si>
  <si>
    <r>
      <t xml:space="preserve">A M P L I F Y   Y O U R   </t>
    </r>
    <r>
      <rPr>
        <sz val="20"/>
        <color rgb="FF719C59"/>
        <rFont val="Aptos Narrow"/>
        <family val="2"/>
        <scheme val="minor"/>
      </rPr>
      <t>F I A 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</si>
</sst>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##0.00,,&quot; M&quot;"/>
    <numFmt numFmtId="165" formatCode="#,##0,&quot; K&quot;"/>
    <numFmt numFmtId="166" formatCode="###0.0,,&quot; M&quot;"/>
  </numFmts>
  <fonts count="25" x14ac:knownFonts="1">
    <font>
      <sz val="11"/>
      <color theme="1"/>
      <name val="Aptos Narrow"/>
      <family val="2"/>
      <scheme val="minor"/>
    </font>
    <font>
      <sz val="16"/>
      <color rgb="FF1F9BFD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 tint="-0.14999847407452621"/>
      <name val="Aptos Narrow"/>
      <family val="2"/>
      <scheme val="minor"/>
    </font>
    <font>
      <sz val="16"/>
      <color rgb="FFFFA50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22"/>
      <color rgb="FF1F9BFD"/>
      <name val="Aptos Narrow"/>
      <family val="2"/>
      <scheme val="minor"/>
    </font>
    <font>
      <sz val="16"/>
      <color theme="0" tint="-0.14999847407452621"/>
      <name val="Aptos Narrow"/>
      <family val="2"/>
      <scheme val="minor"/>
    </font>
    <font>
      <sz val="18"/>
      <color rgb="FFFFA500"/>
      <name val="Aptos Narrow"/>
      <family val="2"/>
      <scheme val="minor"/>
    </font>
    <font>
      <sz val="16"/>
      <color rgb="FFCCCCCC"/>
      <name val="Aptos Narrow"/>
      <family val="2"/>
      <scheme val="minor"/>
    </font>
    <font>
      <sz val="18"/>
      <color rgb="FF1F9BFD"/>
      <name val="Aptos Narrow"/>
      <family val="2"/>
      <scheme val="minor"/>
    </font>
    <font>
      <sz val="20"/>
      <color rgb="FFFFA500"/>
      <name val="Aptos Narrow"/>
      <family val="2"/>
      <scheme val="minor"/>
    </font>
    <font>
      <sz val="20"/>
      <color rgb="FFCCCCCC"/>
      <name val="Aptos Narrow"/>
      <family val="2"/>
      <scheme val="minor"/>
    </font>
    <font>
      <sz val="20"/>
      <color rgb="FF1F9BFD"/>
      <name val="Aptos Narrow"/>
      <family val="2"/>
      <scheme val="minor"/>
    </font>
    <font>
      <sz val="20"/>
      <color theme="0" tint="-0.14999847407452621"/>
      <name val="Aptos Narrow"/>
      <family val="2"/>
      <scheme val="minor"/>
    </font>
    <font>
      <sz val="20"/>
      <color rgb="FF719C59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24"/>
      <color rgb="FF719C59"/>
      <name val="Aptos Narrow"/>
      <family val="2"/>
      <scheme val="minor"/>
    </font>
    <font>
      <sz val="24"/>
      <color rgb="FFFFA500"/>
      <name val="Aptos Narrow"/>
      <family val="2"/>
      <scheme val="minor"/>
    </font>
    <font>
      <sz val="20"/>
      <color theme="5"/>
      <name val="Aptos Narrow"/>
      <family val="2"/>
      <scheme val="minor"/>
    </font>
    <font>
      <sz val="28"/>
      <color rgb="FF1F9BFD"/>
      <name val="Aptos Narrow"/>
      <family val="2"/>
      <scheme val="minor"/>
    </font>
    <font>
      <sz val="30"/>
      <color rgb="FFFFA500"/>
      <name val="Aptos Narrow"/>
      <family val="2"/>
      <scheme val="minor"/>
    </font>
    <font>
      <sz val="24"/>
      <color rgb="FF1F9BFD"/>
      <name val="Aptos Narrow"/>
      <family val="2"/>
      <scheme val="minor"/>
    </font>
    <font>
      <sz val="11"/>
      <color rgb="FFFFA500"/>
      <name val="Aptos Narrow"/>
      <family val="2"/>
      <scheme val="minor"/>
    </font>
    <font>
      <sz val="36"/>
      <color rgb="FF719C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1F9BFD"/>
      </top>
      <bottom style="medium">
        <color rgb="FF1F9BFD"/>
      </bottom>
      <diagonal/>
    </border>
    <border>
      <left/>
      <right/>
      <top style="medium">
        <color rgb="FF1F9BFD"/>
      </top>
      <bottom/>
      <diagonal/>
    </border>
    <border>
      <left/>
      <right/>
      <top/>
      <bottom style="medium">
        <color rgb="FF1F9BFD"/>
      </bottom>
      <diagonal/>
    </border>
    <border>
      <left style="thick">
        <color rgb="FF1F9BFD"/>
      </left>
      <right style="thick">
        <color rgb="FF1F9BFD"/>
      </right>
      <top/>
      <bottom/>
      <diagonal/>
    </border>
    <border>
      <left/>
      <right style="thick">
        <color rgb="FF1F9BFD"/>
      </right>
      <top/>
      <bottom/>
      <diagonal/>
    </border>
    <border>
      <left style="thick">
        <color rgb="FF1F9BFD"/>
      </left>
      <right style="thick">
        <color rgb="FF1F9BFD"/>
      </right>
      <top/>
      <bottom style="medium">
        <color rgb="FF1F9BFD"/>
      </bottom>
      <diagonal/>
    </border>
    <border>
      <left style="thick">
        <color rgb="FF1F9BFD"/>
      </left>
      <right/>
      <top/>
      <bottom/>
      <diagonal/>
    </border>
    <border>
      <left/>
      <right style="thick">
        <color rgb="FF1F9BFD"/>
      </right>
      <top/>
      <bottom style="medium">
        <color rgb="FF1F9BFD"/>
      </bottom>
      <diagonal/>
    </border>
    <border>
      <left style="thick">
        <color rgb="FF1F9BFD"/>
      </left>
      <right/>
      <top/>
      <bottom style="medium">
        <color rgb="FF1F9BFD"/>
      </bottom>
      <diagonal/>
    </border>
    <border>
      <left/>
      <right/>
      <top style="thin">
        <color rgb="FF719C59"/>
      </top>
      <bottom style="medium">
        <color rgb="FF1F9BFD"/>
      </bottom>
      <diagonal/>
    </border>
    <border>
      <left/>
      <right/>
      <top style="thin">
        <color rgb="FF1F9BFD"/>
      </top>
      <bottom style="medium">
        <color rgb="FF1F9BFD"/>
      </bottom>
      <diagonal/>
    </border>
    <border>
      <left/>
      <right/>
      <top/>
      <bottom style="thin">
        <color rgb="FF719C59"/>
      </bottom>
      <diagonal/>
    </border>
    <border>
      <left/>
      <right/>
      <top style="thin">
        <color rgb="FFFFA500"/>
      </top>
      <bottom/>
      <diagonal/>
    </border>
    <border>
      <left/>
      <right/>
      <top style="thin">
        <color rgb="FFFFA500"/>
      </top>
      <bottom style="medium">
        <color rgb="FF1F9BFD"/>
      </bottom>
      <diagonal/>
    </border>
    <border>
      <left/>
      <right/>
      <top/>
      <bottom style="thin">
        <color rgb="FF1F9BFD"/>
      </bottom>
      <diagonal/>
    </border>
    <border>
      <left/>
      <right/>
      <top style="medium">
        <color rgb="FF1F9BFD"/>
      </top>
      <bottom style="thin">
        <color rgb="FFFFA5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right" vertical="center" inden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 vertical="center" indent="1"/>
    </xf>
    <xf numFmtId="0" fontId="9" fillId="2" borderId="0" xfId="0" applyFont="1" applyFill="1" applyAlignment="1">
      <alignment horizontal="left" indent="1"/>
    </xf>
    <xf numFmtId="0" fontId="10" fillId="2" borderId="0" xfId="0" applyFont="1" applyFill="1" applyAlignment="1">
      <alignment horizontal="left" vertical="top" indent="1"/>
    </xf>
    <xf numFmtId="0" fontId="8" fillId="2" borderId="0" xfId="0" applyFont="1" applyFill="1" applyAlignment="1">
      <alignment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/>
    </xf>
    <xf numFmtId="0" fontId="1" fillId="2" borderId="3" xfId="0" applyFont="1" applyFill="1" applyBorder="1" applyAlignment="1">
      <alignment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9" fontId="12" fillId="2" borderId="0" xfId="0" applyNumberFormat="1" applyFont="1" applyFill="1" applyAlignment="1">
      <alignment horizontal="center" vertical="center"/>
    </xf>
    <xf numFmtId="9" fontId="12" fillId="2" borderId="2" xfId="0" applyNumberFormat="1" applyFont="1" applyFill="1" applyBorder="1" applyAlignment="1">
      <alignment horizontal="right" vertical="center"/>
    </xf>
    <xf numFmtId="9" fontId="12" fillId="2" borderId="2" xfId="0" applyNumberFormat="1" applyFont="1" applyFill="1" applyBorder="1" applyAlignment="1">
      <alignment horizontal="left" vertical="center"/>
    </xf>
    <xf numFmtId="10" fontId="11" fillId="2" borderId="2" xfId="0" applyNumberFormat="1" applyFont="1" applyFill="1" applyBorder="1" applyAlignment="1">
      <alignment horizontal="center" vertical="center"/>
    </xf>
    <xf numFmtId="9" fontId="12" fillId="2" borderId="0" xfId="0" applyNumberFormat="1" applyFont="1" applyFill="1" applyAlignment="1">
      <alignment horizontal="right" vertical="center"/>
    </xf>
    <xf numFmtId="9" fontId="12" fillId="2" borderId="0" xfId="0" applyNumberFormat="1" applyFont="1" applyFill="1" applyAlignment="1">
      <alignment horizontal="left" vertical="center"/>
    </xf>
    <xf numFmtId="10" fontId="11" fillId="2" borderId="0" xfId="0" applyNumberFormat="1" applyFont="1" applyFill="1" applyAlignment="1">
      <alignment horizontal="center" vertical="center"/>
    </xf>
    <xf numFmtId="9" fontId="11" fillId="2" borderId="0" xfId="0" applyNumberFormat="1" applyFont="1" applyFill="1" applyAlignment="1">
      <alignment horizontal="left" vertical="center"/>
    </xf>
    <xf numFmtId="0" fontId="13" fillId="2" borderId="3" xfId="0" applyFont="1" applyFill="1" applyBorder="1" applyAlignment="1">
      <alignment vertical="center"/>
    </xf>
    <xf numFmtId="0" fontId="12" fillId="2" borderId="0" xfId="0" applyFont="1" applyFill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right" vertical="center" indent="1"/>
    </xf>
    <xf numFmtId="14" fontId="14" fillId="2" borderId="0" xfId="0" applyNumberFormat="1" applyFont="1" applyFill="1" applyAlignment="1">
      <alignment horizontal="right" vertical="center" indent="1"/>
    </xf>
    <xf numFmtId="9" fontId="17" fillId="2" borderId="0" xfId="0" applyNumberFormat="1" applyFont="1" applyFill="1" applyAlignment="1">
      <alignment horizontal="center" vertical="center"/>
    </xf>
    <xf numFmtId="9" fontId="18" fillId="2" borderId="0" xfId="0" applyNumberFormat="1" applyFont="1" applyFill="1" applyAlignment="1">
      <alignment horizontal="center" vertical="center"/>
    </xf>
    <xf numFmtId="10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9" fontId="19" fillId="2" borderId="3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left" vertical="top"/>
    </xf>
    <xf numFmtId="0" fontId="19" fillId="2" borderId="0" xfId="0" applyFont="1" applyFill="1" applyAlignment="1">
      <alignment horizontal="left" vertical="center" wrapText="1"/>
    </xf>
    <xf numFmtId="9" fontId="13" fillId="2" borderId="0" xfId="0" applyNumberFormat="1" applyFont="1" applyFill="1" applyAlignment="1">
      <alignment horizontal="center" vertical="center"/>
    </xf>
    <xf numFmtId="9" fontId="12" fillId="2" borderId="3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center" vertical="center"/>
    </xf>
    <xf numFmtId="9" fontId="19" fillId="2" borderId="0" xfId="0" applyNumberFormat="1" applyFont="1" applyFill="1" applyAlignment="1">
      <alignment horizontal="left" vertical="center"/>
    </xf>
    <xf numFmtId="10" fontId="19" fillId="2" borderId="0" xfId="0" applyNumberFormat="1" applyFont="1" applyFill="1" applyAlignment="1">
      <alignment horizontal="center" vertical="center"/>
    </xf>
    <xf numFmtId="10" fontId="15" fillId="2" borderId="0" xfId="0" applyNumberFormat="1" applyFont="1" applyFill="1" applyAlignment="1">
      <alignment horizontal="center" vertical="center"/>
    </xf>
    <xf numFmtId="10" fontId="15" fillId="2" borderId="10" xfId="0" applyNumberFormat="1" applyFont="1" applyFill="1" applyBorder="1" applyAlignment="1">
      <alignment horizontal="center" vertical="center"/>
    </xf>
    <xf numFmtId="10" fontId="15" fillId="2" borderId="3" xfId="0" applyNumberFormat="1" applyFont="1" applyFill="1" applyBorder="1" applyAlignment="1">
      <alignment horizontal="center" vertical="center"/>
    </xf>
    <xf numFmtId="9" fontId="13" fillId="2" borderId="11" xfId="0" applyNumberFormat="1" applyFont="1" applyFill="1" applyBorder="1" applyAlignment="1">
      <alignment horizontal="center" vertical="center"/>
    </xf>
    <xf numFmtId="0" fontId="14" fillId="2" borderId="0" xfId="0" applyFont="1" applyFill="1"/>
    <xf numFmtId="10" fontId="18" fillId="2" borderId="0" xfId="0" applyNumberFormat="1" applyFont="1" applyFill="1" applyAlignment="1">
      <alignment vertical="center"/>
    </xf>
    <xf numFmtId="10" fontId="17" fillId="2" borderId="0" xfId="0" applyNumberFormat="1" applyFont="1" applyFill="1" applyAlignment="1">
      <alignment vertical="center"/>
    </xf>
    <xf numFmtId="9" fontId="22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165" fontId="12" fillId="2" borderId="2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166" fontId="12" fillId="2" borderId="3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right" vertical="center"/>
    </xf>
    <xf numFmtId="10" fontId="11" fillId="2" borderId="0" xfId="0" applyNumberFormat="1" applyFont="1" applyFill="1" applyAlignment="1">
      <alignment horizontal="left" vertical="center" indent="1"/>
    </xf>
    <xf numFmtId="0" fontId="12" fillId="2" borderId="3" xfId="0" applyFont="1" applyFill="1" applyBorder="1" applyAlignment="1">
      <alignment horizontal="right" vertical="center"/>
    </xf>
    <xf numFmtId="10" fontId="11" fillId="2" borderId="3" xfId="0" applyNumberFormat="1" applyFont="1" applyFill="1" applyBorder="1" applyAlignment="1">
      <alignment horizontal="left" vertical="center" indent="1"/>
    </xf>
    <xf numFmtId="10" fontId="11" fillId="2" borderId="2" xfId="0" applyNumberFormat="1" applyFont="1" applyFill="1" applyBorder="1" applyAlignment="1">
      <alignment horizontal="left" vertical="center" indent="1"/>
    </xf>
    <xf numFmtId="3" fontId="11" fillId="2" borderId="2" xfId="0" applyNumberFormat="1" applyFont="1" applyFill="1" applyBorder="1" applyAlignment="1">
      <alignment horizontal="left" vertical="center" indent="1"/>
    </xf>
    <xf numFmtId="3" fontId="11" fillId="2" borderId="0" xfId="0" applyNumberFormat="1" applyFont="1" applyFill="1" applyAlignment="1">
      <alignment horizontal="left" vertical="center" indent="1"/>
    </xf>
    <xf numFmtId="3" fontId="11" fillId="2" borderId="3" xfId="0" applyNumberFormat="1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0" fontId="15" fillId="2" borderId="1" xfId="0" applyNumberFormat="1" applyFont="1" applyFill="1" applyBorder="1" applyAlignment="1">
      <alignment horizontal="left" vertical="center" indent="1"/>
    </xf>
    <xf numFmtId="0" fontId="11" fillId="2" borderId="0" xfId="0" applyFont="1" applyFill="1" applyAlignment="1">
      <alignment vertical="justify" wrapText="1"/>
    </xf>
    <xf numFmtId="164" fontId="15" fillId="2" borderId="1" xfId="0" applyNumberFormat="1" applyFont="1" applyFill="1" applyBorder="1" applyAlignment="1">
      <alignment horizontal="left" vertical="center" indent="1"/>
    </xf>
    <xf numFmtId="4" fontId="11" fillId="2" borderId="0" xfId="0" applyNumberFormat="1" applyFont="1" applyFill="1" applyAlignment="1">
      <alignment horizontal="left" vertical="center" indent="1"/>
    </xf>
    <xf numFmtId="4" fontId="11" fillId="2" borderId="3" xfId="0" applyNumberFormat="1" applyFont="1" applyFill="1" applyBorder="1" applyAlignment="1">
      <alignment horizontal="left" vertical="center" indent="1"/>
    </xf>
    <xf numFmtId="4" fontId="19" fillId="2" borderId="3" xfId="0" applyNumberFormat="1" applyFont="1" applyFill="1" applyBorder="1" applyAlignment="1">
      <alignment horizontal="left" vertical="center" indent="1"/>
    </xf>
    <xf numFmtId="10" fontId="19" fillId="2" borderId="12" xfId="0" applyNumberFormat="1" applyFont="1" applyFill="1" applyBorder="1" applyAlignment="1">
      <alignment horizontal="center" vertical="center"/>
    </xf>
    <xf numFmtId="10" fontId="11" fillId="2" borderId="1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center"/>
    </xf>
    <xf numFmtId="2" fontId="14" fillId="2" borderId="0" xfId="0" applyNumberFormat="1" applyFont="1" applyFill="1" applyAlignment="1">
      <alignment vertical="top"/>
    </xf>
    <xf numFmtId="10" fontId="19" fillId="2" borderId="3" xfId="0" applyNumberFormat="1" applyFont="1" applyFill="1" applyBorder="1" applyAlignment="1">
      <alignment horizontal="left" vertical="center" indent="1"/>
    </xf>
    <xf numFmtId="10" fontId="11" fillId="2" borderId="13" xfId="0" applyNumberFormat="1" applyFont="1" applyFill="1" applyBorder="1" applyAlignment="1">
      <alignment horizontal="left" vertical="center" indent="1"/>
    </xf>
    <xf numFmtId="4" fontId="11" fillId="2" borderId="13" xfId="0" applyNumberFormat="1" applyFont="1" applyFill="1" applyBorder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/>
    </xf>
    <xf numFmtId="10" fontId="11" fillId="2" borderId="14" xfId="0" applyNumberFormat="1" applyFont="1" applyFill="1" applyBorder="1" applyAlignment="1">
      <alignment horizontal="left" vertical="center" indent="1"/>
    </xf>
    <xf numFmtId="4" fontId="11" fillId="2" borderId="14" xfId="0" applyNumberFormat="1" applyFont="1" applyFill="1" applyBorder="1" applyAlignment="1">
      <alignment horizontal="left" vertical="center" indent="1"/>
    </xf>
    <xf numFmtId="9" fontId="11" fillId="2" borderId="3" xfId="0" applyNumberFormat="1" applyFont="1" applyFill="1" applyBorder="1" applyAlignment="1">
      <alignment horizontal="left" vertical="center"/>
    </xf>
    <xf numFmtId="3" fontId="11" fillId="2" borderId="0" xfId="0" applyNumberFormat="1" applyFont="1" applyFill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10" fontId="11" fillId="2" borderId="16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left" vertical="center" wrapText="1"/>
    </xf>
    <xf numFmtId="9" fontId="12" fillId="2" borderId="2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right" vertical="center" wrapText="1"/>
    </xf>
    <xf numFmtId="0" fontId="19" fillId="2" borderId="3" xfId="0" applyFont="1" applyFill="1" applyBorder="1" applyAlignment="1">
      <alignment horizontal="left" vertical="center" wrapText="1"/>
    </xf>
    <xf numFmtId="9" fontId="13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10" fontId="13" fillId="2" borderId="0" xfId="0" applyNumberFormat="1" applyFont="1" applyFill="1" applyAlignment="1">
      <alignment horizontal="left" vertical="center"/>
    </xf>
    <xf numFmtId="0" fontId="21" fillId="2" borderId="0" xfId="0" applyFont="1" applyFill="1" applyAlignment="1">
      <alignment horizontal="justify" vertical="center" wrapText="1"/>
    </xf>
    <xf numFmtId="0" fontId="12" fillId="2" borderId="0" xfId="0" applyFont="1" applyFill="1" applyAlignment="1">
      <alignment horizontal="right" vertical="center"/>
    </xf>
    <xf numFmtId="0" fontId="14" fillId="2" borderId="5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10" fontId="17" fillId="2" borderId="8" xfId="0" applyNumberFormat="1" applyFont="1" applyFill="1" applyBorder="1" applyAlignment="1">
      <alignment horizontal="center" vertical="center"/>
    </xf>
    <xf numFmtId="10" fontId="17" fillId="2" borderId="6" xfId="0" applyNumberFormat="1" applyFont="1" applyFill="1" applyBorder="1" applyAlignment="1">
      <alignment horizontal="center" vertical="center"/>
    </xf>
    <xf numFmtId="10" fontId="17" fillId="2" borderId="9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justify" vertical="justify" wrapText="1"/>
    </xf>
    <xf numFmtId="0" fontId="11" fillId="2" borderId="0" xfId="0" applyFont="1" applyFill="1" applyAlignment="1">
      <alignment horizontal="left" wrapText="1"/>
    </xf>
    <xf numFmtId="0" fontId="13" fillId="2" borderId="3" xfId="0" applyFont="1" applyFill="1" applyBorder="1" applyAlignment="1">
      <alignment horizontal="right" vertical="center" wrapText="1"/>
    </xf>
    <xf numFmtId="10" fontId="18" fillId="2" borderId="8" xfId="0" applyNumberFormat="1" applyFont="1" applyFill="1" applyBorder="1" applyAlignment="1">
      <alignment horizontal="center" vertical="center"/>
    </xf>
    <xf numFmtId="10" fontId="18" fillId="2" borderId="6" xfId="0" applyNumberFormat="1" applyFont="1" applyFill="1" applyBorder="1" applyAlignment="1">
      <alignment horizontal="center" vertical="center"/>
    </xf>
    <xf numFmtId="10" fontId="18" fillId="2" borderId="9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/>
    </xf>
    <xf numFmtId="10" fontId="17" fillId="2" borderId="0" xfId="0" applyNumberFormat="1" applyFont="1" applyFill="1" applyAlignment="1">
      <alignment horizontal="center" vertical="center"/>
    </xf>
    <xf numFmtId="10" fontId="24" fillId="2" borderId="0" xfId="0" applyNumberFormat="1" applyFont="1" applyFill="1" applyAlignment="1">
      <alignment horizontal="center" vertical="center"/>
    </xf>
    <xf numFmtId="10" fontId="24" fillId="2" borderId="3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165" fontId="13" fillId="2" borderId="0" xfId="0" applyNumberFormat="1" applyFont="1" applyFill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4" fontId="18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10" fontId="17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top" wrapText="1"/>
    </xf>
    <xf numFmtId="10" fontId="18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9C59"/>
      <color rgb="FFCCCCCC"/>
      <color rgb="FFFFA500"/>
      <color rgb="FF1F9BFD"/>
      <color rgb="FF111111"/>
      <color rgb="FFB87600"/>
      <color rgb="FFF5DAA9"/>
      <color rgb="FFFF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1844527</xdr:colOff>
      <xdr:row>3</xdr:row>
      <xdr:rowOff>178217</xdr:rowOff>
    </xdr:from>
    <xdr:ext cx="1614725" cy="1614725"/>
    <xdr:pic>
      <xdr:nvPicPr>
        <xdr:cNvPr id="2" name="Picture 1">
          <a:extLst>
            <a:ext uri="{FF2B5EF4-FFF2-40B4-BE49-F238E27FC236}">
              <a16:creationId xmlns:a16="http://schemas.microsoft.com/office/drawing/2014/main" id="{5D1A0697-CA8E-484B-8987-76C1325AD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540" y="1116430"/>
          <a:ext cx="1614725" cy="1614725"/>
        </a:xfrm>
        <a:prstGeom prst="rect">
          <a:avLst/>
        </a:prstGeom>
      </xdr:spPr>
    </xdr:pic>
    <xdr:clientData/>
  </xdr:oneCellAnchor>
  <xdr:twoCellAnchor editAs="oneCell">
    <xdr:from>
      <xdr:col>17</xdr:col>
      <xdr:colOff>722782</xdr:colOff>
      <xdr:row>13</xdr:row>
      <xdr:rowOff>89647</xdr:rowOff>
    </xdr:from>
    <xdr:to>
      <xdr:col>17</xdr:col>
      <xdr:colOff>1727141</xdr:colOff>
      <xdr:row>17</xdr:row>
      <xdr:rowOff>39219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7E183D-5697-4CE2-87E4-0E74E47B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8495" y="8914560"/>
          <a:ext cx="1004359" cy="1397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1844527</xdr:colOff>
      <xdr:row>3</xdr:row>
      <xdr:rowOff>178217</xdr:rowOff>
    </xdr:from>
    <xdr:ext cx="1614725" cy="1614725"/>
    <xdr:pic>
      <xdr:nvPicPr>
        <xdr:cNvPr id="2" name="Picture 1">
          <a:extLst>
            <a:ext uri="{FF2B5EF4-FFF2-40B4-BE49-F238E27FC236}">
              <a16:creationId xmlns:a16="http://schemas.microsoft.com/office/drawing/2014/main" id="{29823F36-6366-4AD8-BE86-C8197245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540" y="1116430"/>
          <a:ext cx="1614725" cy="1614725"/>
        </a:xfrm>
        <a:prstGeom prst="rect">
          <a:avLst/>
        </a:prstGeom>
      </xdr:spPr>
    </xdr:pic>
    <xdr:clientData/>
  </xdr:oneCellAnchor>
  <xdr:twoCellAnchor editAs="oneCell">
    <xdr:from>
      <xdr:col>17</xdr:col>
      <xdr:colOff>722782</xdr:colOff>
      <xdr:row>25</xdr:row>
      <xdr:rowOff>89647</xdr:rowOff>
    </xdr:from>
    <xdr:to>
      <xdr:col>17</xdr:col>
      <xdr:colOff>1727141</xdr:colOff>
      <xdr:row>29</xdr:row>
      <xdr:rowOff>39220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893288-12A4-4D89-8056-BBD05F678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8495" y="8914560"/>
          <a:ext cx="1004359" cy="1397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1844527</xdr:colOff>
      <xdr:row>3</xdr:row>
      <xdr:rowOff>178217</xdr:rowOff>
    </xdr:from>
    <xdr:ext cx="1614725" cy="1614725"/>
    <xdr:pic>
      <xdr:nvPicPr>
        <xdr:cNvPr id="2" name="Picture 1">
          <a:extLst>
            <a:ext uri="{FF2B5EF4-FFF2-40B4-BE49-F238E27FC236}">
              <a16:creationId xmlns:a16="http://schemas.microsoft.com/office/drawing/2014/main" id="{CC22780C-1AEB-4B29-8077-376903FD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540" y="1116430"/>
          <a:ext cx="1614725" cy="1614725"/>
        </a:xfrm>
        <a:prstGeom prst="rect">
          <a:avLst/>
        </a:prstGeom>
      </xdr:spPr>
    </xdr:pic>
    <xdr:clientData/>
  </xdr:oneCellAnchor>
  <xdr:twoCellAnchor editAs="oneCell">
    <xdr:from>
      <xdr:col>17</xdr:col>
      <xdr:colOff>722782</xdr:colOff>
      <xdr:row>23</xdr:row>
      <xdr:rowOff>89647</xdr:rowOff>
    </xdr:from>
    <xdr:to>
      <xdr:col>17</xdr:col>
      <xdr:colOff>1727141</xdr:colOff>
      <xdr:row>27</xdr:row>
      <xdr:rowOff>39219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28C77-20E0-4DC2-8BB1-D14F75E5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8495" y="8914560"/>
          <a:ext cx="1004359" cy="13973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2857500</xdr:colOff>
      <xdr:row>1</xdr:row>
      <xdr:rowOff>123265</xdr:rowOff>
    </xdr:from>
    <xdr:ext cx="1525077" cy="1525077"/>
    <xdr:pic>
      <xdr:nvPicPr>
        <xdr:cNvPr id="5" name="Picture 4">
          <a:extLst>
            <a:ext uri="{FF2B5EF4-FFF2-40B4-BE49-F238E27FC236}">
              <a16:creationId xmlns:a16="http://schemas.microsoft.com/office/drawing/2014/main" id="{589B796B-30BC-4C1F-BEAF-B7B915B0A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353" y="593912"/>
          <a:ext cx="1525077" cy="152507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4" name="Picture 3">
          <a:extLst>
            <a:ext uri="{FF2B5EF4-FFF2-40B4-BE49-F238E27FC236}">
              <a16:creationId xmlns:a16="http://schemas.microsoft.com/office/drawing/2014/main" id="{EF6777B1-1234-417E-979B-4F65511D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81324"/>
          <a:ext cx="1525077" cy="152507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4" name="Picture 3">
          <a:extLst>
            <a:ext uri="{FF2B5EF4-FFF2-40B4-BE49-F238E27FC236}">
              <a16:creationId xmlns:a16="http://schemas.microsoft.com/office/drawing/2014/main" id="{0D6828FF-F7FE-4DEE-A64B-54EB99C46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81324"/>
          <a:ext cx="1525077" cy="152507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2" name="Picture 1">
          <a:extLst>
            <a:ext uri="{FF2B5EF4-FFF2-40B4-BE49-F238E27FC236}">
              <a16:creationId xmlns:a16="http://schemas.microsoft.com/office/drawing/2014/main" id="{7E0E74CC-24B7-436C-85EA-B7FAC5FF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319" y="379923"/>
          <a:ext cx="1525077" cy="152507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4" name="Picture 3">
          <a:extLst>
            <a:ext uri="{FF2B5EF4-FFF2-40B4-BE49-F238E27FC236}">
              <a16:creationId xmlns:a16="http://schemas.microsoft.com/office/drawing/2014/main" id="{0E72A608-4FCD-4B3E-B6A4-9ACF9D0A5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81324"/>
          <a:ext cx="1525077" cy="152507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4" name="Picture 3">
          <a:extLst>
            <a:ext uri="{FF2B5EF4-FFF2-40B4-BE49-F238E27FC236}">
              <a16:creationId xmlns:a16="http://schemas.microsoft.com/office/drawing/2014/main" id="{314210A8-01D1-410D-9B4C-A387B65E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81324"/>
          <a:ext cx="1525077" cy="152507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4" name="Picture 3">
          <a:extLst>
            <a:ext uri="{FF2B5EF4-FFF2-40B4-BE49-F238E27FC236}">
              <a16:creationId xmlns:a16="http://schemas.microsoft.com/office/drawing/2014/main" id="{405D5D7A-287F-4AF3-A0DC-2D53C974C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81324"/>
          <a:ext cx="1525077" cy="152507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4" name="Picture 3">
          <a:extLst>
            <a:ext uri="{FF2B5EF4-FFF2-40B4-BE49-F238E27FC236}">
              <a16:creationId xmlns:a16="http://schemas.microsoft.com/office/drawing/2014/main" id="{1AAABAB5-7D28-4F14-8E86-A4B3E0389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81324"/>
          <a:ext cx="1525077" cy="152507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1710054</xdr:colOff>
      <xdr:row>1</xdr:row>
      <xdr:rowOff>262261</xdr:rowOff>
    </xdr:from>
    <xdr:ext cx="1525077" cy="1525077"/>
    <xdr:pic>
      <xdr:nvPicPr>
        <xdr:cNvPr id="2" name="Picture 1">
          <a:extLst>
            <a:ext uri="{FF2B5EF4-FFF2-40B4-BE49-F238E27FC236}">
              <a16:creationId xmlns:a16="http://schemas.microsoft.com/office/drawing/2014/main" id="{C1BC1900-5F08-478C-9ED6-9665DA07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79" y="338461"/>
          <a:ext cx="1525077" cy="152507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AE05-D12F-49B5-89DE-12E1253EF13C}">
  <dimension ref="B1:S18"/>
  <sheetViews>
    <sheetView zoomScale="85" zoomScaleNormal="85" workbookViewId="0">
      <selection activeCell="T1" sqref="T1"/>
    </sheetView>
  </sheetViews>
  <sheetFormatPr defaultColWidth="9" defaultRowHeight="33.950000000000003" customHeight="1" x14ac:dyDescent="0.45"/>
  <cols>
    <col min="1" max="1" width="1.3984375" style="4" customWidth="1"/>
    <col min="2" max="2" width="31.6640625" style="3" customWidth="1"/>
    <col min="3" max="3" width="21" style="3" customWidth="1"/>
    <col min="4" max="4" width="34.46484375" style="4" bestFit="1" customWidth="1"/>
    <col min="5" max="5" width="2.33203125" style="4" customWidth="1"/>
    <col min="6" max="6" width="26.9296875" style="4" customWidth="1"/>
    <col min="7" max="7" width="2.33203125" style="4" customWidth="1"/>
    <col min="8" max="8" width="26.9296875" style="4" customWidth="1"/>
    <col min="9" max="9" width="2.33203125" style="4" customWidth="1"/>
    <col min="10" max="10" width="26.9296875" style="4" customWidth="1"/>
    <col min="11" max="11" width="2.33203125" style="4" customWidth="1"/>
    <col min="12" max="12" width="26.9296875" style="4" customWidth="1"/>
    <col min="13" max="13" width="2.33203125" style="4" customWidth="1"/>
    <col min="14" max="14" width="26.9296875" style="4" customWidth="1"/>
    <col min="15" max="15" width="2.33203125" style="4" customWidth="1"/>
    <col min="16" max="16" width="26.9296875" style="4" customWidth="1"/>
    <col min="17" max="17" width="2.33203125" style="4" customWidth="1"/>
    <col min="18" max="18" width="26.9296875" style="4" customWidth="1"/>
    <col min="19" max="23" width="21.06640625" style="4" customWidth="1"/>
    <col min="24" max="16384" width="9" style="4"/>
  </cols>
  <sheetData>
    <row r="1" spans="2:19" s="1" customFormat="1" ht="37.15" x14ac:dyDescent="0.45">
      <c r="B1" s="42" t="s">
        <v>72</v>
      </c>
      <c r="C1" s="17"/>
      <c r="E1" s="11"/>
      <c r="R1" s="34"/>
    </row>
    <row r="2" spans="2:19" s="2" customFormat="1" ht="29.35" customHeight="1" x14ac:dyDescent="0.85">
      <c r="B2" s="31" t="s">
        <v>34</v>
      </c>
      <c r="C2" s="18"/>
      <c r="E2" s="10"/>
      <c r="R2" s="35"/>
    </row>
    <row r="3" spans="2:19" s="2" customFormat="1" ht="7.5" customHeight="1" x14ac:dyDescent="0.65">
      <c r="B3" s="12"/>
      <c r="C3" s="12"/>
      <c r="D3" s="6"/>
      <c r="E3" s="6"/>
      <c r="R3" s="7"/>
      <c r="S3" s="9"/>
    </row>
    <row r="4" spans="2:19" s="5" customFormat="1" ht="31.15" customHeight="1" x14ac:dyDescent="0.85">
      <c r="B4" s="118" t="s">
        <v>16</v>
      </c>
      <c r="C4" s="119"/>
      <c r="D4" s="108" t="s">
        <v>28</v>
      </c>
      <c r="E4" s="108"/>
      <c r="F4" s="108"/>
      <c r="H4" s="112" t="s">
        <v>5</v>
      </c>
      <c r="I4" s="113"/>
      <c r="J4" s="114"/>
      <c r="K4" s="15"/>
      <c r="L4" s="112" t="s">
        <v>4</v>
      </c>
      <c r="M4" s="113"/>
      <c r="N4" s="114"/>
      <c r="O4" s="15"/>
      <c r="P4" s="112" t="s">
        <v>3</v>
      </c>
      <c r="Q4" s="113"/>
      <c r="R4" s="114"/>
      <c r="S4" s="9"/>
    </row>
    <row r="5" spans="2:19" s="5" customFormat="1" ht="37.5" customHeight="1" thickBot="1" x14ac:dyDescent="0.5">
      <c r="B5" s="118"/>
      <c r="C5" s="119"/>
      <c r="D5" s="120"/>
      <c r="E5" s="120"/>
      <c r="F5" s="120"/>
      <c r="G5" s="14"/>
      <c r="H5" s="115">
        <v>0.3</v>
      </c>
      <c r="I5" s="116"/>
      <c r="J5" s="117"/>
      <c r="K5" s="36"/>
      <c r="L5" s="121">
        <v>0.01</v>
      </c>
      <c r="M5" s="122"/>
      <c r="N5" s="123"/>
      <c r="O5" s="37"/>
      <c r="P5" s="121">
        <v>5.0000000000000001E-3</v>
      </c>
      <c r="Q5" s="122"/>
      <c r="R5" s="123"/>
      <c r="S5" s="9"/>
    </row>
    <row r="6" spans="2:19" s="2" customFormat="1" ht="16.899999999999999" customHeight="1" x14ac:dyDescent="0.65">
      <c r="B6" s="118"/>
      <c r="C6" s="12"/>
      <c r="D6" s="6"/>
      <c r="E6" s="6"/>
      <c r="R6" s="7"/>
      <c r="S6" s="9"/>
    </row>
    <row r="7" spans="2:19" s="2" customFormat="1" ht="31.15" customHeight="1" x14ac:dyDescent="0.85">
      <c r="B7" s="118"/>
      <c r="C7" s="12"/>
      <c r="D7" s="108" t="s">
        <v>29</v>
      </c>
      <c r="E7" s="108"/>
      <c r="F7" s="108"/>
      <c r="G7" s="5"/>
      <c r="H7" s="112" t="s">
        <v>15</v>
      </c>
      <c r="I7" s="113"/>
      <c r="J7" s="114"/>
      <c r="K7" s="15"/>
      <c r="L7" s="112" t="s">
        <v>8</v>
      </c>
      <c r="M7" s="113"/>
      <c r="N7" s="114"/>
      <c r="O7" s="15"/>
      <c r="P7" s="112" t="s">
        <v>2</v>
      </c>
      <c r="Q7" s="113"/>
      <c r="R7" s="114"/>
      <c r="S7" s="9"/>
    </row>
    <row r="8" spans="2:19" s="2" customFormat="1" ht="37.5" customHeight="1" thickBot="1" x14ac:dyDescent="0.5">
      <c r="B8" s="118"/>
      <c r="C8" s="12"/>
      <c r="D8" s="120"/>
      <c r="E8" s="120"/>
      <c r="F8" s="120"/>
      <c r="G8" s="14"/>
      <c r="H8" s="115">
        <v>0.115</v>
      </c>
      <c r="I8" s="116"/>
      <c r="J8" s="117"/>
      <c r="K8" s="36"/>
      <c r="L8" s="115">
        <v>7.4999999999999997E-2</v>
      </c>
      <c r="M8" s="116"/>
      <c r="N8" s="117"/>
      <c r="O8" s="37"/>
      <c r="P8" s="115">
        <v>0.05</v>
      </c>
      <c r="Q8" s="116"/>
      <c r="R8" s="117"/>
      <c r="S8" s="9"/>
    </row>
    <row r="9" spans="2:19" s="2" customFormat="1" ht="7.5" customHeight="1" x14ac:dyDescent="0.65">
      <c r="B9" s="12"/>
      <c r="C9" s="12"/>
      <c r="D9" s="6"/>
      <c r="E9" s="6"/>
      <c r="R9" s="7"/>
      <c r="S9" s="9"/>
    </row>
    <row r="10" spans="2:19" ht="37.5" customHeight="1" thickBot="1" x14ac:dyDescent="0.5">
      <c r="B10" s="30" t="s">
        <v>10</v>
      </c>
      <c r="C10" s="19"/>
      <c r="D10" s="16"/>
      <c r="E10" s="13"/>
      <c r="F10" s="46" t="s">
        <v>39</v>
      </c>
      <c r="G10" s="46"/>
      <c r="H10" s="46" t="s">
        <v>41</v>
      </c>
      <c r="I10" s="46"/>
      <c r="J10" s="46" t="s">
        <v>38</v>
      </c>
      <c r="K10" s="46"/>
      <c r="L10" s="46" t="s">
        <v>37</v>
      </c>
      <c r="M10" s="46"/>
      <c r="N10" s="46" t="s">
        <v>11</v>
      </c>
      <c r="O10" s="46"/>
      <c r="P10" s="46" t="s">
        <v>40</v>
      </c>
      <c r="Q10" s="46"/>
      <c r="R10" s="46" t="s">
        <v>12</v>
      </c>
      <c r="S10" s="8"/>
    </row>
    <row r="11" spans="2:19" ht="28.25" customHeight="1" x14ac:dyDescent="0.45">
      <c r="B11" s="105" t="s">
        <v>30</v>
      </c>
      <c r="C11" s="105"/>
      <c r="D11" s="97" t="s">
        <v>7</v>
      </c>
      <c r="E11" s="98"/>
      <c r="F11" s="99">
        <v>1</v>
      </c>
      <c r="G11" s="99"/>
      <c r="H11" s="99">
        <v>1</v>
      </c>
      <c r="I11" s="99"/>
      <c r="J11" s="99">
        <v>1</v>
      </c>
      <c r="K11" s="99"/>
      <c r="L11" s="99">
        <v>1</v>
      </c>
      <c r="M11" s="99"/>
      <c r="N11" s="99">
        <v>1</v>
      </c>
      <c r="O11" s="99"/>
      <c r="P11" s="99">
        <v>1</v>
      </c>
      <c r="Q11" s="99"/>
      <c r="R11" s="99">
        <v>1</v>
      </c>
      <c r="S11" s="8"/>
    </row>
    <row r="12" spans="2:19" ht="28.25" customHeight="1" x14ac:dyDescent="0.45">
      <c r="B12" s="106"/>
      <c r="C12" s="106"/>
      <c r="D12" s="20" t="s">
        <v>8</v>
      </c>
      <c r="E12" s="21"/>
      <c r="F12" s="22">
        <v>0</v>
      </c>
      <c r="G12" s="22"/>
      <c r="H12" s="22">
        <v>0.5</v>
      </c>
      <c r="I12" s="22"/>
      <c r="J12" s="22">
        <v>1</v>
      </c>
      <c r="K12" s="22"/>
      <c r="L12" s="22">
        <v>1.5</v>
      </c>
      <c r="M12" s="22"/>
      <c r="N12" s="22">
        <v>2</v>
      </c>
      <c r="O12" s="22"/>
      <c r="P12" s="22">
        <v>2.5</v>
      </c>
      <c r="Q12" s="22"/>
      <c r="R12" s="22">
        <v>3</v>
      </c>
      <c r="S12" s="8"/>
    </row>
    <row r="13" spans="2:19" ht="28.25" customHeight="1" thickBot="1" x14ac:dyDescent="0.5">
      <c r="B13" s="107"/>
      <c r="C13" s="107"/>
      <c r="D13" s="100" t="s">
        <v>31</v>
      </c>
      <c r="E13" s="101"/>
      <c r="F13" s="52">
        <f>SUM(F11:F12)</f>
        <v>1</v>
      </c>
      <c r="G13" s="102">
        <f t="shared" ref="G13:R13" si="0">SUM(G11:G12)</f>
        <v>0</v>
      </c>
      <c r="H13" s="52">
        <f t="shared" si="0"/>
        <v>1.5</v>
      </c>
      <c r="I13" s="102">
        <f t="shared" si="0"/>
        <v>0</v>
      </c>
      <c r="J13" s="52">
        <f t="shared" si="0"/>
        <v>2</v>
      </c>
      <c r="K13" s="102">
        <f t="shared" si="0"/>
        <v>0</v>
      </c>
      <c r="L13" s="52">
        <f t="shared" si="0"/>
        <v>2.5</v>
      </c>
      <c r="M13" s="102">
        <f t="shared" si="0"/>
        <v>0</v>
      </c>
      <c r="N13" s="52">
        <f t="shared" si="0"/>
        <v>3</v>
      </c>
      <c r="O13" s="102">
        <f t="shared" si="0"/>
        <v>0</v>
      </c>
      <c r="P13" s="52">
        <f t="shared" si="0"/>
        <v>3.5</v>
      </c>
      <c r="Q13" s="102">
        <f t="shared" si="0"/>
        <v>0</v>
      </c>
      <c r="R13" s="52">
        <f t="shared" si="0"/>
        <v>4</v>
      </c>
      <c r="S13" s="8"/>
    </row>
    <row r="14" spans="2:19" ht="28.5" customHeight="1" x14ac:dyDescent="0.45">
      <c r="B14" s="41"/>
      <c r="C14" s="108" t="s">
        <v>27</v>
      </c>
      <c r="D14" s="108"/>
      <c r="E14" s="29"/>
      <c r="F14" s="109" t="s">
        <v>18</v>
      </c>
      <c r="G14" s="109"/>
      <c r="H14" s="109"/>
      <c r="I14" s="109"/>
      <c r="J14" s="109"/>
      <c r="K14" s="109"/>
      <c r="L14" s="109"/>
      <c r="M14" s="28"/>
      <c r="N14" s="39" t="s">
        <v>20</v>
      </c>
      <c r="O14" s="28"/>
      <c r="P14" s="38" t="s">
        <v>17</v>
      </c>
      <c r="Q14" s="28"/>
      <c r="R14" s="28"/>
    </row>
    <row r="15" spans="2:19" s="33" customFormat="1" ht="28.5" customHeight="1" x14ac:dyDescent="0.45">
      <c r="B15" s="110" t="s">
        <v>26</v>
      </c>
      <c r="C15" s="111" t="s">
        <v>21</v>
      </c>
      <c r="D15" s="111"/>
      <c r="F15" s="33" t="s">
        <v>32</v>
      </c>
      <c r="N15" s="33" t="s">
        <v>0</v>
      </c>
      <c r="P15" s="33" t="s">
        <v>25</v>
      </c>
    </row>
    <row r="16" spans="2:19" s="33" customFormat="1" ht="28.5" customHeight="1" x14ac:dyDescent="0.45">
      <c r="B16" s="110"/>
      <c r="C16" s="111" t="s">
        <v>22</v>
      </c>
      <c r="D16" s="111"/>
      <c r="F16" s="33" t="s">
        <v>33</v>
      </c>
      <c r="N16" s="33" t="s">
        <v>36</v>
      </c>
      <c r="P16" s="33" t="s">
        <v>23</v>
      </c>
    </row>
    <row r="17" spans="2:16" s="33" customFormat="1" ht="28.5" customHeight="1" x14ac:dyDescent="0.45">
      <c r="B17" s="110"/>
      <c r="C17" s="111" t="s">
        <v>19</v>
      </c>
      <c r="D17" s="111"/>
      <c r="F17" s="33" t="s">
        <v>35</v>
      </c>
      <c r="N17" s="33" t="s">
        <v>0</v>
      </c>
      <c r="P17" s="33" t="s">
        <v>24</v>
      </c>
    </row>
    <row r="18" spans="2:16" s="32" customFormat="1" ht="33.950000000000003" customHeight="1" x14ac:dyDescent="0.45"/>
  </sheetData>
  <mergeCells count="23">
    <mergeCell ref="P4:R4"/>
    <mergeCell ref="H5:J5"/>
    <mergeCell ref="L5:N5"/>
    <mergeCell ref="P5:R5"/>
    <mergeCell ref="D7:F8"/>
    <mergeCell ref="B4:B8"/>
    <mergeCell ref="C4:C5"/>
    <mergeCell ref="D4:F5"/>
    <mergeCell ref="H4:J4"/>
    <mergeCell ref="L4:N4"/>
    <mergeCell ref="H7:J7"/>
    <mergeCell ref="L7:N7"/>
    <mergeCell ref="P7:R7"/>
    <mergeCell ref="H8:J8"/>
    <mergeCell ref="L8:N8"/>
    <mergeCell ref="P8:R8"/>
    <mergeCell ref="B11:C13"/>
    <mergeCell ref="C14:D14"/>
    <mergeCell ref="F14:L14"/>
    <mergeCell ref="B15:B17"/>
    <mergeCell ref="C15:D15"/>
    <mergeCell ref="C16:D16"/>
    <mergeCell ref="C17:D17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D254-34FD-4931-BC61-CD4D76764792}">
  <dimension ref="B1:S30"/>
  <sheetViews>
    <sheetView tabSelected="1" zoomScale="85" zoomScaleNormal="85" workbookViewId="0">
      <selection activeCell="T1" sqref="T1"/>
    </sheetView>
  </sheetViews>
  <sheetFormatPr defaultColWidth="9" defaultRowHeight="33.950000000000003" customHeight="1" x14ac:dyDescent="0.45"/>
  <cols>
    <col min="1" max="1" width="1.3984375" style="4" customWidth="1"/>
    <col min="2" max="2" width="31.6640625" style="3" customWidth="1"/>
    <col min="3" max="3" width="21" style="3" customWidth="1"/>
    <col min="4" max="4" width="34.46484375" style="4" bestFit="1" customWidth="1"/>
    <col min="5" max="5" width="2.33203125" style="4" customWidth="1"/>
    <col min="6" max="6" width="26.9296875" style="4" customWidth="1"/>
    <col min="7" max="7" width="2.33203125" style="4" customWidth="1"/>
    <col min="8" max="8" width="26.9296875" style="4" customWidth="1"/>
    <col min="9" max="9" width="2.33203125" style="4" customWidth="1"/>
    <col min="10" max="10" width="26.9296875" style="4" customWidth="1"/>
    <col min="11" max="11" width="2.33203125" style="4" customWidth="1"/>
    <col min="12" max="12" width="26.9296875" style="4" customWidth="1"/>
    <col min="13" max="13" width="2.33203125" style="4" customWidth="1"/>
    <col min="14" max="14" width="26.9296875" style="4" customWidth="1"/>
    <col min="15" max="15" width="2.33203125" style="4" customWidth="1"/>
    <col min="16" max="16" width="26.9296875" style="4" customWidth="1"/>
    <col min="17" max="17" width="2.33203125" style="4" customWidth="1"/>
    <col min="18" max="18" width="26.9296875" style="4" customWidth="1"/>
    <col min="19" max="23" width="21.06640625" style="4" customWidth="1"/>
    <col min="24" max="16384" width="9" style="4"/>
  </cols>
  <sheetData>
    <row r="1" spans="2:19" s="1" customFormat="1" ht="37.15" x14ac:dyDescent="0.45">
      <c r="B1" s="42" t="s">
        <v>71</v>
      </c>
      <c r="C1" s="17"/>
      <c r="E1" s="11"/>
      <c r="R1" s="34" t="s">
        <v>1</v>
      </c>
    </row>
    <row r="2" spans="2:19" s="2" customFormat="1" ht="29.35" customHeight="1" x14ac:dyDescent="0.85">
      <c r="B2" s="31" t="s">
        <v>34</v>
      </c>
      <c r="C2" s="18"/>
      <c r="E2" s="10"/>
      <c r="R2" s="35">
        <v>46087</v>
      </c>
    </row>
    <row r="3" spans="2:19" s="2" customFormat="1" ht="7.5" customHeight="1" x14ac:dyDescent="0.65">
      <c r="B3" s="12"/>
      <c r="C3" s="12"/>
      <c r="D3" s="6"/>
      <c r="E3" s="6"/>
      <c r="R3" s="7"/>
      <c r="S3" s="9"/>
    </row>
    <row r="4" spans="2:19" s="5" customFormat="1" ht="31.15" customHeight="1" x14ac:dyDescent="0.85">
      <c r="B4" s="118" t="s">
        <v>16</v>
      </c>
      <c r="C4" s="119"/>
      <c r="D4" s="108" t="s">
        <v>28</v>
      </c>
      <c r="E4" s="108"/>
      <c r="F4" s="108"/>
      <c r="H4" s="112" t="s">
        <v>5</v>
      </c>
      <c r="I4" s="113"/>
      <c r="J4" s="114"/>
      <c r="K4" s="15"/>
      <c r="L4" s="112" t="s">
        <v>4</v>
      </c>
      <c r="M4" s="113"/>
      <c r="N4" s="114"/>
      <c r="O4" s="15"/>
      <c r="P4" s="112" t="s">
        <v>3</v>
      </c>
      <c r="Q4" s="113"/>
      <c r="R4" s="114"/>
      <c r="S4" s="9"/>
    </row>
    <row r="5" spans="2:19" s="5" customFormat="1" ht="37.5" customHeight="1" thickBot="1" x14ac:dyDescent="0.5">
      <c r="B5" s="118"/>
      <c r="C5" s="119"/>
      <c r="D5" s="120"/>
      <c r="E5" s="120"/>
      <c r="F5" s="120"/>
      <c r="G5" s="14"/>
      <c r="H5" s="115">
        <f>SHARED_VARIABLES!H5</f>
        <v>0.3</v>
      </c>
      <c r="I5" s="116"/>
      <c r="J5" s="117"/>
      <c r="K5" s="36"/>
      <c r="L5" s="121">
        <f>SHARED_VARIABLES!L5</f>
        <v>0.01</v>
      </c>
      <c r="M5" s="122"/>
      <c r="N5" s="123"/>
      <c r="O5" s="37"/>
      <c r="P5" s="121">
        <f>SHARED_VARIABLES!P5</f>
        <v>5.0000000000000001E-3</v>
      </c>
      <c r="Q5" s="122"/>
      <c r="R5" s="123"/>
      <c r="S5" s="9"/>
    </row>
    <row r="6" spans="2:19" s="2" customFormat="1" ht="16.899999999999999" customHeight="1" x14ac:dyDescent="0.65">
      <c r="B6" s="118"/>
      <c r="C6" s="12"/>
      <c r="D6" s="6"/>
      <c r="E6" s="6"/>
      <c r="R6" s="7"/>
      <c r="S6" s="9"/>
    </row>
    <row r="7" spans="2:19" s="2" customFormat="1" ht="31.15" customHeight="1" x14ac:dyDescent="0.85">
      <c r="B7" s="118"/>
      <c r="C7" s="12"/>
      <c r="D7" s="108" t="s">
        <v>29</v>
      </c>
      <c r="E7" s="108"/>
      <c r="F7" s="108"/>
      <c r="G7" s="5"/>
      <c r="H7" s="112" t="s">
        <v>15</v>
      </c>
      <c r="I7" s="113"/>
      <c r="J7" s="114"/>
      <c r="K7" s="15"/>
      <c r="L7" s="112" t="s">
        <v>8</v>
      </c>
      <c r="M7" s="113"/>
      <c r="N7" s="114"/>
      <c r="O7" s="15"/>
      <c r="P7" s="112" t="s">
        <v>2</v>
      </c>
      <c r="Q7" s="113"/>
      <c r="R7" s="114"/>
      <c r="S7" s="9"/>
    </row>
    <row r="8" spans="2:19" s="2" customFormat="1" ht="37.5" customHeight="1" thickBot="1" x14ac:dyDescent="0.5">
      <c r="B8" s="118"/>
      <c r="C8" s="12"/>
      <c r="D8" s="120"/>
      <c r="E8" s="120"/>
      <c r="F8" s="120"/>
      <c r="G8" s="14"/>
      <c r="H8" s="115">
        <f>SHARED_VARIABLES!H8</f>
        <v>0.115</v>
      </c>
      <c r="I8" s="116"/>
      <c r="J8" s="117"/>
      <c r="K8" s="36"/>
      <c r="L8" s="115">
        <f>SHARED_VARIABLES!L8</f>
        <v>7.4999999999999997E-2</v>
      </c>
      <c r="M8" s="116"/>
      <c r="N8" s="117"/>
      <c r="O8" s="37"/>
      <c r="P8" s="115">
        <f>SHARED_VARIABLES!P8</f>
        <v>0.05</v>
      </c>
      <c r="Q8" s="116"/>
      <c r="R8" s="117"/>
      <c r="S8" s="9"/>
    </row>
    <row r="9" spans="2:19" s="2" customFormat="1" ht="7.5" customHeight="1" x14ac:dyDescent="0.65">
      <c r="B9" s="12"/>
      <c r="C9" s="12"/>
      <c r="D9" s="6"/>
      <c r="E9" s="6"/>
      <c r="R9" s="7"/>
      <c r="S9" s="9"/>
    </row>
    <row r="10" spans="2:19" ht="37.5" customHeight="1" thickBot="1" x14ac:dyDescent="0.5">
      <c r="B10" s="30" t="s">
        <v>10</v>
      </c>
      <c r="C10" s="19"/>
      <c r="D10" s="16"/>
      <c r="E10" s="13"/>
      <c r="F10" s="46" t="s">
        <v>39</v>
      </c>
      <c r="G10" s="46"/>
      <c r="H10" s="46" t="s">
        <v>41</v>
      </c>
      <c r="I10" s="46"/>
      <c r="J10" s="46" t="s">
        <v>38</v>
      </c>
      <c r="K10" s="46"/>
      <c r="L10" s="46" t="s">
        <v>37</v>
      </c>
      <c r="M10" s="46"/>
      <c r="N10" s="46" t="s">
        <v>11</v>
      </c>
      <c r="O10" s="46"/>
      <c r="P10" s="46" t="s">
        <v>40</v>
      </c>
      <c r="Q10" s="46"/>
      <c r="R10" s="46" t="s">
        <v>12</v>
      </c>
      <c r="S10" s="8"/>
    </row>
    <row r="11" spans="2:19" ht="28.25" customHeight="1" x14ac:dyDescent="0.45">
      <c r="B11" s="105" t="s">
        <v>30</v>
      </c>
      <c r="C11" s="105"/>
      <c r="D11" s="20" t="s">
        <v>7</v>
      </c>
      <c r="E11" s="21"/>
      <c r="F11" s="22">
        <v>1</v>
      </c>
      <c r="G11" s="22"/>
      <c r="H11" s="22">
        <v>1</v>
      </c>
      <c r="I11" s="22"/>
      <c r="J11" s="22">
        <v>1</v>
      </c>
      <c r="K11" s="22"/>
      <c r="L11" s="22">
        <v>1</v>
      </c>
      <c r="M11" s="22"/>
      <c r="N11" s="22">
        <v>1</v>
      </c>
      <c r="O11" s="22"/>
      <c r="P11" s="22">
        <v>1</v>
      </c>
      <c r="Q11" s="22"/>
      <c r="R11" s="22">
        <v>1</v>
      </c>
      <c r="S11" s="8"/>
    </row>
    <row r="12" spans="2:19" ht="28.25" customHeight="1" x14ac:dyDescent="0.45">
      <c r="B12" s="106"/>
      <c r="C12" s="106"/>
      <c r="D12" s="20" t="s">
        <v>8</v>
      </c>
      <c r="E12" s="21"/>
      <c r="F12" s="22">
        <v>0</v>
      </c>
      <c r="G12" s="22"/>
      <c r="H12" s="22">
        <v>0.5</v>
      </c>
      <c r="I12" s="22"/>
      <c r="J12" s="22">
        <v>1</v>
      </c>
      <c r="K12" s="22"/>
      <c r="L12" s="22">
        <v>1.5</v>
      </c>
      <c r="M12" s="22"/>
      <c r="N12" s="22">
        <v>2</v>
      </c>
      <c r="O12" s="22"/>
      <c r="P12" s="22">
        <v>2.5</v>
      </c>
      <c r="Q12" s="22"/>
      <c r="R12" s="22">
        <v>3</v>
      </c>
      <c r="S12" s="8"/>
    </row>
    <row r="13" spans="2:19" ht="28.25" customHeight="1" thickBot="1" x14ac:dyDescent="0.5">
      <c r="B13" s="107"/>
      <c r="C13" s="107"/>
      <c r="D13" s="20" t="s">
        <v>31</v>
      </c>
      <c r="E13" s="43"/>
      <c r="F13" s="52">
        <f>SUM(F11:F12)</f>
        <v>1</v>
      </c>
      <c r="G13" s="44">
        <f t="shared" ref="G13:R13" si="0">SUM(G11:G12)</f>
        <v>0</v>
      </c>
      <c r="H13" s="52">
        <f t="shared" si="0"/>
        <v>1.5</v>
      </c>
      <c r="I13" s="44">
        <f t="shared" si="0"/>
        <v>0</v>
      </c>
      <c r="J13" s="52">
        <f t="shared" si="0"/>
        <v>2</v>
      </c>
      <c r="K13" s="44">
        <f t="shared" si="0"/>
        <v>0</v>
      </c>
      <c r="L13" s="52">
        <f t="shared" si="0"/>
        <v>2.5</v>
      </c>
      <c r="M13" s="44">
        <f t="shared" si="0"/>
        <v>0</v>
      </c>
      <c r="N13" s="52">
        <f t="shared" si="0"/>
        <v>3</v>
      </c>
      <c r="O13" s="44">
        <f t="shared" si="0"/>
        <v>0</v>
      </c>
      <c r="P13" s="52">
        <f t="shared" si="0"/>
        <v>3.5</v>
      </c>
      <c r="Q13" s="44">
        <f t="shared" si="0"/>
        <v>0</v>
      </c>
      <c r="R13" s="52">
        <f t="shared" si="0"/>
        <v>4</v>
      </c>
      <c r="S13" s="8"/>
    </row>
    <row r="14" spans="2:19" ht="28.25" customHeight="1" x14ac:dyDescent="0.45">
      <c r="B14" s="105" t="s">
        <v>13</v>
      </c>
      <c r="C14" s="105"/>
      <c r="D14" s="23" t="s">
        <v>5</v>
      </c>
      <c r="E14" s="24"/>
      <c r="F14" s="25">
        <f>AVERAGE('2X'!E16:I16)</f>
        <v>0.14613418513141913</v>
      </c>
      <c r="G14" s="25"/>
      <c r="H14" s="25">
        <f>AVERAGE('2.5X'!E16:I16)</f>
        <v>0.21920127769712866</v>
      </c>
      <c r="I14" s="25"/>
      <c r="J14" s="25">
        <f>AVERAGE('3X'!E16:I16)</f>
        <v>0.29226837026283825</v>
      </c>
      <c r="K14" s="25"/>
      <c r="L14" s="25">
        <f>AVERAGE('3.5X'!E16:I16)</f>
        <v>0.36533546282854779</v>
      </c>
      <c r="M14" s="25"/>
      <c r="N14" s="25">
        <f>AVERAGE('4X'!E16:I16)</f>
        <v>0.43840255539425732</v>
      </c>
      <c r="O14" s="25"/>
      <c r="P14" s="25">
        <f>AVERAGE('4.5X'!E16:I16)</f>
        <v>0.51146964795996686</v>
      </c>
      <c r="Q14" s="25"/>
      <c r="R14" s="25">
        <f>AVERAGE('5X'!E16:I16)</f>
        <v>0.5845367405256765</v>
      </c>
    </row>
    <row r="15" spans="2:19" ht="28.25" customHeight="1" x14ac:dyDescent="0.45">
      <c r="B15" s="106"/>
      <c r="C15" s="106"/>
      <c r="D15" s="26" t="s">
        <v>4</v>
      </c>
      <c r="E15" s="27"/>
      <c r="F15" s="28">
        <f>AVERAGE('2X'!E17:I17)</f>
        <v>1.4871139504380636E-2</v>
      </c>
      <c r="G15" s="28"/>
      <c r="H15" s="28">
        <f>AVERAGE('2.5X'!E17:I17)</f>
        <v>1.9871139504380637E-2</v>
      </c>
      <c r="I15" s="28"/>
      <c r="J15" s="28">
        <f>AVERAGE('3X'!E17:I17)</f>
        <v>2.4871139504380635E-2</v>
      </c>
      <c r="K15" s="28"/>
      <c r="L15" s="28">
        <f>AVERAGE('3.5X'!E17:I17)</f>
        <v>2.9871139504380639E-2</v>
      </c>
      <c r="M15" s="28"/>
      <c r="N15" s="28">
        <f>AVERAGE('4X'!E17:I17)</f>
        <v>3.487113950438063E-2</v>
      </c>
      <c r="O15" s="28"/>
      <c r="P15" s="28">
        <f>AVERAGE('4.5X'!E17:I17)</f>
        <v>3.9871139504380634E-2</v>
      </c>
      <c r="Q15" s="28"/>
      <c r="R15" s="28">
        <f>AVERAGE('5X'!E17:I17)</f>
        <v>4.4871139504380639E-2</v>
      </c>
    </row>
    <row r="16" spans="2:19" ht="28.25" customHeight="1" x14ac:dyDescent="0.45">
      <c r="B16" s="106"/>
      <c r="C16" s="106"/>
      <c r="D16" s="26" t="s">
        <v>3</v>
      </c>
      <c r="E16" s="27"/>
      <c r="F16" s="28">
        <f>AVERAGE('2X'!E18:I18)</f>
        <v>7.4355697521903182E-3</v>
      </c>
      <c r="G16" s="28"/>
      <c r="H16" s="28">
        <f>AVERAGE('2.5X'!E18:I18)</f>
        <v>9.9355697521903187E-3</v>
      </c>
      <c r="I16" s="28"/>
      <c r="J16" s="28">
        <f>AVERAGE('3X'!E18:I18)</f>
        <v>1.2435569752190317E-2</v>
      </c>
      <c r="K16" s="28"/>
      <c r="L16" s="28">
        <f>AVERAGE('3.5X'!E18:I18)</f>
        <v>1.493556975219032E-2</v>
      </c>
      <c r="M16" s="28"/>
      <c r="N16" s="28">
        <f>AVERAGE('4X'!E18:I18)</f>
        <v>1.7435569752190315E-2</v>
      </c>
      <c r="O16" s="28"/>
      <c r="P16" s="28">
        <f>AVERAGE('4.5X'!E18:I18)</f>
        <v>1.9935569752190317E-2</v>
      </c>
      <c r="Q16" s="28"/>
      <c r="R16" s="28">
        <f>AVERAGE('5X'!E18:I18)</f>
        <v>2.2435569752190319E-2</v>
      </c>
    </row>
    <row r="17" spans="2:18" ht="28.25" customHeight="1" x14ac:dyDescent="0.45">
      <c r="B17" s="106"/>
      <c r="C17" s="106"/>
      <c r="D17" s="26" t="s">
        <v>6</v>
      </c>
      <c r="E17" s="29"/>
      <c r="F17" s="83">
        <f>SUM(F14:F16)</f>
        <v>0.16844089438799006</v>
      </c>
      <c r="G17" s="28"/>
      <c r="H17" s="83">
        <f t="shared" ref="H17" si="1">SUM(H14:H16)</f>
        <v>0.24900798695369961</v>
      </c>
      <c r="I17" s="28"/>
      <c r="J17" s="83">
        <f t="shared" ref="J17:R17" si="2">SUM(J14:J16)</f>
        <v>0.32957507951940923</v>
      </c>
      <c r="K17" s="28"/>
      <c r="L17" s="83">
        <f t="shared" ref="L17" si="3">SUM(L14:L16)</f>
        <v>0.41014217208511872</v>
      </c>
      <c r="M17" s="28"/>
      <c r="N17" s="83">
        <f t="shared" si="2"/>
        <v>0.49070926465082826</v>
      </c>
      <c r="O17" s="28"/>
      <c r="P17" s="83">
        <f t="shared" ref="P17" si="4">SUM(P14:P16)</f>
        <v>0.5712763572165378</v>
      </c>
      <c r="Q17" s="28"/>
      <c r="R17" s="83">
        <f t="shared" si="2"/>
        <v>0.6518434497822474</v>
      </c>
    </row>
    <row r="18" spans="2:18" ht="28.25" customHeight="1" x14ac:dyDescent="0.45">
      <c r="B18" s="106"/>
      <c r="C18" s="106"/>
      <c r="D18" s="26" t="s">
        <v>9</v>
      </c>
      <c r="E18" s="47"/>
      <c r="F18" s="82">
        <f>AVERAGE('2X'!E20:I20)</f>
        <v>8.8067092565709562E-2</v>
      </c>
      <c r="G18" s="48"/>
      <c r="H18" s="48">
        <f>AVERAGE('2.5X'!E20:I20)</f>
        <v>0.13818956322904014</v>
      </c>
      <c r="I18" s="48"/>
      <c r="J18" s="48">
        <f>AVERAGE('3X'!E20:I20)</f>
        <v>0.18831203389237072</v>
      </c>
      <c r="K18" s="48"/>
      <c r="L18" s="48">
        <f>AVERAGE('3.5X'!E20:I20)</f>
        <v>0.23843450455570134</v>
      </c>
      <c r="M18" s="48"/>
      <c r="N18" s="48">
        <f>AVERAGE('4X'!E20:I20)</f>
        <v>0.28855697521903179</v>
      </c>
      <c r="O18" s="48"/>
      <c r="P18" s="48">
        <f>AVERAGE('4.5X'!E20:I20)</f>
        <v>0.33867944588236237</v>
      </c>
      <c r="Q18" s="48"/>
      <c r="R18" s="48">
        <f>AVERAGE('5X'!E20:I20)</f>
        <v>0.38880191654569302</v>
      </c>
    </row>
    <row r="19" spans="2:18" ht="28.25" customHeight="1" thickBot="1" x14ac:dyDescent="0.5">
      <c r="B19" s="107"/>
      <c r="C19" s="107"/>
      <c r="D19" s="26" t="s">
        <v>42</v>
      </c>
      <c r="E19" s="47"/>
      <c r="F19" s="50">
        <f>$H$5 + F18 + (F18 * $H$5)</f>
        <v>0.4144872203354224</v>
      </c>
      <c r="G19" s="49"/>
      <c r="H19" s="50">
        <f>$H$5 + H18 + (H18 * $H$5)</f>
        <v>0.47964643219775216</v>
      </c>
      <c r="I19" s="49"/>
      <c r="J19" s="50">
        <f>$H$5 + J18 + (J18 * $H$5)</f>
        <v>0.54480564406008192</v>
      </c>
      <c r="K19" s="49"/>
      <c r="L19" s="50">
        <f>$H$5 + L18 + (L18 * $H$5)</f>
        <v>0.60996485592241168</v>
      </c>
      <c r="M19" s="49"/>
      <c r="N19" s="50">
        <f>$H$5 + N18 + (N18 * $H$5)</f>
        <v>0.67512406778474132</v>
      </c>
      <c r="O19" s="49"/>
      <c r="P19" s="50">
        <f>$H$5 + P18 + (P18 * $H$5)</f>
        <v>0.74028327964707108</v>
      </c>
      <c r="Q19" s="49"/>
      <c r="R19" s="50">
        <f>$H$5 + R18 + (R18 * $H$5)</f>
        <v>0.80544249150940095</v>
      </c>
    </row>
    <row r="20" spans="2:18" ht="28.25" customHeight="1" x14ac:dyDescent="0.45">
      <c r="B20" s="105" t="s">
        <v>14</v>
      </c>
      <c r="C20" s="105"/>
      <c r="D20" s="23" t="s">
        <v>5</v>
      </c>
      <c r="E20" s="24"/>
      <c r="F20" s="25">
        <f>AVERAGE('2X'!E16:N16)</f>
        <v>9.2746184971359419E-2</v>
      </c>
      <c r="G20" s="25"/>
      <c r="H20" s="25">
        <f>AVERAGE('2.5X'!E16:N16)</f>
        <v>0.13911927745703911</v>
      </c>
      <c r="I20" s="25"/>
      <c r="J20" s="25">
        <f>AVERAGE('3X'!E16:N16)</f>
        <v>0.18549236994271884</v>
      </c>
      <c r="K20" s="25"/>
      <c r="L20" s="25">
        <f>AVERAGE('3.5X'!E16:N16)</f>
        <v>0.23186546242839859</v>
      </c>
      <c r="M20" s="25"/>
      <c r="N20" s="25">
        <f>AVERAGE('4X'!E16:N16)</f>
        <v>0.27823855491407823</v>
      </c>
      <c r="O20" s="25"/>
      <c r="P20" s="25">
        <f>AVERAGE('4.5X'!E16:N16)</f>
        <v>0.32461164739975801</v>
      </c>
      <c r="Q20" s="25"/>
      <c r="R20" s="25">
        <f>AVERAGE('5X'!E16:N16)</f>
        <v>0.37098473988543768</v>
      </c>
    </row>
    <row r="21" spans="2:18" ht="28.25" customHeight="1" x14ac:dyDescent="0.45">
      <c r="B21" s="106"/>
      <c r="C21" s="106"/>
      <c r="D21" s="26" t="s">
        <v>4</v>
      </c>
      <c r="E21" s="27"/>
      <c r="F21" s="28">
        <f>AVERAGE('2X'!E17:N17)</f>
        <v>1.3091539499045315E-2</v>
      </c>
      <c r="G21" s="28"/>
      <c r="H21" s="28">
        <f>AVERAGE('2.5X'!E17:N17)</f>
        <v>1.8091539499045316E-2</v>
      </c>
      <c r="I21" s="28"/>
      <c r="J21" s="28">
        <f>AVERAGE('3X'!E17:N17)</f>
        <v>2.3091539499045317E-2</v>
      </c>
      <c r="K21" s="28"/>
      <c r="L21" s="28">
        <f>AVERAGE('3.5X'!E17:N17)</f>
        <v>2.8091539499045321E-2</v>
      </c>
      <c r="M21" s="28"/>
      <c r="N21" s="28">
        <f>AVERAGE('4X'!E17:N17)</f>
        <v>3.3091539499045315E-2</v>
      </c>
      <c r="O21" s="28"/>
      <c r="P21" s="28">
        <f>AVERAGE('4.5X'!E17:N17)</f>
        <v>3.8091539499045327E-2</v>
      </c>
      <c r="Q21" s="28"/>
      <c r="R21" s="28">
        <f>AVERAGE('5X'!E17:N17)</f>
        <v>4.3091539499045331E-2</v>
      </c>
    </row>
    <row r="22" spans="2:18" ht="28.25" customHeight="1" x14ac:dyDescent="0.45">
      <c r="B22" s="106"/>
      <c r="C22" s="106"/>
      <c r="D22" s="26" t="s">
        <v>3</v>
      </c>
      <c r="E22" s="27"/>
      <c r="F22" s="28">
        <f>AVERAGE('2X'!E18:N18)</f>
        <v>6.5457697495226574E-3</v>
      </c>
      <c r="G22" s="28"/>
      <c r="H22" s="28">
        <f>AVERAGE('2.5X'!E18:N18)</f>
        <v>9.0457697495226579E-3</v>
      </c>
      <c r="I22" s="28"/>
      <c r="J22" s="28">
        <f>AVERAGE('3X'!E18:N18)</f>
        <v>1.1545769749522658E-2</v>
      </c>
      <c r="K22" s="28"/>
      <c r="L22" s="28">
        <f>AVERAGE('3.5X'!E18:N18)</f>
        <v>1.4045769749522661E-2</v>
      </c>
      <c r="M22" s="28"/>
      <c r="N22" s="28">
        <f>AVERAGE('4X'!E18:N18)</f>
        <v>1.6545769749522658E-2</v>
      </c>
      <c r="O22" s="28"/>
      <c r="P22" s="28">
        <f>AVERAGE('4.5X'!E18:N18)</f>
        <v>1.9045769749522663E-2</v>
      </c>
      <c r="Q22" s="28"/>
      <c r="R22" s="28">
        <f>AVERAGE('5X'!E18:N18)</f>
        <v>2.1545769749522665E-2</v>
      </c>
    </row>
    <row r="23" spans="2:18" ht="28.25" customHeight="1" x14ac:dyDescent="0.45">
      <c r="B23" s="106"/>
      <c r="C23" s="106"/>
      <c r="D23" s="26" t="s">
        <v>6</v>
      </c>
      <c r="E23" s="29"/>
      <c r="F23" s="83">
        <f>SUM(F20:F22)</f>
        <v>0.1123834942199274</v>
      </c>
      <c r="G23" s="28"/>
      <c r="H23" s="83">
        <f t="shared" ref="H23" si="5">SUM(H20:H22)</f>
        <v>0.16625658670560708</v>
      </c>
      <c r="I23" s="28"/>
      <c r="J23" s="83">
        <f t="shared" ref="J23:R23" si="6">SUM(J20:J22)</f>
        <v>0.22012967919128681</v>
      </c>
      <c r="K23" s="28"/>
      <c r="L23" s="83">
        <f t="shared" ref="L23" si="7">SUM(L20:L22)</f>
        <v>0.27400277167696657</v>
      </c>
      <c r="M23" s="28"/>
      <c r="N23" s="83">
        <f t="shared" si="6"/>
        <v>0.32787586416264619</v>
      </c>
      <c r="O23" s="28"/>
      <c r="P23" s="83">
        <f t="shared" ref="P23" si="8">SUM(P20:P22)</f>
        <v>0.38174895664832598</v>
      </c>
      <c r="Q23" s="28"/>
      <c r="R23" s="83">
        <f t="shared" si="6"/>
        <v>0.43562204913400565</v>
      </c>
    </row>
    <row r="24" spans="2:18" ht="28.25" customHeight="1" x14ac:dyDescent="0.45">
      <c r="B24" s="106"/>
      <c r="C24" s="106"/>
      <c r="D24" s="26" t="s">
        <v>9</v>
      </c>
      <c r="E24" s="47"/>
      <c r="F24" s="82">
        <f>AVERAGE('2X'!E20:N20)</f>
        <v>6.1373092485679716E-2</v>
      </c>
      <c r="G24" s="48"/>
      <c r="H24" s="48">
        <f>AVERAGE('2.5X'!E20:N20)</f>
        <v>9.5924063102326207E-2</v>
      </c>
      <c r="I24" s="48"/>
      <c r="J24" s="48">
        <f>AVERAGE('3X'!E20:N20)</f>
        <v>0.1304750337189727</v>
      </c>
      <c r="K24" s="48"/>
      <c r="L24" s="48">
        <f>AVERAGE('3.5X'!E20:N20)</f>
        <v>0.16502600433561926</v>
      </c>
      <c r="M24" s="48"/>
      <c r="N24" s="48">
        <f>AVERAGE('4X'!E20:N20)</f>
        <v>0.19957697495226567</v>
      </c>
      <c r="O24" s="48"/>
      <c r="P24" s="48">
        <f>AVERAGE('4.5X'!E20:N20)</f>
        <v>0.23412794556891217</v>
      </c>
      <c r="Q24" s="48"/>
      <c r="R24" s="48">
        <f>AVERAGE('5X'!E20:N20)</f>
        <v>0.26867891618555867</v>
      </c>
    </row>
    <row r="25" spans="2:18" ht="28.25" customHeight="1" thickBot="1" x14ac:dyDescent="0.5">
      <c r="B25" s="107"/>
      <c r="C25" s="107"/>
      <c r="D25" s="45" t="s">
        <v>42</v>
      </c>
      <c r="E25" s="40"/>
      <c r="F25" s="50">
        <f>$H$5 + F24 + (F24 * $H$5)</f>
        <v>0.37978502023138366</v>
      </c>
      <c r="G25" s="51"/>
      <c r="H25" s="50">
        <f>$H$5 + H24 + (H24 * $H$5)</f>
        <v>0.42470128203302404</v>
      </c>
      <c r="I25" s="51"/>
      <c r="J25" s="50">
        <f>$H$5 + J24 + (J24 * $H$5)</f>
        <v>0.46961754383466447</v>
      </c>
      <c r="K25" s="51"/>
      <c r="L25" s="50">
        <f>$H$5 + L24 + (L24 * $H$5)</f>
        <v>0.51453380563630502</v>
      </c>
      <c r="M25" s="51"/>
      <c r="N25" s="50">
        <f>$H$5 + N24 + (N24 * $H$5)</f>
        <v>0.55945006743794534</v>
      </c>
      <c r="O25" s="51"/>
      <c r="P25" s="50">
        <f>$H$5 + P24 + (P24 * $H$5)</f>
        <v>0.60436632923958578</v>
      </c>
      <c r="Q25" s="51"/>
      <c r="R25" s="50">
        <f>$H$5 + R24 + (R24 * $H$5)</f>
        <v>0.64928259104122621</v>
      </c>
    </row>
    <row r="26" spans="2:18" ht="28.5" customHeight="1" x14ac:dyDescent="0.45">
      <c r="B26" s="41"/>
      <c r="C26" s="108" t="s">
        <v>27</v>
      </c>
      <c r="D26" s="108"/>
      <c r="E26" s="29"/>
      <c r="F26" s="109" t="s">
        <v>18</v>
      </c>
      <c r="G26" s="109"/>
      <c r="H26" s="109"/>
      <c r="I26" s="109"/>
      <c r="J26" s="109"/>
      <c r="K26" s="109"/>
      <c r="L26" s="109"/>
      <c r="M26" s="28"/>
      <c r="N26" s="39" t="s">
        <v>20</v>
      </c>
      <c r="O26" s="28"/>
      <c r="P26" s="38" t="s">
        <v>17</v>
      </c>
      <c r="Q26" s="28"/>
      <c r="R26" s="28"/>
    </row>
    <row r="27" spans="2:18" s="33" customFormat="1" ht="28.5" customHeight="1" x14ac:dyDescent="0.45">
      <c r="B27" s="110" t="s">
        <v>26</v>
      </c>
      <c r="C27" s="111" t="s">
        <v>21</v>
      </c>
      <c r="D27" s="111"/>
      <c r="F27" s="33" t="s">
        <v>32</v>
      </c>
      <c r="N27" s="33" t="s">
        <v>0</v>
      </c>
      <c r="P27" s="33" t="s">
        <v>25</v>
      </c>
    </row>
    <row r="28" spans="2:18" s="33" customFormat="1" ht="28.5" customHeight="1" x14ac:dyDescent="0.45">
      <c r="B28" s="110"/>
      <c r="C28" s="111" t="s">
        <v>22</v>
      </c>
      <c r="D28" s="111"/>
      <c r="F28" s="33" t="s">
        <v>33</v>
      </c>
      <c r="N28" s="33" t="s">
        <v>36</v>
      </c>
      <c r="P28" s="33" t="s">
        <v>23</v>
      </c>
    </row>
    <row r="29" spans="2:18" s="33" customFormat="1" ht="28.5" customHeight="1" x14ac:dyDescent="0.45">
      <c r="B29" s="110"/>
      <c r="C29" s="111" t="s">
        <v>19</v>
      </c>
      <c r="D29" s="111"/>
      <c r="F29" s="33" t="s">
        <v>35</v>
      </c>
      <c r="N29" s="33" t="s">
        <v>0</v>
      </c>
      <c r="P29" s="33" t="s">
        <v>24</v>
      </c>
    </row>
    <row r="30" spans="2:18" s="32" customFormat="1" ht="33.950000000000003" customHeight="1" x14ac:dyDescent="0.45"/>
  </sheetData>
  <mergeCells count="25">
    <mergeCell ref="L4:N4"/>
    <mergeCell ref="P4:R4"/>
    <mergeCell ref="H5:J5"/>
    <mergeCell ref="L5:N5"/>
    <mergeCell ref="P5:R5"/>
    <mergeCell ref="L7:N7"/>
    <mergeCell ref="P7:R7"/>
    <mergeCell ref="H8:J8"/>
    <mergeCell ref="L8:N8"/>
    <mergeCell ref="P8:R8"/>
    <mergeCell ref="B27:B29"/>
    <mergeCell ref="C27:D27"/>
    <mergeCell ref="C28:D28"/>
    <mergeCell ref="C29:D29"/>
    <mergeCell ref="H7:J7"/>
    <mergeCell ref="B4:B8"/>
    <mergeCell ref="C4:C5"/>
    <mergeCell ref="D4:F5"/>
    <mergeCell ref="H4:J4"/>
    <mergeCell ref="D7:F8"/>
    <mergeCell ref="B11:C13"/>
    <mergeCell ref="B14:C19"/>
    <mergeCell ref="B20:C25"/>
    <mergeCell ref="C26:D26"/>
    <mergeCell ref="F26:L26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E17A-02B9-4D58-B9F9-C5D534633B28}">
  <dimension ref="B1:S28"/>
  <sheetViews>
    <sheetView zoomScale="85" zoomScaleNormal="85" workbookViewId="0">
      <selection activeCell="T2" sqref="T2"/>
    </sheetView>
  </sheetViews>
  <sheetFormatPr defaultColWidth="9" defaultRowHeight="33.950000000000003" customHeight="1" x14ac:dyDescent="0.45"/>
  <cols>
    <col min="1" max="1" width="1.3984375" style="4" customWidth="1"/>
    <col min="2" max="2" width="31.6640625" style="3" customWidth="1"/>
    <col min="3" max="3" width="21" style="3" customWidth="1"/>
    <col min="4" max="4" width="34.46484375" style="4" bestFit="1" customWidth="1"/>
    <col min="5" max="5" width="2.33203125" style="4" customWidth="1"/>
    <col min="6" max="6" width="26.9296875" style="4" customWidth="1"/>
    <col min="7" max="7" width="2.33203125" style="4" customWidth="1"/>
    <col min="8" max="8" width="26.9296875" style="4" customWidth="1"/>
    <col min="9" max="9" width="2.33203125" style="4" customWidth="1"/>
    <col min="10" max="10" width="26.9296875" style="4" customWidth="1"/>
    <col min="11" max="11" width="2.33203125" style="4" customWidth="1"/>
    <col min="12" max="12" width="26.9296875" style="4" customWidth="1"/>
    <col min="13" max="13" width="2.33203125" style="4" customWidth="1"/>
    <col min="14" max="14" width="26.9296875" style="4" customWidth="1"/>
    <col min="15" max="15" width="2.33203125" style="4" customWidth="1"/>
    <col min="16" max="16" width="26.9296875" style="4" customWidth="1"/>
    <col min="17" max="17" width="2.33203125" style="4" customWidth="1"/>
    <col min="18" max="18" width="26.9296875" style="4" customWidth="1"/>
    <col min="19" max="23" width="21.06640625" style="4" customWidth="1"/>
    <col min="24" max="16384" width="9" style="4"/>
  </cols>
  <sheetData>
    <row r="1" spans="2:19" s="1" customFormat="1" ht="37.15" x14ac:dyDescent="0.45">
      <c r="B1" s="42" t="s">
        <v>70</v>
      </c>
      <c r="C1" s="17"/>
      <c r="E1" s="11"/>
      <c r="R1" s="34" t="s">
        <v>1</v>
      </c>
    </row>
    <row r="2" spans="2:19" s="2" customFormat="1" ht="29.35" customHeight="1" x14ac:dyDescent="0.85">
      <c r="B2" s="31" t="s">
        <v>34</v>
      </c>
      <c r="C2" s="18"/>
      <c r="E2" s="10"/>
      <c r="R2" s="35">
        <v>46087</v>
      </c>
    </row>
    <row r="3" spans="2:19" s="2" customFormat="1" ht="7.5" customHeight="1" x14ac:dyDescent="0.65">
      <c r="B3" s="12"/>
      <c r="C3" s="12"/>
      <c r="D3" s="6"/>
      <c r="E3" s="6"/>
      <c r="R3" s="7"/>
      <c r="S3" s="9"/>
    </row>
    <row r="4" spans="2:19" s="5" customFormat="1" ht="31.15" customHeight="1" x14ac:dyDescent="0.85">
      <c r="B4" s="118" t="s">
        <v>16</v>
      </c>
      <c r="C4" s="119"/>
      <c r="D4" s="108" t="s">
        <v>28</v>
      </c>
      <c r="E4" s="108"/>
      <c r="F4" s="108"/>
      <c r="H4" s="112" t="s">
        <v>5</v>
      </c>
      <c r="I4" s="113"/>
      <c r="J4" s="114"/>
      <c r="K4" s="15"/>
      <c r="L4" s="112" t="s">
        <v>4</v>
      </c>
      <c r="M4" s="113"/>
      <c r="N4" s="114"/>
      <c r="O4" s="15"/>
      <c r="P4" s="112" t="s">
        <v>3</v>
      </c>
      <c r="Q4" s="113"/>
      <c r="R4" s="114"/>
      <c r="S4" s="9"/>
    </row>
    <row r="5" spans="2:19" s="5" customFormat="1" ht="37.5" customHeight="1" thickBot="1" x14ac:dyDescent="0.5">
      <c r="B5" s="118"/>
      <c r="C5" s="119"/>
      <c r="D5" s="120"/>
      <c r="E5" s="120"/>
      <c r="F5" s="120"/>
      <c r="G5" s="14"/>
      <c r="H5" s="115">
        <f>SHARED_VARIABLES!H5</f>
        <v>0.3</v>
      </c>
      <c r="I5" s="116"/>
      <c r="J5" s="117"/>
      <c r="K5" s="36"/>
      <c r="L5" s="121">
        <f>SHARED_VARIABLES!L5</f>
        <v>0.01</v>
      </c>
      <c r="M5" s="122"/>
      <c r="N5" s="123"/>
      <c r="O5" s="37"/>
      <c r="P5" s="121">
        <f>SHARED_VARIABLES!P5</f>
        <v>5.0000000000000001E-3</v>
      </c>
      <c r="Q5" s="122"/>
      <c r="R5" s="123"/>
      <c r="S5" s="9"/>
    </row>
    <row r="6" spans="2:19" s="2" customFormat="1" ht="16.899999999999999" customHeight="1" x14ac:dyDescent="0.65">
      <c r="B6" s="118"/>
      <c r="C6" s="12"/>
      <c r="D6" s="6"/>
      <c r="E6" s="6"/>
      <c r="R6" s="7"/>
      <c r="S6" s="9"/>
    </row>
    <row r="7" spans="2:19" s="2" customFormat="1" ht="31.15" customHeight="1" x14ac:dyDescent="0.85">
      <c r="B7" s="118"/>
      <c r="C7" s="12"/>
      <c r="D7" s="108" t="s">
        <v>29</v>
      </c>
      <c r="E7" s="108"/>
      <c r="F7" s="108"/>
      <c r="G7" s="5"/>
      <c r="H7" s="112" t="s">
        <v>15</v>
      </c>
      <c r="I7" s="113"/>
      <c r="J7" s="114"/>
      <c r="K7" s="15"/>
      <c r="L7" s="112" t="s">
        <v>8</v>
      </c>
      <c r="M7" s="113"/>
      <c r="N7" s="114"/>
      <c r="O7" s="15"/>
      <c r="P7" s="112" t="s">
        <v>2</v>
      </c>
      <c r="Q7" s="113"/>
      <c r="R7" s="114"/>
      <c r="S7" s="9"/>
    </row>
    <row r="8" spans="2:19" s="2" customFormat="1" ht="37.5" customHeight="1" thickBot="1" x14ac:dyDescent="0.5">
      <c r="B8" s="118"/>
      <c r="C8" s="12"/>
      <c r="D8" s="120"/>
      <c r="E8" s="120"/>
      <c r="F8" s="120"/>
      <c r="G8" s="14"/>
      <c r="H8" s="115">
        <f>SHARED_VARIABLES!H8</f>
        <v>0.115</v>
      </c>
      <c r="I8" s="116"/>
      <c r="J8" s="117"/>
      <c r="K8" s="36"/>
      <c r="L8" s="115">
        <f>SHARED_VARIABLES!L8</f>
        <v>7.4999999999999997E-2</v>
      </c>
      <c r="M8" s="116"/>
      <c r="N8" s="117"/>
      <c r="O8" s="37"/>
      <c r="P8" s="115">
        <f>SHARED_VARIABLES!P8</f>
        <v>0.05</v>
      </c>
      <c r="Q8" s="116"/>
      <c r="R8" s="117"/>
      <c r="S8" s="9"/>
    </row>
    <row r="9" spans="2:19" s="2" customFormat="1" ht="7.5" customHeight="1" x14ac:dyDescent="0.65">
      <c r="B9" s="12"/>
      <c r="C9" s="12"/>
      <c r="D9" s="6"/>
      <c r="E9" s="6"/>
      <c r="R9" s="7"/>
      <c r="S9" s="9"/>
    </row>
    <row r="10" spans="2:19" ht="37.5" customHeight="1" thickBot="1" x14ac:dyDescent="0.5">
      <c r="B10" s="30" t="s">
        <v>10</v>
      </c>
      <c r="C10" s="19"/>
      <c r="D10" s="16"/>
      <c r="E10" s="13"/>
      <c r="F10" s="46" t="s">
        <v>39</v>
      </c>
      <c r="G10" s="46"/>
      <c r="H10" s="46" t="s">
        <v>41</v>
      </c>
      <c r="I10" s="46"/>
      <c r="J10" s="46" t="s">
        <v>38</v>
      </c>
      <c r="K10" s="46"/>
      <c r="L10" s="46" t="s">
        <v>37</v>
      </c>
      <c r="M10" s="46"/>
      <c r="N10" s="46" t="s">
        <v>11</v>
      </c>
      <c r="O10" s="46"/>
      <c r="P10" s="46" t="s">
        <v>40</v>
      </c>
      <c r="Q10" s="46"/>
      <c r="R10" s="46" t="s">
        <v>12</v>
      </c>
      <c r="S10" s="8"/>
    </row>
    <row r="11" spans="2:19" ht="28.25" customHeight="1" x14ac:dyDescent="0.45">
      <c r="B11" s="105" t="s">
        <v>30</v>
      </c>
      <c r="C11" s="105"/>
      <c r="D11" s="20" t="s">
        <v>7</v>
      </c>
      <c r="E11" s="21"/>
      <c r="F11" s="22">
        <v>1</v>
      </c>
      <c r="G11" s="22"/>
      <c r="H11" s="22">
        <v>1</v>
      </c>
      <c r="I11" s="22"/>
      <c r="J11" s="22">
        <v>1</v>
      </c>
      <c r="K11" s="22"/>
      <c r="L11" s="22">
        <v>1</v>
      </c>
      <c r="M11" s="22"/>
      <c r="N11" s="22">
        <v>1</v>
      </c>
      <c r="O11" s="22"/>
      <c r="P11" s="22">
        <v>1</v>
      </c>
      <c r="Q11" s="22"/>
      <c r="R11" s="22">
        <v>1</v>
      </c>
      <c r="S11" s="8"/>
    </row>
    <row r="12" spans="2:19" ht="28.25" customHeight="1" x14ac:dyDescent="0.45">
      <c r="B12" s="106"/>
      <c r="C12" s="106"/>
      <c r="D12" s="20" t="s">
        <v>8</v>
      </c>
      <c r="E12" s="21"/>
      <c r="F12" s="22">
        <v>0</v>
      </c>
      <c r="G12" s="22"/>
      <c r="H12" s="22">
        <v>0.5</v>
      </c>
      <c r="I12" s="22"/>
      <c r="J12" s="22">
        <v>1</v>
      </c>
      <c r="K12" s="22"/>
      <c r="L12" s="22">
        <v>1.5</v>
      </c>
      <c r="M12" s="22"/>
      <c r="N12" s="22">
        <v>2</v>
      </c>
      <c r="O12" s="22"/>
      <c r="P12" s="22">
        <v>2.5</v>
      </c>
      <c r="Q12" s="22"/>
      <c r="R12" s="22">
        <v>3</v>
      </c>
      <c r="S12" s="8"/>
    </row>
    <row r="13" spans="2:19" ht="28.25" customHeight="1" thickBot="1" x14ac:dyDescent="0.5">
      <c r="B13" s="107"/>
      <c r="C13" s="107"/>
      <c r="D13" s="20" t="s">
        <v>31</v>
      </c>
      <c r="E13" s="43"/>
      <c r="F13" s="52">
        <f>SUM(F11:F12)</f>
        <v>1</v>
      </c>
      <c r="G13" s="44">
        <f t="shared" ref="G13:R13" si="0">SUM(G11:G12)</f>
        <v>0</v>
      </c>
      <c r="H13" s="52">
        <f t="shared" si="0"/>
        <v>1.5</v>
      </c>
      <c r="I13" s="44">
        <f t="shared" si="0"/>
        <v>0</v>
      </c>
      <c r="J13" s="52">
        <f t="shared" si="0"/>
        <v>2</v>
      </c>
      <c r="K13" s="44">
        <f t="shared" si="0"/>
        <v>0</v>
      </c>
      <c r="L13" s="52">
        <f t="shared" si="0"/>
        <v>2.5</v>
      </c>
      <c r="M13" s="44">
        <f t="shared" si="0"/>
        <v>0</v>
      </c>
      <c r="N13" s="52">
        <f t="shared" si="0"/>
        <v>3</v>
      </c>
      <c r="O13" s="44">
        <f t="shared" si="0"/>
        <v>0</v>
      </c>
      <c r="P13" s="52">
        <f t="shared" si="0"/>
        <v>3.5</v>
      </c>
      <c r="Q13" s="44">
        <f t="shared" si="0"/>
        <v>0</v>
      </c>
      <c r="R13" s="52">
        <f t="shared" si="0"/>
        <v>4</v>
      </c>
      <c r="S13" s="8"/>
    </row>
    <row r="14" spans="2:19" ht="28.25" customHeight="1" x14ac:dyDescent="0.45">
      <c r="B14" s="105" t="s">
        <v>68</v>
      </c>
      <c r="C14" s="105"/>
      <c r="D14" s="23" t="s">
        <v>53</v>
      </c>
      <c r="E14" s="24"/>
      <c r="F14" s="96">
        <f>AVERAGE('2X'!E14:I14)</f>
        <v>2.4355697521903186E-2</v>
      </c>
      <c r="G14" s="25"/>
      <c r="H14" s="96">
        <f>AVERAGE('2.5X'!E14:I14)</f>
        <v>3.6533546282854781E-2</v>
      </c>
      <c r="I14" s="25"/>
      <c r="J14" s="96">
        <f>AVERAGE('3X'!E14:I14)</f>
        <v>4.8711395043806373E-2</v>
      </c>
      <c r="K14" s="25"/>
      <c r="L14" s="96">
        <f>AVERAGE('3.5X'!E14:I14)</f>
        <v>6.0889243804757978E-2</v>
      </c>
      <c r="M14" s="25"/>
      <c r="N14" s="96">
        <f>AVERAGE('4X'!E14:I14)</f>
        <v>7.3067092565709563E-2</v>
      </c>
      <c r="O14" s="25"/>
      <c r="P14" s="96">
        <f>AVERAGE('4.5X'!E14:I14)</f>
        <v>8.5244941326661161E-2</v>
      </c>
      <c r="Q14" s="25"/>
      <c r="R14" s="96">
        <f>AVERAGE('5X'!E14:I14)</f>
        <v>9.7422790087612759E-2</v>
      </c>
    </row>
    <row r="15" spans="2:19" ht="28.25" customHeight="1" x14ac:dyDescent="0.45">
      <c r="B15" s="106"/>
      <c r="C15" s="106"/>
      <c r="D15" s="59">
        <v>20000</v>
      </c>
      <c r="E15" s="27"/>
      <c r="F15" s="94">
        <f>AVERAGE('2X'!E21:I21)</f>
        <v>243.55697521903184</v>
      </c>
      <c r="G15" s="94"/>
      <c r="H15" s="94">
        <f>AVERAGE('2.5X'!E21:I21)</f>
        <v>292.26837026283823</v>
      </c>
      <c r="I15" s="94"/>
      <c r="J15" s="94">
        <f>AVERAGE('3X'!E21:I21)</f>
        <v>324.74263362537584</v>
      </c>
      <c r="K15" s="94"/>
      <c r="L15" s="94">
        <f>AVERAGE('3.5X'!E21:I21)</f>
        <v>347.93853602718843</v>
      </c>
      <c r="M15" s="94"/>
      <c r="N15" s="94">
        <f>AVERAGE('4X'!E21:I21)</f>
        <v>365.33546282854775</v>
      </c>
      <c r="O15" s="94"/>
      <c r="P15" s="94">
        <f>AVERAGE('4.5X'!E21:I21)</f>
        <v>378.86640589627183</v>
      </c>
      <c r="Q15" s="94"/>
      <c r="R15" s="94">
        <f>AVERAGE('5X'!E21:I21)</f>
        <v>389.69116035045101</v>
      </c>
    </row>
    <row r="16" spans="2:19" ht="28.25" customHeight="1" x14ac:dyDescent="0.45">
      <c r="B16" s="106"/>
      <c r="C16" s="106"/>
      <c r="D16" s="59">
        <v>400000</v>
      </c>
      <c r="E16" s="27"/>
      <c r="F16" s="94">
        <f>AVERAGE('2X'!E22:I22)</f>
        <v>4871.1395043806378</v>
      </c>
      <c r="G16" s="94"/>
      <c r="H16" s="94">
        <f>AVERAGE('2.5X'!E22:I22)</f>
        <v>5845.367405256764</v>
      </c>
      <c r="I16" s="94"/>
      <c r="J16" s="94">
        <f>AVERAGE('3X'!E22:I22)</f>
        <v>6494.8526725075162</v>
      </c>
      <c r="K16" s="94"/>
      <c r="L16" s="94">
        <f>AVERAGE('3.5X'!E22:I22)</f>
        <v>6958.7707205437673</v>
      </c>
      <c r="M16" s="94"/>
      <c r="N16" s="94">
        <f>AVERAGE('4X'!E22:I22)</f>
        <v>7306.7092565709563</v>
      </c>
      <c r="O16" s="94"/>
      <c r="P16" s="94">
        <f>AVERAGE('4.5X'!E22:I22)</f>
        <v>7577.3281179254354</v>
      </c>
      <c r="Q16" s="94"/>
      <c r="R16" s="94">
        <f>AVERAGE('5X'!E22:I22)</f>
        <v>7793.8232070090189</v>
      </c>
    </row>
    <row r="17" spans="2:18" ht="28.25" customHeight="1" x14ac:dyDescent="0.45">
      <c r="B17" s="106"/>
      <c r="C17" s="106"/>
      <c r="D17" s="90">
        <v>1000000</v>
      </c>
      <c r="E17" s="27"/>
      <c r="F17" s="94">
        <f>AVERAGE('2X'!E23:I23)</f>
        <v>12177.848760951594</v>
      </c>
      <c r="G17" s="94"/>
      <c r="H17" s="94">
        <f>AVERAGE('2.5X'!E23:I23)</f>
        <v>14613.418513141913</v>
      </c>
      <c r="I17" s="94"/>
      <c r="J17" s="94">
        <f>AVERAGE('3X'!E23:I23)</f>
        <v>16237.131681268791</v>
      </c>
      <c r="K17" s="94"/>
      <c r="L17" s="94">
        <f>AVERAGE('3.5X'!E23:I23)</f>
        <v>17396.926801359419</v>
      </c>
      <c r="M17" s="94"/>
      <c r="N17" s="94">
        <f>AVERAGE('4X'!E23:I23)</f>
        <v>18266.773141427391</v>
      </c>
      <c r="O17" s="94"/>
      <c r="P17" s="94">
        <f>AVERAGE('4.5X'!E23:I23)</f>
        <v>18943.320294813588</v>
      </c>
      <c r="Q17" s="94"/>
      <c r="R17" s="94">
        <f>AVERAGE('5X'!E23:I23)</f>
        <v>19484.558017522551</v>
      </c>
    </row>
    <row r="18" spans="2:18" ht="28.25" customHeight="1" thickBot="1" x14ac:dyDescent="0.5">
      <c r="B18" s="106"/>
      <c r="C18" s="106"/>
      <c r="D18" s="60">
        <v>2100000</v>
      </c>
      <c r="E18" s="29"/>
      <c r="F18" s="94">
        <f>AVERAGE('2X'!E24:I24)</f>
        <v>25573.482397998348</v>
      </c>
      <c r="G18" s="95"/>
      <c r="H18" s="94">
        <f>AVERAGE('2.5X'!E24:I24)</f>
        <v>30688.178877598013</v>
      </c>
      <c r="I18" s="95"/>
      <c r="J18" s="94">
        <f>AVERAGE('3X'!E24:I24)</f>
        <v>34097.976530664462</v>
      </c>
      <c r="K18" s="95"/>
      <c r="L18" s="94">
        <f>AVERAGE('3.5X'!E24:I24)</f>
        <v>36533.546282854782</v>
      </c>
      <c r="M18" s="95"/>
      <c r="N18" s="94">
        <f>AVERAGE('4X'!E24:I24)</f>
        <v>38360.223596997515</v>
      </c>
      <c r="O18" s="95"/>
      <c r="P18" s="94">
        <f>AVERAGE('4.5X'!E24:I24)</f>
        <v>39780.972619108543</v>
      </c>
      <c r="Q18" s="95"/>
      <c r="R18" s="94">
        <f>AVERAGE('5X'!E24:I24)</f>
        <v>40917.57183679736</v>
      </c>
    </row>
    <row r="19" spans="2:18" ht="28.25" customHeight="1" x14ac:dyDescent="0.45">
      <c r="B19" s="105" t="s">
        <v>69</v>
      </c>
      <c r="C19" s="105"/>
      <c r="D19" s="23" t="s">
        <v>53</v>
      </c>
      <c r="E19" s="24"/>
      <c r="F19" s="96">
        <f>AVERAGE('2X'!E14:N14)</f>
        <v>1.5457697495226571E-2</v>
      </c>
      <c r="G19" s="25"/>
      <c r="H19" s="96">
        <f>AVERAGE('2.5X'!E14:N14)</f>
        <v>2.3186546242839858E-2</v>
      </c>
      <c r="I19" s="25"/>
      <c r="J19" s="96">
        <f>AVERAGE('3X'!E14:N14)</f>
        <v>3.0915394990453142E-2</v>
      </c>
      <c r="K19" s="25"/>
      <c r="L19" s="96">
        <f>AVERAGE('3.5X'!E14:N14)</f>
        <v>3.8644243738066436E-2</v>
      </c>
      <c r="M19" s="25"/>
      <c r="N19" s="96">
        <f>AVERAGE('4X'!E14:N14)</f>
        <v>4.6373092485679716E-2</v>
      </c>
      <c r="O19" s="25"/>
      <c r="P19" s="96">
        <f>AVERAGE('4.5X'!E14:N14)</f>
        <v>5.4101941233293017E-2</v>
      </c>
      <c r="Q19" s="25"/>
      <c r="R19" s="96">
        <f>AVERAGE('5X'!E14:N14)</f>
        <v>6.1830789980906298E-2</v>
      </c>
    </row>
    <row r="20" spans="2:18" ht="28.25" customHeight="1" x14ac:dyDescent="0.45">
      <c r="B20" s="106"/>
      <c r="C20" s="106"/>
      <c r="D20" s="59">
        <v>20000</v>
      </c>
      <c r="E20" s="27"/>
      <c r="F20" s="94">
        <f>AVERAGE('2X'!E21:N21)</f>
        <v>154.57697495226569</v>
      </c>
      <c r="G20" s="94"/>
      <c r="H20" s="94">
        <f>AVERAGE('2.5X'!E21:N21)</f>
        <v>185.49236994271888</v>
      </c>
      <c r="I20" s="94"/>
      <c r="J20" s="94">
        <f>AVERAGE('3X'!E21:N21)</f>
        <v>206.10263326968766</v>
      </c>
      <c r="K20" s="94"/>
      <c r="L20" s="94">
        <f>AVERAGE('3.5X'!E21:N21)</f>
        <v>220.82424993180817</v>
      </c>
      <c r="M20" s="94"/>
      <c r="N20" s="94">
        <f>AVERAGE('4X'!E21:N21)</f>
        <v>231.86546242839853</v>
      </c>
      <c r="O20" s="94"/>
      <c r="P20" s="94">
        <f>AVERAGE('4.5X'!E21:N21)</f>
        <v>240.4530721479689</v>
      </c>
      <c r="Q20" s="94"/>
      <c r="R20" s="94">
        <f>AVERAGE('5X'!E21:N21)</f>
        <v>247.32315992362516</v>
      </c>
    </row>
    <row r="21" spans="2:18" ht="28.25" customHeight="1" x14ac:dyDescent="0.45">
      <c r="B21" s="106"/>
      <c r="C21" s="106"/>
      <c r="D21" s="59">
        <v>400000</v>
      </c>
      <c r="E21" s="27"/>
      <c r="F21" s="94">
        <f>AVERAGE('2X'!E22:N22)</f>
        <v>3091.5394990453142</v>
      </c>
      <c r="G21" s="94"/>
      <c r="H21" s="94">
        <f>AVERAGE('2.5X'!E22:N22)</f>
        <v>3709.8473988543765</v>
      </c>
      <c r="I21" s="94"/>
      <c r="J21" s="94">
        <f>AVERAGE('3X'!E22:N22)</f>
        <v>4122.0526653937522</v>
      </c>
      <c r="K21" s="94"/>
      <c r="L21" s="94">
        <f>AVERAGE('3.5X'!E22:N22)</f>
        <v>4416.4849986361642</v>
      </c>
      <c r="M21" s="94"/>
      <c r="N21" s="94">
        <f>AVERAGE('4X'!E22:N22)</f>
        <v>4637.3092485679717</v>
      </c>
      <c r="O21" s="94"/>
      <c r="P21" s="94">
        <f>AVERAGE('4.5X'!E22:N22)</f>
        <v>4809.061442959377</v>
      </c>
      <c r="Q21" s="94"/>
      <c r="R21" s="94">
        <f>AVERAGE('5X'!E22:N22)</f>
        <v>4946.463198472502</v>
      </c>
    </row>
    <row r="22" spans="2:18" ht="28.25" customHeight="1" x14ac:dyDescent="0.45">
      <c r="B22" s="106"/>
      <c r="C22" s="106"/>
      <c r="D22" s="90">
        <v>1000000</v>
      </c>
      <c r="E22" s="27"/>
      <c r="F22" s="94">
        <f>AVERAGE('2X'!E23:N23)</f>
        <v>7728.848747613285</v>
      </c>
      <c r="G22" s="94"/>
      <c r="H22" s="94">
        <f>AVERAGE('2.5X'!E23:N23)</f>
        <v>9274.6184971359435</v>
      </c>
      <c r="I22" s="94"/>
      <c r="J22" s="94">
        <f>AVERAGE('3X'!E23:N23)</f>
        <v>10305.131663484382</v>
      </c>
      <c r="K22" s="94"/>
      <c r="L22" s="94">
        <f>AVERAGE('3.5X'!E23:N23)</f>
        <v>11041.21249659041</v>
      </c>
      <c r="M22" s="94"/>
      <c r="N22" s="94">
        <f>AVERAGE('4X'!E23:N23)</f>
        <v>11593.27312141993</v>
      </c>
      <c r="O22" s="94"/>
      <c r="P22" s="94">
        <f>AVERAGE('4.5X'!E23:N23)</f>
        <v>12022.653607398443</v>
      </c>
      <c r="Q22" s="94"/>
      <c r="R22" s="94">
        <f>AVERAGE('5X'!E23:N23)</f>
        <v>12366.157996181257</v>
      </c>
    </row>
    <row r="23" spans="2:18" ht="28.25" customHeight="1" thickBot="1" x14ac:dyDescent="0.5">
      <c r="B23" s="107"/>
      <c r="C23" s="107"/>
      <c r="D23" s="60">
        <v>2100000</v>
      </c>
      <c r="E23" s="93"/>
      <c r="F23" s="95">
        <f>AVERAGE('2X'!E24:N24)</f>
        <v>16230.5823699879</v>
      </c>
      <c r="G23" s="95"/>
      <c r="H23" s="95">
        <f>AVERAGE('2.5X'!E24:N24)</f>
        <v>19476.698843985479</v>
      </c>
      <c r="I23" s="95"/>
      <c r="J23" s="95">
        <f>AVERAGE('3X'!E24:N24)</f>
        <v>21640.776493317204</v>
      </c>
      <c r="K23" s="95"/>
      <c r="L23" s="95">
        <f>AVERAGE('3.5X'!E24:N24)</f>
        <v>23186.54624283986</v>
      </c>
      <c r="M23" s="95"/>
      <c r="N23" s="95">
        <f>AVERAGE('4X'!E24:N24)</f>
        <v>24345.873554981852</v>
      </c>
      <c r="O23" s="95"/>
      <c r="P23" s="95">
        <f>AVERAGE('4.5X'!E24:N24)</f>
        <v>25247.572575536738</v>
      </c>
      <c r="Q23" s="95"/>
      <c r="R23" s="95">
        <f>AVERAGE('5X'!E24:N24)</f>
        <v>25968.931791980653</v>
      </c>
    </row>
    <row r="24" spans="2:18" ht="28.5" customHeight="1" x14ac:dyDescent="0.45">
      <c r="B24" s="41"/>
      <c r="C24" s="108" t="s">
        <v>27</v>
      </c>
      <c r="D24" s="108"/>
      <c r="E24" s="29"/>
      <c r="F24" s="109" t="s">
        <v>18</v>
      </c>
      <c r="G24" s="109"/>
      <c r="H24" s="109"/>
      <c r="I24" s="109"/>
      <c r="J24" s="109"/>
      <c r="K24" s="109"/>
      <c r="L24" s="109"/>
      <c r="M24" s="28"/>
      <c r="N24" s="39" t="s">
        <v>20</v>
      </c>
      <c r="O24" s="28"/>
      <c r="P24" s="38" t="s">
        <v>17</v>
      </c>
      <c r="Q24" s="28"/>
      <c r="R24" s="28"/>
    </row>
    <row r="25" spans="2:18" s="33" customFormat="1" ht="28.5" customHeight="1" x14ac:dyDescent="0.45">
      <c r="B25" s="110" t="s">
        <v>26</v>
      </c>
      <c r="C25" s="111" t="s">
        <v>21</v>
      </c>
      <c r="D25" s="111"/>
      <c r="F25" s="33" t="s">
        <v>32</v>
      </c>
      <c r="N25" s="33" t="s">
        <v>0</v>
      </c>
      <c r="P25" s="33" t="s">
        <v>25</v>
      </c>
    </row>
    <row r="26" spans="2:18" s="33" customFormat="1" ht="28.5" customHeight="1" x14ac:dyDescent="0.45">
      <c r="B26" s="110"/>
      <c r="C26" s="111" t="s">
        <v>22</v>
      </c>
      <c r="D26" s="111"/>
      <c r="F26" s="33" t="s">
        <v>33</v>
      </c>
      <c r="N26" s="33" t="s">
        <v>36</v>
      </c>
      <c r="P26" s="33" t="s">
        <v>23</v>
      </c>
    </row>
    <row r="27" spans="2:18" s="33" customFormat="1" ht="28.5" customHeight="1" x14ac:dyDescent="0.45">
      <c r="B27" s="110"/>
      <c r="C27" s="111" t="s">
        <v>19</v>
      </c>
      <c r="D27" s="111"/>
      <c r="F27" s="33" t="s">
        <v>35</v>
      </c>
      <c r="N27" s="33" t="s">
        <v>0</v>
      </c>
      <c r="P27" s="33" t="s">
        <v>24</v>
      </c>
    </row>
    <row r="28" spans="2:18" s="32" customFormat="1" ht="33.950000000000003" customHeight="1" x14ac:dyDescent="0.45"/>
  </sheetData>
  <mergeCells count="25">
    <mergeCell ref="L4:N4"/>
    <mergeCell ref="P4:R4"/>
    <mergeCell ref="H5:J5"/>
    <mergeCell ref="L5:N5"/>
    <mergeCell ref="P5:R5"/>
    <mergeCell ref="L7:N7"/>
    <mergeCell ref="P7:R7"/>
    <mergeCell ref="H8:J8"/>
    <mergeCell ref="L8:N8"/>
    <mergeCell ref="P8:R8"/>
    <mergeCell ref="B25:B27"/>
    <mergeCell ref="C25:D25"/>
    <mergeCell ref="C26:D26"/>
    <mergeCell ref="C27:D27"/>
    <mergeCell ref="H7:J7"/>
    <mergeCell ref="B4:B8"/>
    <mergeCell ref="C4:C5"/>
    <mergeCell ref="D4:F5"/>
    <mergeCell ref="H4:J4"/>
    <mergeCell ref="D7:F8"/>
    <mergeCell ref="B11:C13"/>
    <mergeCell ref="B14:C18"/>
    <mergeCell ref="B19:C23"/>
    <mergeCell ref="C24:D24"/>
    <mergeCell ref="F24:L24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1D01-0C4F-4423-BF73-358C76689753}">
  <dimension ref="B1:R5"/>
  <sheetViews>
    <sheetView zoomScale="85" zoomScaleNormal="85" workbookViewId="0">
      <selection activeCell="S2" sqref="S2"/>
    </sheetView>
  </sheetViews>
  <sheetFormatPr defaultColWidth="9" defaultRowHeight="33.950000000000003" customHeight="1" x14ac:dyDescent="0.45"/>
  <cols>
    <col min="1" max="1" width="1.3984375" style="4" customWidth="1"/>
    <col min="2" max="2" width="62.6640625" style="3" customWidth="1"/>
    <col min="3" max="3" width="42.06640625" style="4" customWidth="1"/>
    <col min="4" max="4" width="2.33203125" style="4" customWidth="1"/>
    <col min="5" max="5" width="26.9296875" style="4" customWidth="1"/>
    <col min="6" max="6" width="2.33203125" style="4" customWidth="1"/>
    <col min="7" max="7" width="26.9296875" style="4" customWidth="1"/>
    <col min="8" max="8" width="2.33203125" style="4" customWidth="1"/>
    <col min="9" max="9" width="26.9296875" style="4" customWidth="1"/>
    <col min="10" max="10" width="2.33203125" style="4" customWidth="1"/>
    <col min="11" max="11" width="26.9296875" style="4" customWidth="1"/>
    <col min="12" max="12" width="2.33203125" style="4" customWidth="1"/>
    <col min="13" max="13" width="26.9296875" style="4" customWidth="1"/>
    <col min="14" max="14" width="2.33203125" style="4" customWidth="1"/>
    <col min="15" max="15" width="26.9296875" style="4" customWidth="1"/>
    <col min="16" max="16" width="2.33203125" style="4" customWidth="1"/>
    <col min="17" max="17" width="26.9296875" style="4" customWidth="1"/>
    <col min="18" max="22" width="21.06640625" style="4" customWidth="1"/>
    <col min="23" max="16384" width="9" style="4"/>
  </cols>
  <sheetData>
    <row r="1" spans="2:18" s="1" customFormat="1" ht="37.15" x14ac:dyDescent="0.45">
      <c r="B1" s="42" t="s">
        <v>73</v>
      </c>
      <c r="D1" s="11"/>
      <c r="Q1" s="34"/>
    </row>
    <row r="2" spans="2:18" s="2" customFormat="1" ht="16.899999999999999" customHeight="1" x14ac:dyDescent="0.65">
      <c r="B2" s="104"/>
      <c r="C2" s="6"/>
      <c r="D2" s="6"/>
      <c r="Q2" s="7"/>
      <c r="R2" s="9"/>
    </row>
    <row r="3" spans="2:18" s="2" customFormat="1" ht="31.15" customHeight="1" x14ac:dyDescent="0.85">
      <c r="B3" s="124" t="s">
        <v>76</v>
      </c>
      <c r="C3" s="108" t="s">
        <v>74</v>
      </c>
      <c r="D3" s="108"/>
      <c r="E3" s="108"/>
      <c r="F3" s="5"/>
      <c r="G3" s="127">
        <f>SHARED_VARIABLES!H8</f>
        <v>0.115</v>
      </c>
      <c r="H3" s="127"/>
      <c r="I3" s="127"/>
      <c r="J3" s="15"/>
      <c r="K3" s="125"/>
      <c r="L3" s="125"/>
      <c r="M3" s="125"/>
      <c r="N3" s="15"/>
      <c r="O3" s="125"/>
      <c r="P3" s="125"/>
      <c r="Q3" s="125"/>
      <c r="R3" s="9"/>
    </row>
    <row r="4" spans="2:18" s="2" customFormat="1" ht="37.5" customHeight="1" thickBot="1" x14ac:dyDescent="0.5">
      <c r="B4" s="124"/>
      <c r="C4" s="120"/>
      <c r="D4" s="120"/>
      <c r="E4" s="120"/>
      <c r="F4" s="14"/>
      <c r="G4" s="128"/>
      <c r="H4" s="128"/>
      <c r="I4" s="128"/>
      <c r="J4" s="36"/>
      <c r="K4" s="126"/>
      <c r="L4" s="126"/>
      <c r="M4" s="126"/>
      <c r="N4" s="37"/>
      <c r="O4" s="126"/>
      <c r="P4" s="126"/>
      <c r="Q4" s="126"/>
      <c r="R4" s="9"/>
    </row>
    <row r="5" spans="2:18" s="32" customFormat="1" ht="33.950000000000003" customHeight="1" x14ac:dyDescent="0.45">
      <c r="B5" s="124"/>
      <c r="E5" s="103" t="s">
        <v>75</v>
      </c>
    </row>
  </sheetData>
  <mergeCells count="7">
    <mergeCell ref="B3:B5"/>
    <mergeCell ref="K3:M3"/>
    <mergeCell ref="O3:Q3"/>
    <mergeCell ref="K4:M4"/>
    <mergeCell ref="O4:Q4"/>
    <mergeCell ref="G3:I4"/>
    <mergeCell ref="C3:E4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B2F8-B077-430A-B492-9A737695B626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6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SHARED_VARIABLES!F12</f>
        <v>0</v>
      </c>
    </row>
    <row r="7" spans="1:14" ht="6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0</v>
      </c>
      <c r="F13" s="67">
        <f t="shared" si="4"/>
        <v>0</v>
      </c>
      <c r="G13" s="67">
        <f t="shared" si="4"/>
        <v>0</v>
      </c>
      <c r="H13" s="67">
        <f t="shared" si="4"/>
        <v>0</v>
      </c>
      <c r="I13" s="67">
        <f t="shared" si="4"/>
        <v>0</v>
      </c>
      <c r="J13" s="67">
        <f t="shared" si="4"/>
        <v>0</v>
      </c>
      <c r="K13" s="67">
        <f t="shared" si="4"/>
        <v>0</v>
      </c>
      <c r="L13" s="67">
        <f t="shared" si="4"/>
        <v>0</v>
      </c>
      <c r="M13" s="67">
        <f t="shared" si="4"/>
        <v>0</v>
      </c>
      <c r="N13" s="67">
        <f t="shared" si="4"/>
        <v>0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3.8461538461538464E-2</v>
      </c>
      <c r="F14" s="67">
        <f t="shared" si="5"/>
        <v>2.9585798816568049E-2</v>
      </c>
      <c r="G14" s="67">
        <f t="shared" si="5"/>
        <v>2.2758306781975421E-2</v>
      </c>
      <c r="H14" s="67">
        <f t="shared" si="5"/>
        <v>1.7506389832288784E-2</v>
      </c>
      <c r="I14" s="67">
        <f t="shared" si="5"/>
        <v>1.3466453717145221E-2</v>
      </c>
      <c r="J14" s="67">
        <f t="shared" si="5"/>
        <v>1.0358810551650173E-2</v>
      </c>
      <c r="K14" s="67">
        <f t="shared" si="5"/>
        <v>7.9683158089616686E-3</v>
      </c>
      <c r="L14" s="67">
        <f t="shared" si="5"/>
        <v>6.1294736992012827E-3</v>
      </c>
      <c r="M14" s="67">
        <f t="shared" si="5"/>
        <v>4.714979768616373E-3</v>
      </c>
      <c r="N14" s="67">
        <f t="shared" si="5"/>
        <v>3.6269075143202881E-3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0.12692307692307692</v>
      </c>
      <c r="F15" s="91">
        <f t="shared" ref="F15:N15" si="6">SUM(F12:F14)</f>
        <v>9.7633136094674555E-2</v>
      </c>
      <c r="G15" s="91">
        <f t="shared" si="6"/>
        <v>7.5102412380518888E-2</v>
      </c>
      <c r="H15" s="91">
        <f t="shared" si="6"/>
        <v>5.7771086446552981E-2</v>
      </c>
      <c r="I15" s="91">
        <f t="shared" si="6"/>
        <v>4.4439297266579234E-2</v>
      </c>
      <c r="J15" s="91">
        <f t="shared" si="6"/>
        <v>3.4184074820445567E-2</v>
      </c>
      <c r="K15" s="91">
        <f t="shared" si="6"/>
        <v>2.6295442169573507E-2</v>
      </c>
      <c r="L15" s="91">
        <f t="shared" si="6"/>
        <v>2.0227263207364232E-2</v>
      </c>
      <c r="M15" s="91">
        <f t="shared" si="6"/>
        <v>1.5559433236434031E-2</v>
      </c>
      <c r="N15" s="91">
        <f t="shared" si="6"/>
        <v>1.1968794797256951E-2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0.23076923076923078</v>
      </c>
      <c r="F16" s="70">
        <f>(F10 - E10) * (1 + $N$6)</f>
        <v>0.17751479289940825</v>
      </c>
      <c r="G16" s="70">
        <f t="shared" ref="G16:N16" si="7">(G10 - F10) * (1 + $N$6)</f>
        <v>0.13654984069185261</v>
      </c>
      <c r="H16" s="70">
        <f t="shared" si="7"/>
        <v>0.10503833899373272</v>
      </c>
      <c r="I16" s="70">
        <f t="shared" si="7"/>
        <v>8.0798722302871218E-2</v>
      </c>
      <c r="J16" s="70">
        <f t="shared" si="7"/>
        <v>6.2152863309900996E-2</v>
      </c>
      <c r="K16" s="70">
        <f t="shared" si="7"/>
        <v>4.7809894853770074E-2</v>
      </c>
      <c r="L16" s="70">
        <f t="shared" si="7"/>
        <v>3.6776842195207715E-2</v>
      </c>
      <c r="M16" s="70">
        <f t="shared" si="7"/>
        <v>2.8289878611698183E-2</v>
      </c>
      <c r="N16" s="70">
        <f t="shared" si="7"/>
        <v>2.1761445085921705E-2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1.7692307692307691E-2</v>
      </c>
      <c r="F17" s="67">
        <f t="shared" si="8"/>
        <v>1.591715976331361E-2</v>
      </c>
      <c r="G17" s="67">
        <f t="shared" si="8"/>
        <v>1.4551661356395084E-2</v>
      </c>
      <c r="H17" s="67">
        <f t="shared" si="8"/>
        <v>1.3501277966457757E-2</v>
      </c>
      <c r="I17" s="67">
        <f t="shared" si="8"/>
        <v>1.2693290743429045E-2</v>
      </c>
      <c r="J17" s="67">
        <f t="shared" si="8"/>
        <v>1.2071762110330035E-2</v>
      </c>
      <c r="K17" s="67">
        <f t="shared" si="8"/>
        <v>1.1593663161792334E-2</v>
      </c>
      <c r="L17" s="67">
        <f t="shared" si="8"/>
        <v>1.1225894739840257E-2</v>
      </c>
      <c r="M17" s="67">
        <f t="shared" si="8"/>
        <v>1.0942995953723274E-2</v>
      </c>
      <c r="N17" s="67">
        <f t="shared" si="8"/>
        <v>1.0725381502864059E-2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8.8461538461538456E-3</v>
      </c>
      <c r="F18" s="67">
        <f t="shared" si="9"/>
        <v>7.9585798816568052E-3</v>
      </c>
      <c r="G18" s="67">
        <f t="shared" si="9"/>
        <v>7.275830678197542E-3</v>
      </c>
      <c r="H18" s="67">
        <f t="shared" si="9"/>
        <v>6.7506389832288783E-3</v>
      </c>
      <c r="I18" s="67">
        <f t="shared" si="9"/>
        <v>6.3466453717145226E-3</v>
      </c>
      <c r="J18" s="67">
        <f t="shared" si="9"/>
        <v>6.0358810551650174E-3</v>
      </c>
      <c r="K18" s="67">
        <f t="shared" si="9"/>
        <v>5.7968315808961668E-3</v>
      </c>
      <c r="L18" s="67">
        <f t="shared" si="9"/>
        <v>5.6129473699201285E-3</v>
      </c>
      <c r="M18" s="67">
        <f t="shared" si="9"/>
        <v>5.4714979768616372E-3</v>
      </c>
      <c r="N18" s="67">
        <f t="shared" si="9"/>
        <v>5.3626907514320293E-3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0.25730769230769235</v>
      </c>
      <c r="F19" s="88">
        <f t="shared" ref="F19:N19" si="10">SUM(F16:F18)</f>
        <v>0.20139053254437866</v>
      </c>
      <c r="G19" s="88">
        <f t="shared" si="10"/>
        <v>0.15837733272644522</v>
      </c>
      <c r="H19" s="88">
        <f t="shared" si="10"/>
        <v>0.12529025594341936</v>
      </c>
      <c r="I19" s="88">
        <f t="shared" si="10"/>
        <v>9.9838658418014786E-2</v>
      </c>
      <c r="J19" s="88">
        <f t="shared" si="10"/>
        <v>8.0260506475396051E-2</v>
      </c>
      <c r="K19" s="88">
        <f t="shared" si="10"/>
        <v>6.5200389596458574E-2</v>
      </c>
      <c r="L19" s="88">
        <f t="shared" si="10"/>
        <v>5.3615684304968103E-2</v>
      </c>
      <c r="M19" s="88">
        <f t="shared" si="10"/>
        <v>4.47043725422831E-2</v>
      </c>
      <c r="N19" s="88">
        <f t="shared" si="10"/>
        <v>3.7849517340217798E-2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0.13038461538461543</v>
      </c>
      <c r="F20" s="87">
        <f t="shared" ref="F20:N20" si="11">F19 - F15</f>
        <v>0.10375739644970411</v>
      </c>
      <c r="G20" s="87">
        <f t="shared" si="11"/>
        <v>8.3274920345926332E-2</v>
      </c>
      <c r="H20" s="87">
        <f t="shared" si="11"/>
        <v>6.7519169496866371E-2</v>
      </c>
      <c r="I20" s="87">
        <f t="shared" si="11"/>
        <v>5.5399361151435553E-2</v>
      </c>
      <c r="J20" s="87">
        <f t="shared" si="11"/>
        <v>4.6076431654950484E-2</v>
      </c>
      <c r="K20" s="87">
        <f t="shared" si="11"/>
        <v>3.8904947426885064E-2</v>
      </c>
      <c r="L20" s="87">
        <f t="shared" si="11"/>
        <v>3.3388421097603871E-2</v>
      </c>
      <c r="M20" s="87">
        <f t="shared" si="11"/>
        <v>2.914493930584907E-2</v>
      </c>
      <c r="N20" s="87">
        <f t="shared" si="11"/>
        <v>2.5880722542960845E-2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1">
        <f>E14 * ($C21 / (2 + $N$6))</f>
        <v>384.61538461538464</v>
      </c>
      <c r="F21" s="71">
        <f t="shared" ref="F21:N21" si="12">F14 * ($C21 / (2 + $N$6))</f>
        <v>295.85798816568047</v>
      </c>
      <c r="G21" s="71">
        <f t="shared" si="12"/>
        <v>227.58306781975421</v>
      </c>
      <c r="H21" s="71">
        <f t="shared" si="12"/>
        <v>175.06389832288784</v>
      </c>
      <c r="I21" s="71">
        <f t="shared" si="12"/>
        <v>134.66453717145222</v>
      </c>
      <c r="J21" s="71">
        <f t="shared" si="12"/>
        <v>103.58810551650173</v>
      </c>
      <c r="K21" s="71">
        <f t="shared" si="12"/>
        <v>79.683158089616683</v>
      </c>
      <c r="L21" s="71">
        <f t="shared" si="12"/>
        <v>61.29473699201283</v>
      </c>
      <c r="M21" s="71">
        <f t="shared" si="12"/>
        <v>47.14979768616373</v>
      </c>
      <c r="N21" s="71">
        <f t="shared" si="12"/>
        <v>36.269075143202883</v>
      </c>
    </row>
    <row r="22" spans="1:14" ht="37.5" customHeight="1" x14ac:dyDescent="0.45">
      <c r="A22" s="62"/>
      <c r="B22" s="135"/>
      <c r="C22" s="59">
        <v>400000</v>
      </c>
      <c r="D22" s="57"/>
      <c r="E22" s="72">
        <f>E14 * ($C22 / (2 + $N$6))</f>
        <v>7692.3076923076924</v>
      </c>
      <c r="F22" s="72">
        <f t="shared" ref="F22:N22" si="13">F14 * ($C22 / (2 + $N$6))</f>
        <v>5917.1597633136098</v>
      </c>
      <c r="G22" s="72">
        <f t="shared" si="13"/>
        <v>4551.6613563950841</v>
      </c>
      <c r="H22" s="72">
        <f t="shared" si="13"/>
        <v>3501.2779664577565</v>
      </c>
      <c r="I22" s="72">
        <f t="shared" si="13"/>
        <v>2693.2907434290441</v>
      </c>
      <c r="J22" s="72">
        <f t="shared" si="13"/>
        <v>2071.7621103300344</v>
      </c>
      <c r="K22" s="72">
        <f t="shared" si="13"/>
        <v>1593.6631617923338</v>
      </c>
      <c r="L22" s="72">
        <f t="shared" si="13"/>
        <v>1225.8947398402565</v>
      </c>
      <c r="M22" s="72">
        <f t="shared" si="13"/>
        <v>942.99595372327462</v>
      </c>
      <c r="N22" s="72">
        <f t="shared" si="13"/>
        <v>725.38150286405767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19230.76923076923</v>
      </c>
      <c r="F23" s="72">
        <f t="shared" ref="F23:N23" si="14">F14 * ($C23 / (2 + $N$6))</f>
        <v>14792.899408284025</v>
      </c>
      <c r="G23" s="72">
        <f t="shared" si="14"/>
        <v>11379.153390987711</v>
      </c>
      <c r="H23" s="72">
        <f t="shared" si="14"/>
        <v>8753.1949161443918</v>
      </c>
      <c r="I23" s="72">
        <f t="shared" si="14"/>
        <v>6733.2268585726106</v>
      </c>
      <c r="J23" s="72">
        <f t="shared" si="14"/>
        <v>5179.4052758250864</v>
      </c>
      <c r="K23" s="72">
        <f t="shared" si="14"/>
        <v>3984.1579044808341</v>
      </c>
      <c r="L23" s="72">
        <f t="shared" si="14"/>
        <v>3064.7368496006416</v>
      </c>
      <c r="M23" s="72">
        <f t="shared" si="14"/>
        <v>2357.4898843081864</v>
      </c>
      <c r="N23" s="72">
        <f t="shared" si="14"/>
        <v>1813.4537571601441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>E14 * ($C24 / (2 + $N$6))</f>
        <v>40384.61538461539</v>
      </c>
      <c r="F24" s="73">
        <f t="shared" ref="F24:N24" si="15">F14 * ($C24 / (2 + $N$6))</f>
        <v>31065.08875739645</v>
      </c>
      <c r="G24" s="73">
        <f t="shared" si="15"/>
        <v>23896.222121074192</v>
      </c>
      <c r="H24" s="73">
        <f t="shared" si="15"/>
        <v>18381.709323903222</v>
      </c>
      <c r="I24" s="73">
        <f t="shared" si="15"/>
        <v>14139.776403002483</v>
      </c>
      <c r="J24" s="73">
        <f t="shared" si="15"/>
        <v>10876.751079232681</v>
      </c>
      <c r="K24" s="73">
        <f t="shared" si="15"/>
        <v>8366.7315994097517</v>
      </c>
      <c r="L24" s="73">
        <f t="shared" si="15"/>
        <v>6435.9473841613471</v>
      </c>
      <c r="M24" s="73">
        <f t="shared" si="15"/>
        <v>4950.7287570471917</v>
      </c>
      <c r="N24" s="73">
        <f t="shared" si="15"/>
        <v>3808.2528900363027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20000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10000</v>
      </c>
      <c r="I27" s="134"/>
      <c r="J27" s="54"/>
      <c r="K27" s="130"/>
      <c r="L27" s="132"/>
      <c r="N27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2307.6923076923076</v>
      </c>
      <c r="F31" s="79">
        <f t="shared" si="17"/>
        <v>4082.8402366863902</v>
      </c>
      <c r="G31" s="79">
        <f t="shared" si="17"/>
        <v>5448.3386436049168</v>
      </c>
      <c r="H31" s="79">
        <f t="shared" si="17"/>
        <v>6498.7220335422435</v>
      </c>
      <c r="I31" s="79">
        <f t="shared" si="17"/>
        <v>7306.7092565709554</v>
      </c>
      <c r="J31" s="79">
        <f t="shared" si="17"/>
        <v>7928.2378896699656</v>
      </c>
      <c r="K31" s="79">
        <f t="shared" si="17"/>
        <v>8406.336838207666</v>
      </c>
      <c r="L31" s="79">
        <f t="shared" si="17"/>
        <v>8774.1052601597439</v>
      </c>
      <c r="M31" s="79">
        <f t="shared" si="17"/>
        <v>9057.0040462767247</v>
      </c>
      <c r="N31" s="79">
        <f t="shared" si="17"/>
        <v>9274.6184971359417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7692.3076923076915</v>
      </c>
      <c r="F32" s="80">
        <f t="shared" si="18"/>
        <v>5917.1597633136098</v>
      </c>
      <c r="G32" s="80">
        <f t="shared" si="18"/>
        <v>4551.6613563950832</v>
      </c>
      <c r="H32" s="80">
        <f t="shared" si="18"/>
        <v>3501.2779664577565</v>
      </c>
      <c r="I32" s="80">
        <f t="shared" si="18"/>
        <v>2693.2907434290441</v>
      </c>
      <c r="J32" s="80">
        <f t="shared" si="18"/>
        <v>2071.7621103300344</v>
      </c>
      <c r="K32" s="80">
        <f t="shared" si="18"/>
        <v>1593.6631617923335</v>
      </c>
      <c r="L32" s="80">
        <f t="shared" si="18"/>
        <v>1225.8947398402565</v>
      </c>
      <c r="M32" s="80">
        <f t="shared" si="18"/>
        <v>942.99595372327462</v>
      </c>
      <c r="N32" s="80">
        <f t="shared" si="18"/>
        <v>725.38150286405755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884.61538461538453</v>
      </c>
      <c r="F33" s="79">
        <f t="shared" si="19"/>
        <v>680.47337278106511</v>
      </c>
      <c r="G33" s="79">
        <f t="shared" si="19"/>
        <v>523.44105598543467</v>
      </c>
      <c r="H33" s="79">
        <f t="shared" si="19"/>
        <v>402.64696614264199</v>
      </c>
      <c r="I33" s="79">
        <f t="shared" si="19"/>
        <v>309.72843549434015</v>
      </c>
      <c r="J33" s="79">
        <f t="shared" si="19"/>
        <v>238.25264268795394</v>
      </c>
      <c r="K33" s="79">
        <f t="shared" si="19"/>
        <v>183.27126360611837</v>
      </c>
      <c r="L33" s="79">
        <f t="shared" si="19"/>
        <v>140.9778950816295</v>
      </c>
      <c r="M33" s="79">
        <f t="shared" si="19"/>
        <v>108.44453467817658</v>
      </c>
      <c r="N33" s="79">
        <f t="shared" si="19"/>
        <v>83.418872829366634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0</v>
      </c>
      <c r="F34" s="79">
        <f t="shared" si="20"/>
        <v>0</v>
      </c>
      <c r="G34" s="79">
        <f t="shared" si="20"/>
        <v>0</v>
      </c>
      <c r="H34" s="79">
        <f t="shared" si="20"/>
        <v>0</v>
      </c>
      <c r="I34" s="79">
        <f t="shared" si="20"/>
        <v>0</v>
      </c>
      <c r="J34" s="79">
        <f t="shared" si="20"/>
        <v>0</v>
      </c>
      <c r="K34" s="79">
        <f t="shared" si="20"/>
        <v>0</v>
      </c>
      <c r="L34" s="79">
        <f t="shared" si="20"/>
        <v>0</v>
      </c>
      <c r="M34" s="79">
        <f t="shared" si="20"/>
        <v>0</v>
      </c>
      <c r="N34" s="79">
        <f t="shared" si="20"/>
        <v>0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E41" si="21">$H$27 * E14</f>
        <v>384.61538461538464</v>
      </c>
      <c r="F35" s="79">
        <f t="shared" ref="F35:N35" si="22">$H$27 * F14</f>
        <v>295.85798816568047</v>
      </c>
      <c r="G35" s="79">
        <f t="shared" si="22"/>
        <v>227.58306781975421</v>
      </c>
      <c r="H35" s="79">
        <f t="shared" si="22"/>
        <v>175.06389832288784</v>
      </c>
      <c r="I35" s="79">
        <f t="shared" si="22"/>
        <v>134.66453717145222</v>
      </c>
      <c r="J35" s="79">
        <f t="shared" si="22"/>
        <v>103.58810551650173</v>
      </c>
      <c r="K35" s="79">
        <f t="shared" si="22"/>
        <v>79.683158089616683</v>
      </c>
      <c r="L35" s="79">
        <f t="shared" si="22"/>
        <v>61.29473699201283</v>
      </c>
      <c r="M35" s="79">
        <f t="shared" si="22"/>
        <v>47.14979768616373</v>
      </c>
      <c r="N35" s="79">
        <f t="shared" si="22"/>
        <v>36.269075143202883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si="21"/>
        <v>1269.2307692307691</v>
      </c>
      <c r="F36" s="92">
        <f t="shared" ref="F36:N36" si="23">$H$27 * F15</f>
        <v>976.33136094674558</v>
      </c>
      <c r="G36" s="92">
        <f t="shared" si="23"/>
        <v>751.02412380518888</v>
      </c>
      <c r="H36" s="92">
        <f t="shared" si="23"/>
        <v>577.71086446552977</v>
      </c>
      <c r="I36" s="92">
        <f t="shared" si="23"/>
        <v>444.39297266579234</v>
      </c>
      <c r="J36" s="92">
        <f t="shared" si="23"/>
        <v>341.84074820445568</v>
      </c>
      <c r="K36" s="92">
        <f t="shared" si="23"/>
        <v>262.95442169573505</v>
      </c>
      <c r="L36" s="92">
        <f t="shared" si="23"/>
        <v>202.27263207364231</v>
      </c>
      <c r="M36" s="92">
        <f t="shared" si="23"/>
        <v>155.59433236434032</v>
      </c>
      <c r="N36" s="92">
        <f t="shared" si="23"/>
        <v>119.6879479725695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1"/>
        <v>2307.6923076923076</v>
      </c>
      <c r="F37" s="79">
        <f t="shared" ref="F37:N37" si="24">$H$27 * F16</f>
        <v>1775.1479289940826</v>
      </c>
      <c r="G37" s="79">
        <f t="shared" si="24"/>
        <v>1365.4984069185261</v>
      </c>
      <c r="H37" s="79">
        <f t="shared" si="24"/>
        <v>1050.3833899373271</v>
      </c>
      <c r="I37" s="79">
        <f t="shared" si="24"/>
        <v>807.98722302871215</v>
      </c>
      <c r="J37" s="79">
        <f t="shared" si="24"/>
        <v>621.52863309900999</v>
      </c>
      <c r="K37" s="79">
        <f t="shared" si="24"/>
        <v>478.09894853770072</v>
      </c>
      <c r="L37" s="79">
        <f t="shared" si="24"/>
        <v>367.76842195207718</v>
      </c>
      <c r="M37" s="79">
        <f t="shared" si="24"/>
        <v>282.89878611698185</v>
      </c>
      <c r="N37" s="79">
        <f t="shared" si="24"/>
        <v>217.61445085921704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1"/>
        <v>176.92307692307691</v>
      </c>
      <c r="F38" s="79">
        <f t="shared" ref="F38:N38" si="25">$H$27 * F17</f>
        <v>159.17159763313612</v>
      </c>
      <c r="G38" s="79">
        <f t="shared" si="25"/>
        <v>145.51661356395084</v>
      </c>
      <c r="H38" s="79">
        <f t="shared" si="25"/>
        <v>135.01277966457758</v>
      </c>
      <c r="I38" s="79">
        <f t="shared" si="25"/>
        <v>126.93290743429046</v>
      </c>
      <c r="J38" s="79">
        <f t="shared" si="25"/>
        <v>120.71762110330035</v>
      </c>
      <c r="K38" s="79">
        <f t="shared" si="25"/>
        <v>115.93663161792334</v>
      </c>
      <c r="L38" s="79">
        <f t="shared" si="25"/>
        <v>112.25894739840257</v>
      </c>
      <c r="M38" s="79">
        <f t="shared" si="25"/>
        <v>109.42995953723275</v>
      </c>
      <c r="N38" s="79">
        <f t="shared" si="25"/>
        <v>107.25381502864059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1"/>
        <v>88.461538461538453</v>
      </c>
      <c r="F39" s="79">
        <f t="shared" ref="F39:N39" si="26">$H$27 * F18</f>
        <v>79.585798816568058</v>
      </c>
      <c r="G39" s="79">
        <f t="shared" si="26"/>
        <v>72.758306781975421</v>
      </c>
      <c r="H39" s="79">
        <f t="shared" si="26"/>
        <v>67.506389832288789</v>
      </c>
      <c r="I39" s="79">
        <f t="shared" si="26"/>
        <v>63.466453717145228</v>
      </c>
      <c r="J39" s="79">
        <f t="shared" si="26"/>
        <v>60.358810551650173</v>
      </c>
      <c r="K39" s="79">
        <f t="shared" si="26"/>
        <v>57.96831580896167</v>
      </c>
      <c r="L39" s="79">
        <f t="shared" si="26"/>
        <v>56.129473699201284</v>
      </c>
      <c r="M39" s="79">
        <f t="shared" si="26"/>
        <v>54.714979768616374</v>
      </c>
      <c r="N39" s="79">
        <f t="shared" si="26"/>
        <v>53.626907514320294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1"/>
        <v>2573.0769230769233</v>
      </c>
      <c r="F40" s="89">
        <f t="shared" ref="F40:N40" si="27">$H$27 * F19</f>
        <v>2013.9053254437868</v>
      </c>
      <c r="G40" s="89">
        <f t="shared" si="27"/>
        <v>1583.7733272644523</v>
      </c>
      <c r="H40" s="89">
        <f t="shared" si="27"/>
        <v>1252.9025594341936</v>
      </c>
      <c r="I40" s="89">
        <f t="shared" si="27"/>
        <v>998.38658418014791</v>
      </c>
      <c r="J40" s="89">
        <f t="shared" si="27"/>
        <v>802.60506475396051</v>
      </c>
      <c r="K40" s="89">
        <f t="shared" si="27"/>
        <v>652.00389596458569</v>
      </c>
      <c r="L40" s="89">
        <f t="shared" si="27"/>
        <v>536.15684304968102</v>
      </c>
      <c r="M40" s="89">
        <f t="shared" si="27"/>
        <v>447.04372542283102</v>
      </c>
      <c r="N40" s="89">
        <f t="shared" si="27"/>
        <v>378.49517340217795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1"/>
        <v>1303.8461538461543</v>
      </c>
      <c r="F41" s="81">
        <f t="shared" ref="F41:N41" si="28">$H$27 * F20</f>
        <v>1037.5739644970411</v>
      </c>
      <c r="G41" s="81">
        <f t="shared" si="28"/>
        <v>832.7492034592633</v>
      </c>
      <c r="H41" s="81">
        <f t="shared" si="28"/>
        <v>675.19169496866368</v>
      </c>
      <c r="I41" s="81">
        <f t="shared" si="28"/>
        <v>553.99361151435551</v>
      </c>
      <c r="J41" s="81">
        <f t="shared" si="28"/>
        <v>460.76431654950483</v>
      </c>
      <c r="K41" s="81">
        <f t="shared" si="28"/>
        <v>389.04947426885064</v>
      </c>
      <c r="L41" s="81">
        <f t="shared" si="28"/>
        <v>333.88421097603873</v>
      </c>
      <c r="M41" s="81">
        <f t="shared" si="28"/>
        <v>291.44939305849073</v>
      </c>
      <c r="N41" s="81">
        <f t="shared" si="28"/>
        <v>258.80722542960842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6:B20"/>
    <mergeCell ref="B21:B24"/>
    <mergeCell ref="C26:C27"/>
    <mergeCell ref="E26:F26"/>
    <mergeCell ref="B37:B41"/>
    <mergeCell ref="K26:K27"/>
    <mergeCell ref="L26:L27"/>
    <mergeCell ref="B12:B15"/>
    <mergeCell ref="B33:B36"/>
    <mergeCell ref="H26:I26"/>
    <mergeCell ref="E27:F27"/>
    <mergeCell ref="H27:I27"/>
    <mergeCell ref="B31:B32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DDC8-0C60-48F1-8A37-70E4A78897ED}">
  <dimension ref="A1:N41"/>
  <sheetViews>
    <sheetView zoomScale="85" zoomScaleNormal="85" workbookViewId="0">
      <selection activeCell="F13" sqref="F13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5.75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SHARED_VARIABLES!H12</f>
        <v>0.5</v>
      </c>
    </row>
    <row r="7" spans="1:14" ht="5.75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2.8846153846153841E-2</v>
      </c>
      <c r="F13" s="67">
        <f t="shared" si="4"/>
        <v>2.2189349112426034E-2</v>
      </c>
      <c r="G13" s="67">
        <f t="shared" si="4"/>
        <v>1.7068730086481562E-2</v>
      </c>
      <c r="H13" s="67">
        <f t="shared" si="4"/>
        <v>1.3129792374216586E-2</v>
      </c>
      <c r="I13" s="67">
        <f t="shared" si="4"/>
        <v>1.0099840287858916E-2</v>
      </c>
      <c r="J13" s="67">
        <f t="shared" si="4"/>
        <v>7.769107913737628E-3</v>
      </c>
      <c r="K13" s="67">
        <f t="shared" si="4"/>
        <v>5.9762368567212506E-3</v>
      </c>
      <c r="L13" s="67">
        <f t="shared" si="4"/>
        <v>4.5971052744009618E-3</v>
      </c>
      <c r="M13" s="67">
        <f t="shared" si="4"/>
        <v>3.5362348264622798E-3</v>
      </c>
      <c r="N13" s="67">
        <f t="shared" si="4"/>
        <v>2.7201806357402157E-3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5.7692307692307696E-2</v>
      </c>
      <c r="F14" s="67">
        <f t="shared" si="5"/>
        <v>4.4378698224852076E-2</v>
      </c>
      <c r="G14" s="67">
        <f t="shared" si="5"/>
        <v>3.4137460172963131E-2</v>
      </c>
      <c r="H14" s="67">
        <f t="shared" si="5"/>
        <v>2.6259584748433176E-2</v>
      </c>
      <c r="I14" s="67">
        <f t="shared" si="5"/>
        <v>2.0199680575717832E-2</v>
      </c>
      <c r="J14" s="67">
        <f t="shared" si="5"/>
        <v>1.553821582747526E-2</v>
      </c>
      <c r="K14" s="67">
        <f t="shared" si="5"/>
        <v>1.1952473713442503E-2</v>
      </c>
      <c r="L14" s="67">
        <f t="shared" si="5"/>
        <v>9.1942105488019236E-3</v>
      </c>
      <c r="M14" s="67">
        <f t="shared" si="5"/>
        <v>7.0724696529245595E-3</v>
      </c>
      <c r="N14" s="67">
        <f t="shared" si="5"/>
        <v>5.4403612714804322E-3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0.17499999999999999</v>
      </c>
      <c r="F15" s="91">
        <f t="shared" ref="F15:N15" si="6">SUM(F12:F14)</f>
        <v>0.13461538461538464</v>
      </c>
      <c r="G15" s="91">
        <f t="shared" si="6"/>
        <v>0.10355029585798817</v>
      </c>
      <c r="H15" s="91">
        <f t="shared" si="6"/>
        <v>7.9654073736913966E-2</v>
      </c>
      <c r="I15" s="91">
        <f t="shared" si="6"/>
        <v>6.127236441301076E-2</v>
      </c>
      <c r="J15" s="91">
        <f t="shared" si="6"/>
        <v>4.7132588010008289E-2</v>
      </c>
      <c r="K15" s="91">
        <f t="shared" si="6"/>
        <v>3.6255836930775595E-2</v>
      </c>
      <c r="L15" s="91">
        <f t="shared" si="6"/>
        <v>2.7889105331365835E-2</v>
      </c>
      <c r="M15" s="91">
        <f t="shared" si="6"/>
        <v>2.1453157947204496E-2</v>
      </c>
      <c r="N15" s="91">
        <f t="shared" si="6"/>
        <v>1.6502429190157313E-2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0.34615384615384615</v>
      </c>
      <c r="F16" s="70">
        <f>(F10 - E10) * (1 + $N$6)</f>
        <v>0.26627218934911234</v>
      </c>
      <c r="G16" s="70">
        <f t="shared" ref="G16:N16" si="7">(G10 - F10) * (1 + $N$6)</f>
        <v>0.20482476103777891</v>
      </c>
      <c r="H16" s="70">
        <f t="shared" si="7"/>
        <v>0.15755750849059907</v>
      </c>
      <c r="I16" s="70">
        <f t="shared" si="7"/>
        <v>0.12119808345430683</v>
      </c>
      <c r="J16" s="70">
        <f t="shared" si="7"/>
        <v>9.3229294964851495E-2</v>
      </c>
      <c r="K16" s="70">
        <f t="shared" si="7"/>
        <v>7.1714842280655111E-2</v>
      </c>
      <c r="L16" s="70">
        <f t="shared" si="7"/>
        <v>5.5165263292811573E-2</v>
      </c>
      <c r="M16" s="70">
        <f t="shared" si="7"/>
        <v>4.2434817917547274E-2</v>
      </c>
      <c r="N16" s="70">
        <f t="shared" si="7"/>
        <v>3.2642167628882557E-2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2.2692307692307692E-2</v>
      </c>
      <c r="F17" s="67">
        <f t="shared" si="8"/>
        <v>2.0917159763313611E-2</v>
      </c>
      <c r="G17" s="67">
        <f t="shared" si="8"/>
        <v>1.9551661356395085E-2</v>
      </c>
      <c r="H17" s="67">
        <f t="shared" si="8"/>
        <v>1.8501277966457758E-2</v>
      </c>
      <c r="I17" s="67">
        <f t="shared" si="8"/>
        <v>1.7693290743429044E-2</v>
      </c>
      <c r="J17" s="67">
        <f t="shared" si="8"/>
        <v>1.7071762110330034E-2</v>
      </c>
      <c r="K17" s="67">
        <f t="shared" si="8"/>
        <v>1.6593663161792335E-2</v>
      </c>
      <c r="L17" s="67">
        <f t="shared" si="8"/>
        <v>1.6225894739840256E-2</v>
      </c>
      <c r="M17" s="67">
        <f t="shared" si="8"/>
        <v>1.5942995953723275E-2</v>
      </c>
      <c r="N17" s="67">
        <f t="shared" si="8"/>
        <v>1.5725381502864056E-2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1.1346153846153846E-2</v>
      </c>
      <c r="F18" s="67">
        <f t="shared" si="9"/>
        <v>1.0458579881656806E-2</v>
      </c>
      <c r="G18" s="67">
        <f t="shared" si="9"/>
        <v>9.7758306781975425E-3</v>
      </c>
      <c r="H18" s="67">
        <f t="shared" si="9"/>
        <v>9.2506389832288788E-3</v>
      </c>
      <c r="I18" s="67">
        <f t="shared" si="9"/>
        <v>8.8466453717145222E-3</v>
      </c>
      <c r="J18" s="67">
        <f t="shared" si="9"/>
        <v>8.535881055165017E-3</v>
      </c>
      <c r="K18" s="67">
        <f t="shared" si="9"/>
        <v>8.2968315808961673E-3</v>
      </c>
      <c r="L18" s="67">
        <f t="shared" si="9"/>
        <v>8.1129473699201281E-3</v>
      </c>
      <c r="M18" s="67">
        <f t="shared" si="9"/>
        <v>7.9714979768616377E-3</v>
      </c>
      <c r="N18" s="67">
        <f t="shared" si="9"/>
        <v>7.862690751432028E-3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0.38019230769230766</v>
      </c>
      <c r="F19" s="88">
        <f t="shared" ref="F19:N19" si="10">SUM(F16:F18)</f>
        <v>0.29764792899408277</v>
      </c>
      <c r="G19" s="88">
        <f t="shared" si="10"/>
        <v>0.23415225307237153</v>
      </c>
      <c r="H19" s="88">
        <f t="shared" si="10"/>
        <v>0.18530942544028572</v>
      </c>
      <c r="I19" s="88">
        <f t="shared" si="10"/>
        <v>0.1477380195694504</v>
      </c>
      <c r="J19" s="88">
        <f t="shared" si="10"/>
        <v>0.11883693813034656</v>
      </c>
      <c r="K19" s="88">
        <f t="shared" si="10"/>
        <v>9.6605337023343618E-2</v>
      </c>
      <c r="L19" s="88">
        <f t="shared" si="10"/>
        <v>7.9504105402571967E-2</v>
      </c>
      <c r="M19" s="88">
        <f t="shared" si="10"/>
        <v>6.6349311848132184E-2</v>
      </c>
      <c r="N19" s="88">
        <f t="shared" si="10"/>
        <v>5.6230239883178636E-2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0.20519230769230767</v>
      </c>
      <c r="F20" s="87">
        <f t="shared" ref="F20:N20" si="11">F19 - F15</f>
        <v>0.16303254437869813</v>
      </c>
      <c r="G20" s="87">
        <f t="shared" si="11"/>
        <v>0.13060195721438336</v>
      </c>
      <c r="H20" s="87">
        <f t="shared" si="11"/>
        <v>0.10565535170337176</v>
      </c>
      <c r="I20" s="87">
        <f t="shared" si="11"/>
        <v>8.6465655156439641E-2</v>
      </c>
      <c r="J20" s="87">
        <f t="shared" si="11"/>
        <v>7.1704350120338267E-2</v>
      </c>
      <c r="K20" s="87">
        <f t="shared" si="11"/>
        <v>6.0349500092568023E-2</v>
      </c>
      <c r="L20" s="87">
        <f t="shared" si="11"/>
        <v>5.1615000071206132E-2</v>
      </c>
      <c r="M20" s="87">
        <f t="shared" si="11"/>
        <v>4.4896153900927688E-2</v>
      </c>
      <c r="N20" s="87">
        <f t="shared" si="11"/>
        <v>3.9727810693021323E-2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1">
        <f>E14 * ($C21 / (2 + $N$6))</f>
        <v>461.53846153846155</v>
      </c>
      <c r="F21" s="71">
        <f t="shared" ref="F21:N21" si="12">F14 * ($C21 / (2 + $N$6))</f>
        <v>355.02958579881658</v>
      </c>
      <c r="G21" s="71">
        <f t="shared" si="12"/>
        <v>273.09968138370505</v>
      </c>
      <c r="H21" s="71">
        <f t="shared" si="12"/>
        <v>210.07667798746542</v>
      </c>
      <c r="I21" s="71">
        <f t="shared" si="12"/>
        <v>161.59744460574265</v>
      </c>
      <c r="J21" s="71">
        <f t="shared" si="12"/>
        <v>124.30572661980207</v>
      </c>
      <c r="K21" s="71">
        <f t="shared" si="12"/>
        <v>95.619789707540022</v>
      </c>
      <c r="L21" s="71">
        <f t="shared" si="12"/>
        <v>73.553684390415384</v>
      </c>
      <c r="M21" s="71">
        <f t="shared" si="12"/>
        <v>56.579757223396477</v>
      </c>
      <c r="N21" s="71">
        <f t="shared" si="12"/>
        <v>43.522890171843457</v>
      </c>
    </row>
    <row r="22" spans="1:14" ht="37.5" customHeight="1" x14ac:dyDescent="0.45">
      <c r="A22" s="62"/>
      <c r="B22" s="135"/>
      <c r="C22" s="59">
        <v>400000</v>
      </c>
      <c r="D22" s="57"/>
      <c r="E22" s="72">
        <f t="shared" ref="E22:N22" si="13">E14 * ($C22 / (2 + $N$6))</f>
        <v>9230.7692307692305</v>
      </c>
      <c r="F22" s="72">
        <f t="shared" si="13"/>
        <v>7100.5917159763321</v>
      </c>
      <c r="G22" s="72">
        <f t="shared" si="13"/>
        <v>5461.9936276741009</v>
      </c>
      <c r="H22" s="72">
        <f t="shared" si="13"/>
        <v>4201.5335597493076</v>
      </c>
      <c r="I22" s="72">
        <f t="shared" si="13"/>
        <v>3231.9488921148532</v>
      </c>
      <c r="J22" s="72">
        <f t="shared" si="13"/>
        <v>2486.1145323960413</v>
      </c>
      <c r="K22" s="72">
        <f t="shared" si="13"/>
        <v>1912.3957941508004</v>
      </c>
      <c r="L22" s="72">
        <f t="shared" si="13"/>
        <v>1471.0736878083078</v>
      </c>
      <c r="M22" s="72">
        <f t="shared" si="13"/>
        <v>1131.5951444679295</v>
      </c>
      <c r="N22" s="72">
        <f t="shared" si="13"/>
        <v>870.4578034368692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23076.923076923078</v>
      </c>
      <c r="F23" s="72">
        <f t="shared" ref="F23:N23" si="14">F14 * ($C23 / (2 + $N$6))</f>
        <v>17751.479289940831</v>
      </c>
      <c r="G23" s="72">
        <f t="shared" si="14"/>
        <v>13654.984069185253</v>
      </c>
      <c r="H23" s="72">
        <f t="shared" si="14"/>
        <v>10503.83389937327</v>
      </c>
      <c r="I23" s="72">
        <f t="shared" si="14"/>
        <v>8079.8722302871329</v>
      </c>
      <c r="J23" s="72">
        <f t="shared" si="14"/>
        <v>6215.286330990104</v>
      </c>
      <c r="K23" s="72">
        <f t="shared" si="14"/>
        <v>4780.9894853770011</v>
      </c>
      <c r="L23" s="72">
        <f t="shared" si="14"/>
        <v>3677.6842195207696</v>
      </c>
      <c r="M23" s="72">
        <f t="shared" si="14"/>
        <v>2828.9878611698236</v>
      </c>
      <c r="N23" s="72">
        <f t="shared" si="14"/>
        <v>2176.1445085921728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 t="shared" ref="E24:N24" si="15">E14 * ($C24 / (2 + $N$6))</f>
        <v>48461.538461538461</v>
      </c>
      <c r="F24" s="73">
        <f t="shared" si="15"/>
        <v>37278.106508875746</v>
      </c>
      <c r="G24" s="73">
        <f t="shared" si="15"/>
        <v>28675.466545289029</v>
      </c>
      <c r="H24" s="73">
        <f t="shared" si="15"/>
        <v>22058.051188683869</v>
      </c>
      <c r="I24" s="73">
        <f t="shared" si="15"/>
        <v>16967.731683602979</v>
      </c>
      <c r="J24" s="73">
        <f t="shared" si="15"/>
        <v>13052.101295079217</v>
      </c>
      <c r="K24" s="73">
        <f t="shared" si="15"/>
        <v>10040.077919291702</v>
      </c>
      <c r="L24" s="73">
        <f t="shared" si="15"/>
        <v>7723.1368609936162</v>
      </c>
      <c r="M24" s="73">
        <f t="shared" si="15"/>
        <v>5940.8745084566299</v>
      </c>
      <c r="N24" s="73">
        <f t="shared" si="15"/>
        <v>4569.9034680435634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20000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8000</v>
      </c>
      <c r="I27" s="134"/>
      <c r="J27" s="54"/>
      <c r="K27" s="130"/>
      <c r="L27" s="132"/>
      <c r="N27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1846.1538461538462</v>
      </c>
      <c r="F31" s="79">
        <f t="shared" si="17"/>
        <v>3266.2721893491121</v>
      </c>
      <c r="G31" s="79">
        <f t="shared" si="17"/>
        <v>4358.6709148839327</v>
      </c>
      <c r="H31" s="79">
        <f t="shared" si="17"/>
        <v>5198.9776268337946</v>
      </c>
      <c r="I31" s="79">
        <f t="shared" si="17"/>
        <v>5845.3674052567649</v>
      </c>
      <c r="J31" s="79">
        <f t="shared" si="17"/>
        <v>6342.5903117359721</v>
      </c>
      <c r="K31" s="79">
        <f t="shared" si="17"/>
        <v>6725.0694705661335</v>
      </c>
      <c r="L31" s="79">
        <f t="shared" si="17"/>
        <v>7019.284208127795</v>
      </c>
      <c r="M31" s="79">
        <f t="shared" si="17"/>
        <v>7245.6032370213807</v>
      </c>
      <c r="N31" s="79">
        <f t="shared" si="17"/>
        <v>7419.6947977087539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6153.8461538461534</v>
      </c>
      <c r="F32" s="80">
        <f t="shared" si="18"/>
        <v>4733.7278106508875</v>
      </c>
      <c r="G32" s="80">
        <f t="shared" si="18"/>
        <v>3641.3290851160668</v>
      </c>
      <c r="H32" s="80">
        <f t="shared" si="18"/>
        <v>2801.0223731662054</v>
      </c>
      <c r="I32" s="80">
        <f t="shared" si="18"/>
        <v>2154.6325947432356</v>
      </c>
      <c r="J32" s="80">
        <f t="shared" si="18"/>
        <v>1657.4096882640274</v>
      </c>
      <c r="K32" s="80">
        <f t="shared" si="18"/>
        <v>1274.9305294338669</v>
      </c>
      <c r="L32" s="80">
        <f t="shared" si="18"/>
        <v>980.71579187220516</v>
      </c>
      <c r="M32" s="80">
        <f t="shared" si="18"/>
        <v>754.39676297861968</v>
      </c>
      <c r="N32" s="80">
        <f t="shared" si="18"/>
        <v>580.30520229124602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707.69230769230762</v>
      </c>
      <c r="F33" s="79">
        <f t="shared" si="19"/>
        <v>544.37869822485209</v>
      </c>
      <c r="G33" s="79">
        <f t="shared" si="19"/>
        <v>418.75284478834772</v>
      </c>
      <c r="H33" s="79">
        <f t="shared" si="19"/>
        <v>322.11757291411357</v>
      </c>
      <c r="I33" s="79">
        <f t="shared" si="19"/>
        <v>247.78274839547208</v>
      </c>
      <c r="J33" s="79">
        <f t="shared" si="19"/>
        <v>190.60211415036315</v>
      </c>
      <c r="K33" s="79">
        <f t="shared" si="19"/>
        <v>146.61701088489471</v>
      </c>
      <c r="L33" s="79">
        <f t="shared" si="19"/>
        <v>112.7823160653036</v>
      </c>
      <c r="M33" s="79">
        <f t="shared" si="19"/>
        <v>86.755627742541265</v>
      </c>
      <c r="N33" s="79">
        <f t="shared" si="19"/>
        <v>66.735098263493299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230.76923076923072</v>
      </c>
      <c r="F34" s="79">
        <f t="shared" si="20"/>
        <v>177.51479289940826</v>
      </c>
      <c r="G34" s="79">
        <f t="shared" si="20"/>
        <v>136.54984069185249</v>
      </c>
      <c r="H34" s="79">
        <f t="shared" si="20"/>
        <v>105.03833899373269</v>
      </c>
      <c r="I34" s="79">
        <f t="shared" si="20"/>
        <v>80.798722302871326</v>
      </c>
      <c r="J34" s="79">
        <f t="shared" si="20"/>
        <v>62.152863309901022</v>
      </c>
      <c r="K34" s="79">
        <f t="shared" si="20"/>
        <v>47.809894853770004</v>
      </c>
      <c r="L34" s="79">
        <f t="shared" si="20"/>
        <v>36.776842195207692</v>
      </c>
      <c r="M34" s="79">
        <f t="shared" si="20"/>
        <v>28.289878611698239</v>
      </c>
      <c r="N34" s="79">
        <f t="shared" si="20"/>
        <v>21.761445085921725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N35" si="21">$H$27 * E14</f>
        <v>461.53846153846155</v>
      </c>
      <c r="F35" s="79">
        <f t="shared" si="21"/>
        <v>355.02958579881658</v>
      </c>
      <c r="G35" s="79">
        <f t="shared" si="21"/>
        <v>273.09968138370505</v>
      </c>
      <c r="H35" s="79">
        <f t="shared" si="21"/>
        <v>210.07667798746542</v>
      </c>
      <c r="I35" s="79">
        <f t="shared" si="21"/>
        <v>161.59744460574265</v>
      </c>
      <c r="J35" s="79">
        <f t="shared" si="21"/>
        <v>124.30572661980207</v>
      </c>
      <c r="K35" s="79">
        <f t="shared" si="21"/>
        <v>95.619789707540022</v>
      </c>
      <c r="L35" s="79">
        <f t="shared" si="21"/>
        <v>73.553684390415384</v>
      </c>
      <c r="M35" s="79">
        <f t="shared" si="21"/>
        <v>56.579757223396477</v>
      </c>
      <c r="N35" s="79">
        <f t="shared" si="21"/>
        <v>43.522890171843457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ref="E36:N36" si="22">$H$27 * E15</f>
        <v>1400</v>
      </c>
      <c r="F36" s="92">
        <f t="shared" si="22"/>
        <v>1076.9230769230771</v>
      </c>
      <c r="G36" s="92">
        <f t="shared" si="22"/>
        <v>828.40236686390529</v>
      </c>
      <c r="H36" s="92">
        <f t="shared" si="22"/>
        <v>637.23258989531178</v>
      </c>
      <c r="I36" s="92">
        <f t="shared" si="22"/>
        <v>490.1789153040861</v>
      </c>
      <c r="J36" s="92">
        <f t="shared" si="22"/>
        <v>377.06070408006633</v>
      </c>
      <c r="K36" s="92">
        <f t="shared" si="22"/>
        <v>290.04669544620475</v>
      </c>
      <c r="L36" s="92">
        <f t="shared" si="22"/>
        <v>223.11284265092667</v>
      </c>
      <c r="M36" s="92">
        <f t="shared" si="22"/>
        <v>171.62526357763596</v>
      </c>
      <c r="N36" s="92">
        <f t="shared" si="22"/>
        <v>132.01943352125849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ref="E37:N37" si="23">$H$27 * E16</f>
        <v>2769.2307692307691</v>
      </c>
      <c r="F37" s="79">
        <f t="shared" si="23"/>
        <v>2130.1775147928988</v>
      </c>
      <c r="G37" s="79">
        <f t="shared" si="23"/>
        <v>1638.5980883022312</v>
      </c>
      <c r="H37" s="79">
        <f t="shared" si="23"/>
        <v>1260.4600679247926</v>
      </c>
      <c r="I37" s="79">
        <f t="shared" si="23"/>
        <v>969.5846676344546</v>
      </c>
      <c r="J37" s="79">
        <f t="shared" si="23"/>
        <v>745.83435971881192</v>
      </c>
      <c r="K37" s="79">
        <f t="shared" si="23"/>
        <v>573.71873824524084</v>
      </c>
      <c r="L37" s="79">
        <f t="shared" si="23"/>
        <v>441.32210634249259</v>
      </c>
      <c r="M37" s="79">
        <f t="shared" si="23"/>
        <v>339.47854334037817</v>
      </c>
      <c r="N37" s="79">
        <f t="shared" si="23"/>
        <v>261.13734103106043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ref="E38:N38" si="24">$H$27 * E17</f>
        <v>181.53846153846155</v>
      </c>
      <c r="F38" s="79">
        <f t="shared" si="24"/>
        <v>167.3372781065089</v>
      </c>
      <c r="G38" s="79">
        <f t="shared" si="24"/>
        <v>156.41329085116067</v>
      </c>
      <c r="H38" s="79">
        <f t="shared" si="24"/>
        <v>148.01022373166205</v>
      </c>
      <c r="I38" s="79">
        <f t="shared" si="24"/>
        <v>141.54632594743236</v>
      </c>
      <c r="J38" s="79">
        <f t="shared" si="24"/>
        <v>136.57409688264028</v>
      </c>
      <c r="K38" s="79">
        <f t="shared" si="24"/>
        <v>132.74930529433868</v>
      </c>
      <c r="L38" s="79">
        <f t="shared" si="24"/>
        <v>129.80715791872206</v>
      </c>
      <c r="M38" s="79">
        <f t="shared" si="24"/>
        <v>127.54396762978621</v>
      </c>
      <c r="N38" s="79">
        <f t="shared" si="24"/>
        <v>125.80305202291245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ref="E39:N39" si="25">$H$27 * E18</f>
        <v>90.769230769230774</v>
      </c>
      <c r="F39" s="79">
        <f t="shared" si="25"/>
        <v>83.668639053254452</v>
      </c>
      <c r="G39" s="79">
        <f t="shared" si="25"/>
        <v>78.206645425580334</v>
      </c>
      <c r="H39" s="79">
        <f t="shared" si="25"/>
        <v>74.005111865831026</v>
      </c>
      <c r="I39" s="79">
        <f t="shared" si="25"/>
        <v>70.773162973716182</v>
      </c>
      <c r="J39" s="79">
        <f t="shared" si="25"/>
        <v>68.287048441320138</v>
      </c>
      <c r="K39" s="79">
        <f t="shared" si="25"/>
        <v>66.374652647169341</v>
      </c>
      <c r="L39" s="79">
        <f t="shared" si="25"/>
        <v>64.903578959361028</v>
      </c>
      <c r="M39" s="79">
        <f t="shared" si="25"/>
        <v>63.771983814893105</v>
      </c>
      <c r="N39" s="79">
        <f t="shared" si="25"/>
        <v>62.901526011456227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ref="E40:N40" si="26">$H$27 * E19</f>
        <v>3041.5384615384614</v>
      </c>
      <c r="F40" s="89">
        <f t="shared" si="26"/>
        <v>2381.183431952662</v>
      </c>
      <c r="G40" s="89">
        <f t="shared" si="26"/>
        <v>1873.2180245789723</v>
      </c>
      <c r="H40" s="89">
        <f t="shared" si="26"/>
        <v>1482.4754035222859</v>
      </c>
      <c r="I40" s="89">
        <f t="shared" si="26"/>
        <v>1181.9041565556033</v>
      </c>
      <c r="J40" s="89">
        <f t="shared" si="26"/>
        <v>950.69550504277242</v>
      </c>
      <c r="K40" s="89">
        <f t="shared" si="26"/>
        <v>772.84269618674898</v>
      </c>
      <c r="L40" s="89">
        <f t="shared" si="26"/>
        <v>636.03284322057573</v>
      </c>
      <c r="M40" s="89">
        <f t="shared" si="26"/>
        <v>530.79449478505751</v>
      </c>
      <c r="N40" s="89">
        <f t="shared" si="26"/>
        <v>449.84191906542907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ref="E41:N41" si="27">$H$27 * E20</f>
        <v>1641.5384615384614</v>
      </c>
      <c r="F41" s="81">
        <f t="shared" si="27"/>
        <v>1304.2603550295851</v>
      </c>
      <c r="G41" s="81">
        <f t="shared" si="27"/>
        <v>1044.8156577150669</v>
      </c>
      <c r="H41" s="81">
        <f t="shared" si="27"/>
        <v>845.24281362697411</v>
      </c>
      <c r="I41" s="81">
        <f t="shared" si="27"/>
        <v>691.7252412515171</v>
      </c>
      <c r="J41" s="81">
        <f t="shared" si="27"/>
        <v>573.63480096270609</v>
      </c>
      <c r="K41" s="81">
        <f t="shared" si="27"/>
        <v>482.79600074054417</v>
      </c>
      <c r="L41" s="81">
        <f t="shared" si="27"/>
        <v>412.92000056964906</v>
      </c>
      <c r="M41" s="81">
        <f t="shared" si="27"/>
        <v>359.16923120742149</v>
      </c>
      <c r="N41" s="81">
        <f t="shared" si="27"/>
        <v>317.8224855441706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6:B20"/>
    <mergeCell ref="B21:B24"/>
    <mergeCell ref="C26:C27"/>
    <mergeCell ref="E26:F26"/>
    <mergeCell ref="B37:B41"/>
    <mergeCell ref="K26:K27"/>
    <mergeCell ref="L26:L27"/>
    <mergeCell ref="B12:B15"/>
    <mergeCell ref="B33:B36"/>
    <mergeCell ref="H26:I26"/>
    <mergeCell ref="E27:F27"/>
    <mergeCell ref="H27:I27"/>
    <mergeCell ref="B31:B32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74C4-279A-4931-A983-104212871769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5.75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SHARED_VARIABLES!J12</f>
        <v>1</v>
      </c>
    </row>
    <row r="7" spans="1:14" ht="5.75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5.7692307692307682E-2</v>
      </c>
      <c r="F13" s="67">
        <f t="shared" si="4"/>
        <v>4.4378698224852069E-2</v>
      </c>
      <c r="G13" s="67">
        <f t="shared" si="4"/>
        <v>3.4137460172963124E-2</v>
      </c>
      <c r="H13" s="67">
        <f t="shared" si="4"/>
        <v>2.6259584748433172E-2</v>
      </c>
      <c r="I13" s="67">
        <f t="shared" si="4"/>
        <v>2.0199680575717832E-2</v>
      </c>
      <c r="J13" s="67">
        <f t="shared" si="4"/>
        <v>1.5538215827475256E-2</v>
      </c>
      <c r="K13" s="67">
        <f t="shared" si="4"/>
        <v>1.1952473713442501E-2</v>
      </c>
      <c r="L13" s="67">
        <f t="shared" si="4"/>
        <v>9.1942105488019236E-3</v>
      </c>
      <c r="M13" s="67">
        <f t="shared" si="4"/>
        <v>7.0724696529245595E-3</v>
      </c>
      <c r="N13" s="67">
        <f t="shared" si="4"/>
        <v>5.4403612714804313E-3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7.6923076923076927E-2</v>
      </c>
      <c r="F14" s="67">
        <f t="shared" si="5"/>
        <v>5.9171597633136098E-2</v>
      </c>
      <c r="G14" s="67">
        <f t="shared" si="5"/>
        <v>4.5516613563950842E-2</v>
      </c>
      <c r="H14" s="67">
        <f t="shared" si="5"/>
        <v>3.5012779664577567E-2</v>
      </c>
      <c r="I14" s="67">
        <f t="shared" si="5"/>
        <v>2.6932907434290443E-2</v>
      </c>
      <c r="J14" s="67">
        <f t="shared" si="5"/>
        <v>2.0717621103300346E-2</v>
      </c>
      <c r="K14" s="67">
        <f t="shared" si="5"/>
        <v>1.5936631617923337E-2</v>
      </c>
      <c r="L14" s="67">
        <f t="shared" si="5"/>
        <v>1.2258947398402565E-2</v>
      </c>
      <c r="M14" s="67">
        <f t="shared" si="5"/>
        <v>9.429959537232746E-3</v>
      </c>
      <c r="N14" s="67">
        <f t="shared" si="5"/>
        <v>7.2538150286405763E-3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0.22307692307692306</v>
      </c>
      <c r="F15" s="91">
        <f t="shared" ref="F15:N15" si="6">SUM(F12:F14)</f>
        <v>0.17159763313609466</v>
      </c>
      <c r="G15" s="91">
        <f t="shared" si="6"/>
        <v>0.13199817933545743</v>
      </c>
      <c r="H15" s="91">
        <f t="shared" si="6"/>
        <v>0.10153706102727493</v>
      </c>
      <c r="I15" s="91">
        <f t="shared" si="6"/>
        <v>7.8105431559442287E-2</v>
      </c>
      <c r="J15" s="91">
        <f t="shared" si="6"/>
        <v>6.0081101199570996E-2</v>
      </c>
      <c r="K15" s="91">
        <f t="shared" si="6"/>
        <v>4.621623169197768E-2</v>
      </c>
      <c r="L15" s="91">
        <f t="shared" si="6"/>
        <v>3.5550947455367438E-2</v>
      </c>
      <c r="M15" s="91">
        <f t="shared" si="6"/>
        <v>2.7346882657974962E-2</v>
      </c>
      <c r="N15" s="91">
        <f t="shared" si="6"/>
        <v>2.1036063583057672E-2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0.46153846153846156</v>
      </c>
      <c r="F16" s="70">
        <f>(F10 - E10) * (1 + $N$6)</f>
        <v>0.35502958579881649</v>
      </c>
      <c r="G16" s="70">
        <f t="shared" ref="G16:N16" si="7">(G10 - F10) * (1 + $N$6)</f>
        <v>0.27309968138370522</v>
      </c>
      <c r="H16" s="70">
        <f t="shared" si="7"/>
        <v>0.21007667798746543</v>
      </c>
      <c r="I16" s="70">
        <f t="shared" si="7"/>
        <v>0.16159744460574244</v>
      </c>
      <c r="J16" s="70">
        <f t="shared" si="7"/>
        <v>0.12430572661980199</v>
      </c>
      <c r="K16" s="70">
        <f t="shared" si="7"/>
        <v>9.5619789707540148E-2</v>
      </c>
      <c r="L16" s="70">
        <f t="shared" si="7"/>
        <v>7.355368439041543E-2</v>
      </c>
      <c r="M16" s="70">
        <f t="shared" si="7"/>
        <v>5.6579757223396365E-2</v>
      </c>
      <c r="N16" s="70">
        <f t="shared" si="7"/>
        <v>4.3522890171843409E-2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2.7692307692307693E-2</v>
      </c>
      <c r="F17" s="67">
        <f t="shared" si="8"/>
        <v>2.5917159763313609E-2</v>
      </c>
      <c r="G17" s="67">
        <f t="shared" si="8"/>
        <v>2.4551661356395083E-2</v>
      </c>
      <c r="H17" s="67">
        <f t="shared" si="8"/>
        <v>2.3501277966457755E-2</v>
      </c>
      <c r="I17" s="67">
        <f t="shared" si="8"/>
        <v>2.2693290743429045E-2</v>
      </c>
      <c r="J17" s="67">
        <f t="shared" si="8"/>
        <v>2.2071762110330035E-2</v>
      </c>
      <c r="K17" s="67">
        <f t="shared" si="8"/>
        <v>2.1593663161792336E-2</v>
      </c>
      <c r="L17" s="67">
        <f t="shared" si="8"/>
        <v>2.1225894739840257E-2</v>
      </c>
      <c r="M17" s="67">
        <f t="shared" si="8"/>
        <v>2.0942995953723276E-2</v>
      </c>
      <c r="N17" s="67">
        <f t="shared" si="8"/>
        <v>2.0725381502864057E-2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1.3846153846153847E-2</v>
      </c>
      <c r="F18" s="67">
        <f t="shared" si="9"/>
        <v>1.2958579881656804E-2</v>
      </c>
      <c r="G18" s="67">
        <f t="shared" si="9"/>
        <v>1.2275830678197541E-2</v>
      </c>
      <c r="H18" s="67">
        <f t="shared" si="9"/>
        <v>1.1750638983228878E-2</v>
      </c>
      <c r="I18" s="67">
        <f t="shared" si="9"/>
        <v>1.1346645371714523E-2</v>
      </c>
      <c r="J18" s="67">
        <f t="shared" si="9"/>
        <v>1.1035881055165018E-2</v>
      </c>
      <c r="K18" s="67">
        <f t="shared" si="9"/>
        <v>1.0796831580896168E-2</v>
      </c>
      <c r="L18" s="67">
        <f t="shared" si="9"/>
        <v>1.0612947369920129E-2</v>
      </c>
      <c r="M18" s="67">
        <f t="shared" si="9"/>
        <v>1.0471497976861638E-2</v>
      </c>
      <c r="N18" s="67">
        <f t="shared" si="9"/>
        <v>1.0362690751432029E-2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0.50307692307692309</v>
      </c>
      <c r="F19" s="88">
        <f t="shared" ref="F19:N19" si="10">SUM(F16:F18)</f>
        <v>0.39390532544378692</v>
      </c>
      <c r="G19" s="88">
        <f t="shared" si="10"/>
        <v>0.30992717341829784</v>
      </c>
      <c r="H19" s="88">
        <f t="shared" si="10"/>
        <v>0.24532859493715206</v>
      </c>
      <c r="I19" s="88">
        <f t="shared" si="10"/>
        <v>0.19563738072088599</v>
      </c>
      <c r="J19" s="88">
        <f t="shared" si="10"/>
        <v>0.15741336978529705</v>
      </c>
      <c r="K19" s="88">
        <f t="shared" si="10"/>
        <v>0.12801028445022866</v>
      </c>
      <c r="L19" s="88">
        <f t="shared" si="10"/>
        <v>0.10539252650017582</v>
      </c>
      <c r="M19" s="88">
        <f t="shared" si="10"/>
        <v>8.7994251153981282E-2</v>
      </c>
      <c r="N19" s="88">
        <f t="shared" si="10"/>
        <v>7.4610962426139488E-2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0.28000000000000003</v>
      </c>
      <c r="F20" s="87">
        <f t="shared" ref="F20:N20" si="11">F19 - F15</f>
        <v>0.22230769230769226</v>
      </c>
      <c r="G20" s="87">
        <f t="shared" si="11"/>
        <v>0.17792899408284041</v>
      </c>
      <c r="H20" s="87">
        <f t="shared" si="11"/>
        <v>0.14379153390987715</v>
      </c>
      <c r="I20" s="87">
        <f t="shared" si="11"/>
        <v>0.1175319491614437</v>
      </c>
      <c r="J20" s="87">
        <f t="shared" si="11"/>
        <v>9.7332268585726051E-2</v>
      </c>
      <c r="K20" s="87">
        <f t="shared" si="11"/>
        <v>8.1794052758250982E-2</v>
      </c>
      <c r="L20" s="87">
        <f t="shared" si="11"/>
        <v>6.984157904480838E-2</v>
      </c>
      <c r="M20" s="87">
        <f t="shared" si="11"/>
        <v>6.0647368496006319E-2</v>
      </c>
      <c r="N20" s="87">
        <f t="shared" si="11"/>
        <v>5.3574898843081815E-2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1">
        <f t="shared" ref="E21:N21" si="12">E14 * ($C21 / (2 + $N$6))</f>
        <v>512.82051282051282</v>
      </c>
      <c r="F21" s="71">
        <f t="shared" si="12"/>
        <v>394.4773175542407</v>
      </c>
      <c r="G21" s="71">
        <f t="shared" si="12"/>
        <v>303.44409042633896</v>
      </c>
      <c r="H21" s="71">
        <f t="shared" si="12"/>
        <v>233.4185310971838</v>
      </c>
      <c r="I21" s="71">
        <f t="shared" si="12"/>
        <v>179.55271622860295</v>
      </c>
      <c r="J21" s="71">
        <f t="shared" si="12"/>
        <v>138.11747402200231</v>
      </c>
      <c r="K21" s="71">
        <f t="shared" si="12"/>
        <v>106.24421078615559</v>
      </c>
      <c r="L21" s="71">
        <f t="shared" si="12"/>
        <v>81.726315989350439</v>
      </c>
      <c r="M21" s="71">
        <f t="shared" si="12"/>
        <v>62.866396914884973</v>
      </c>
      <c r="N21" s="71">
        <f t="shared" si="12"/>
        <v>48.358766857603847</v>
      </c>
    </row>
    <row r="22" spans="1:14" ht="37.5" customHeight="1" x14ac:dyDescent="0.45">
      <c r="A22" s="62"/>
      <c r="B22" s="135"/>
      <c r="C22" s="59">
        <v>400000</v>
      </c>
      <c r="D22" s="57"/>
      <c r="E22" s="72">
        <f t="shared" ref="E22:N22" si="13">E14 * ($C22 / (2 + $N$6))</f>
        <v>10256.410256410258</v>
      </c>
      <c r="F22" s="72">
        <f t="shared" si="13"/>
        <v>7889.546351084814</v>
      </c>
      <c r="G22" s="72">
        <f t="shared" si="13"/>
        <v>6068.8818085267794</v>
      </c>
      <c r="H22" s="72">
        <f t="shared" si="13"/>
        <v>4668.3706219436763</v>
      </c>
      <c r="I22" s="72">
        <f t="shared" si="13"/>
        <v>3591.0543245720592</v>
      </c>
      <c r="J22" s="72">
        <f t="shared" si="13"/>
        <v>2762.3494804400461</v>
      </c>
      <c r="K22" s="72">
        <f t="shared" si="13"/>
        <v>2124.884215723112</v>
      </c>
      <c r="L22" s="72">
        <f t="shared" si="13"/>
        <v>1634.5263197870088</v>
      </c>
      <c r="M22" s="72">
        <f t="shared" si="13"/>
        <v>1257.3279382976996</v>
      </c>
      <c r="N22" s="72">
        <f t="shared" si="13"/>
        <v>967.17533715207696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25641.025641025641</v>
      </c>
      <c r="F23" s="72">
        <f t="shared" ref="F23:N23" si="14">F14 * ($C23 / (2 + $N$6))</f>
        <v>19723.865877712033</v>
      </c>
      <c r="G23" s="72">
        <f t="shared" si="14"/>
        <v>15172.204521316946</v>
      </c>
      <c r="H23" s="72">
        <f t="shared" si="14"/>
        <v>11670.926554859188</v>
      </c>
      <c r="I23" s="72">
        <f t="shared" si="14"/>
        <v>8977.6358114301474</v>
      </c>
      <c r="J23" s="72">
        <f t="shared" si="14"/>
        <v>6905.8737011001149</v>
      </c>
      <c r="K23" s="72">
        <f t="shared" si="14"/>
        <v>5312.2105393077791</v>
      </c>
      <c r="L23" s="72">
        <f t="shared" si="14"/>
        <v>4086.3157994675216</v>
      </c>
      <c r="M23" s="72">
        <f t="shared" si="14"/>
        <v>3143.3198457442486</v>
      </c>
      <c r="N23" s="72">
        <f t="shared" si="14"/>
        <v>2417.9383428801921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 t="shared" ref="E24:N24" si="15">E14 * ($C24 / (2 + $N$6))</f>
        <v>53846.153846153851</v>
      </c>
      <c r="F24" s="73">
        <f t="shared" si="15"/>
        <v>41420.118343195267</v>
      </c>
      <c r="G24" s="73">
        <f t="shared" si="15"/>
        <v>31861.629494765588</v>
      </c>
      <c r="H24" s="73">
        <f t="shared" si="15"/>
        <v>24508.945765204298</v>
      </c>
      <c r="I24" s="73">
        <f t="shared" si="15"/>
        <v>18853.03520400331</v>
      </c>
      <c r="J24" s="73">
        <f t="shared" si="15"/>
        <v>14502.334772310242</v>
      </c>
      <c r="K24" s="73">
        <f t="shared" si="15"/>
        <v>11155.642132546336</v>
      </c>
      <c r="L24" s="73">
        <f t="shared" si="15"/>
        <v>8581.2631788817962</v>
      </c>
      <c r="M24" s="73">
        <f t="shared" si="15"/>
        <v>6600.9716760629226</v>
      </c>
      <c r="N24" s="73">
        <f t="shared" si="15"/>
        <v>5077.670520048403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19999.998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6666.6660000000002</v>
      </c>
      <c r="I27" s="134"/>
      <c r="J27" s="54"/>
      <c r="K27" s="130"/>
      <c r="L27" s="132"/>
      <c r="N27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1538.4613846153848</v>
      </c>
      <c r="F31" s="79">
        <f t="shared" si="17"/>
        <v>2721.8932189349111</v>
      </c>
      <c r="G31" s="79">
        <f t="shared" si="17"/>
        <v>3632.2253991807015</v>
      </c>
      <c r="H31" s="79">
        <f t="shared" si="17"/>
        <v>4332.4809224466935</v>
      </c>
      <c r="I31" s="79">
        <f t="shared" si="17"/>
        <v>4871.139017266687</v>
      </c>
      <c r="J31" s="79">
        <f t="shared" si="17"/>
        <v>5285.491397897451</v>
      </c>
      <c r="K31" s="79">
        <f t="shared" si="17"/>
        <v>5604.2239983826548</v>
      </c>
      <c r="L31" s="79">
        <f t="shared" si="17"/>
        <v>5849.4029218328114</v>
      </c>
      <c r="M31" s="79">
        <f t="shared" si="17"/>
        <v>6038.0020937175477</v>
      </c>
      <c r="N31" s="79">
        <f t="shared" si="17"/>
        <v>6183.0783797827289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5128.204615384615</v>
      </c>
      <c r="F32" s="80">
        <f t="shared" si="18"/>
        <v>3944.772781065089</v>
      </c>
      <c r="G32" s="80">
        <f t="shared" si="18"/>
        <v>3034.4406008192987</v>
      </c>
      <c r="H32" s="80">
        <f t="shared" si="18"/>
        <v>2334.1850775533067</v>
      </c>
      <c r="I32" s="80">
        <f t="shared" si="18"/>
        <v>1795.5269827333134</v>
      </c>
      <c r="J32" s="80">
        <f t="shared" si="18"/>
        <v>1381.174602102549</v>
      </c>
      <c r="K32" s="80">
        <f t="shared" si="18"/>
        <v>1062.4420016173449</v>
      </c>
      <c r="L32" s="80">
        <f t="shared" si="18"/>
        <v>817.26307816718827</v>
      </c>
      <c r="M32" s="80">
        <f t="shared" si="18"/>
        <v>628.66390628245279</v>
      </c>
      <c r="N32" s="80">
        <f t="shared" si="18"/>
        <v>483.58762021727154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589.74353076923069</v>
      </c>
      <c r="F33" s="79">
        <f t="shared" si="19"/>
        <v>453.64886982248521</v>
      </c>
      <c r="G33" s="79">
        <f t="shared" si="19"/>
        <v>348.96066909421938</v>
      </c>
      <c r="H33" s="79">
        <f t="shared" si="19"/>
        <v>268.43128391863024</v>
      </c>
      <c r="I33" s="79">
        <f t="shared" si="19"/>
        <v>206.48560301433105</v>
      </c>
      <c r="J33" s="79">
        <f t="shared" si="19"/>
        <v>158.83507924179312</v>
      </c>
      <c r="K33" s="79">
        <f t="shared" si="19"/>
        <v>122.18083018599468</v>
      </c>
      <c r="L33" s="79">
        <f t="shared" si="19"/>
        <v>93.985253989226663</v>
      </c>
      <c r="M33" s="79">
        <f t="shared" si="19"/>
        <v>72.296349222482078</v>
      </c>
      <c r="N33" s="79">
        <f t="shared" si="19"/>
        <v>55.612576324986229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384.61534615384608</v>
      </c>
      <c r="F34" s="79">
        <f t="shared" si="20"/>
        <v>295.85795857988165</v>
      </c>
      <c r="G34" s="79">
        <f t="shared" si="20"/>
        <v>227.58304506144739</v>
      </c>
      <c r="H34" s="79">
        <f t="shared" si="20"/>
        <v>175.063880816498</v>
      </c>
      <c r="I34" s="79">
        <f t="shared" si="20"/>
        <v>134.66452370499849</v>
      </c>
      <c r="J34" s="79">
        <f t="shared" si="20"/>
        <v>103.58809515769116</v>
      </c>
      <c r="K34" s="79">
        <f t="shared" si="20"/>
        <v>79.683150121300869</v>
      </c>
      <c r="L34" s="79">
        <f t="shared" si="20"/>
        <v>61.294730862539126</v>
      </c>
      <c r="M34" s="79">
        <f t="shared" si="20"/>
        <v>47.149792971183963</v>
      </c>
      <c r="N34" s="79">
        <f t="shared" si="20"/>
        <v>36.269071516295362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N35" si="21">$H$27 * E14</f>
        <v>512.82046153846159</v>
      </c>
      <c r="F35" s="79">
        <f t="shared" si="21"/>
        <v>394.47727810650889</v>
      </c>
      <c r="G35" s="79">
        <f t="shared" si="21"/>
        <v>303.44406008192993</v>
      </c>
      <c r="H35" s="79">
        <f t="shared" si="21"/>
        <v>233.41850775533067</v>
      </c>
      <c r="I35" s="79">
        <f t="shared" si="21"/>
        <v>179.55269827333134</v>
      </c>
      <c r="J35" s="79">
        <f t="shared" si="21"/>
        <v>138.1174602102549</v>
      </c>
      <c r="K35" s="79">
        <f t="shared" si="21"/>
        <v>106.24420016173451</v>
      </c>
      <c r="L35" s="79">
        <f t="shared" si="21"/>
        <v>81.726307816718844</v>
      </c>
      <c r="M35" s="79">
        <f t="shared" si="21"/>
        <v>62.866390628245284</v>
      </c>
      <c r="N35" s="79">
        <f t="shared" si="21"/>
        <v>48.358762021727159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ref="E36:E41" si="22">$H$27 * E15</f>
        <v>1487.1793384615385</v>
      </c>
      <c r="F36" s="92">
        <f t="shared" ref="F36:N36" si="23">$H$27 * F15</f>
        <v>1143.9841065088756</v>
      </c>
      <c r="G36" s="92">
        <f t="shared" si="23"/>
        <v>879.98777423759668</v>
      </c>
      <c r="H36" s="92">
        <f t="shared" si="23"/>
        <v>676.91367249045891</v>
      </c>
      <c r="I36" s="92">
        <f t="shared" si="23"/>
        <v>520.70282499266091</v>
      </c>
      <c r="J36" s="92">
        <f t="shared" si="23"/>
        <v>400.54063460973919</v>
      </c>
      <c r="K36" s="92">
        <f t="shared" si="23"/>
        <v>308.10818046903006</v>
      </c>
      <c r="L36" s="92">
        <f t="shared" si="23"/>
        <v>237.00629266848463</v>
      </c>
      <c r="M36" s="92">
        <f t="shared" si="23"/>
        <v>182.3125328219113</v>
      </c>
      <c r="N36" s="92">
        <f t="shared" si="23"/>
        <v>140.24040986300875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2"/>
        <v>3076.9227692307695</v>
      </c>
      <c r="F37" s="79">
        <f t="shared" ref="F37:N37" si="24">$H$27 * F16</f>
        <v>2366.8636686390528</v>
      </c>
      <c r="G37" s="79">
        <f t="shared" si="24"/>
        <v>1820.6643604915805</v>
      </c>
      <c r="H37" s="79">
        <f t="shared" si="24"/>
        <v>1400.5110465319842</v>
      </c>
      <c r="I37" s="79">
        <f t="shared" si="24"/>
        <v>1077.3161896399865</v>
      </c>
      <c r="J37" s="79">
        <f t="shared" si="24"/>
        <v>828.70476126152892</v>
      </c>
      <c r="K37" s="79">
        <f t="shared" si="24"/>
        <v>637.46520097040786</v>
      </c>
      <c r="L37" s="79">
        <f t="shared" si="24"/>
        <v>490.35784690031329</v>
      </c>
      <c r="M37" s="79">
        <f t="shared" si="24"/>
        <v>377.19834376947097</v>
      </c>
      <c r="N37" s="79">
        <f t="shared" si="24"/>
        <v>290.15257213036261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2"/>
        <v>184.61536615384617</v>
      </c>
      <c r="F38" s="79">
        <f t="shared" ref="F38:N38" si="25">$H$27 * F17</f>
        <v>172.78104781065088</v>
      </c>
      <c r="G38" s="79">
        <f t="shared" si="25"/>
        <v>163.67772600819299</v>
      </c>
      <c r="H38" s="79">
        <f t="shared" si="25"/>
        <v>156.67517077553305</v>
      </c>
      <c r="I38" s="79">
        <f t="shared" si="25"/>
        <v>151.28858982733314</v>
      </c>
      <c r="J38" s="79">
        <f t="shared" si="25"/>
        <v>147.14506602102549</v>
      </c>
      <c r="K38" s="79">
        <f t="shared" si="25"/>
        <v>143.95774001617346</v>
      </c>
      <c r="L38" s="79">
        <f t="shared" si="25"/>
        <v>141.50595078167188</v>
      </c>
      <c r="M38" s="79">
        <f t="shared" si="25"/>
        <v>139.61995906282453</v>
      </c>
      <c r="N38" s="79">
        <f t="shared" si="25"/>
        <v>138.16919620217271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2"/>
        <v>92.307683076923084</v>
      </c>
      <c r="F39" s="79">
        <f t="shared" ref="F39:N39" si="26">$H$27 * F18</f>
        <v>86.390523905325438</v>
      </c>
      <c r="G39" s="79">
        <f t="shared" si="26"/>
        <v>81.838863004096496</v>
      </c>
      <c r="H39" s="79">
        <f t="shared" si="26"/>
        <v>78.337585387766524</v>
      </c>
      <c r="I39" s="79">
        <f t="shared" si="26"/>
        <v>75.64429491366657</v>
      </c>
      <c r="J39" s="79">
        <f t="shared" si="26"/>
        <v>73.572533010512743</v>
      </c>
      <c r="K39" s="79">
        <f t="shared" si="26"/>
        <v>71.97887000808673</v>
      </c>
      <c r="L39" s="79">
        <f t="shared" si="26"/>
        <v>70.752975390835942</v>
      </c>
      <c r="M39" s="79">
        <f t="shared" si="26"/>
        <v>69.809979531412267</v>
      </c>
      <c r="N39" s="79">
        <f t="shared" si="26"/>
        <v>69.084598101086357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2"/>
        <v>3353.8458184615388</v>
      </c>
      <c r="F40" s="89">
        <f t="shared" ref="F40:N40" si="27">$H$27 * F19</f>
        <v>2626.0352403550291</v>
      </c>
      <c r="G40" s="89">
        <f t="shared" si="27"/>
        <v>2066.1809495038701</v>
      </c>
      <c r="H40" s="89">
        <f t="shared" si="27"/>
        <v>1635.5238026952838</v>
      </c>
      <c r="I40" s="89">
        <f t="shared" si="27"/>
        <v>1304.2490743809863</v>
      </c>
      <c r="J40" s="89">
        <f t="shared" si="27"/>
        <v>1049.4223602930672</v>
      </c>
      <c r="K40" s="89">
        <f t="shared" si="27"/>
        <v>853.40181099466815</v>
      </c>
      <c r="L40" s="89">
        <f t="shared" si="27"/>
        <v>702.61677307282116</v>
      </c>
      <c r="M40" s="89">
        <f t="shared" si="27"/>
        <v>586.62828236370774</v>
      </c>
      <c r="N40" s="89">
        <f t="shared" si="27"/>
        <v>497.40636643362166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2"/>
        <v>1866.6664800000003</v>
      </c>
      <c r="F41" s="81">
        <f t="shared" ref="F41:N41" si="28">$H$27 * F20</f>
        <v>1482.0511338461536</v>
      </c>
      <c r="G41" s="81">
        <f t="shared" si="28"/>
        <v>1186.1931752662733</v>
      </c>
      <c r="H41" s="81">
        <f t="shared" si="28"/>
        <v>958.61013020482505</v>
      </c>
      <c r="I41" s="81">
        <f t="shared" si="28"/>
        <v>783.54624938832524</v>
      </c>
      <c r="J41" s="81">
        <f t="shared" si="28"/>
        <v>648.881725683328</v>
      </c>
      <c r="K41" s="81">
        <f t="shared" si="28"/>
        <v>545.29363052563804</v>
      </c>
      <c r="L41" s="81">
        <f t="shared" si="28"/>
        <v>465.6104804043365</v>
      </c>
      <c r="M41" s="81">
        <f t="shared" si="28"/>
        <v>404.31574954179649</v>
      </c>
      <c r="N41" s="81">
        <f t="shared" si="28"/>
        <v>357.16595657061288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6:B20"/>
    <mergeCell ref="B21:B24"/>
    <mergeCell ref="C26:C27"/>
    <mergeCell ref="E26:F26"/>
    <mergeCell ref="B37:B41"/>
    <mergeCell ref="K26:K27"/>
    <mergeCell ref="L26:L27"/>
    <mergeCell ref="B12:B15"/>
    <mergeCell ref="B33:B36"/>
    <mergeCell ref="H26:I26"/>
    <mergeCell ref="E27:F27"/>
    <mergeCell ref="H27:I27"/>
    <mergeCell ref="B31:B32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5D96-5387-438B-9A92-AE9EDCF5BB6A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5.75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SHARED_VARIABLES!L12</f>
        <v>1.5</v>
      </c>
    </row>
    <row r="7" spans="1:14" ht="5.75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8.6538461538461522E-2</v>
      </c>
      <c r="F13" s="67">
        <f t="shared" si="4"/>
        <v>6.65680473372781E-2</v>
      </c>
      <c r="G13" s="67">
        <f t="shared" si="4"/>
        <v>5.1206190259444687E-2</v>
      </c>
      <c r="H13" s="67">
        <f t="shared" si="4"/>
        <v>3.9389377122649755E-2</v>
      </c>
      <c r="I13" s="67">
        <f t="shared" si="4"/>
        <v>3.0299520863576745E-2</v>
      </c>
      <c r="J13" s="67">
        <f t="shared" si="4"/>
        <v>2.3307323741212884E-2</v>
      </c>
      <c r="K13" s="67">
        <f t="shared" si="4"/>
        <v>1.792871057016375E-2</v>
      </c>
      <c r="L13" s="67">
        <f t="shared" si="4"/>
        <v>1.3791315823202883E-2</v>
      </c>
      <c r="M13" s="67">
        <f t="shared" si="4"/>
        <v>1.0608704479386838E-2</v>
      </c>
      <c r="N13" s="67">
        <f t="shared" si="4"/>
        <v>8.1605419072206462E-3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9.6153846153846159E-2</v>
      </c>
      <c r="F14" s="67">
        <f t="shared" si="5"/>
        <v>7.3964497041420135E-2</v>
      </c>
      <c r="G14" s="67">
        <f t="shared" si="5"/>
        <v>5.6895766954938552E-2</v>
      </c>
      <c r="H14" s="67">
        <f t="shared" si="5"/>
        <v>4.3765974580721963E-2</v>
      </c>
      <c r="I14" s="67">
        <f t="shared" si="5"/>
        <v>3.3666134292863054E-2</v>
      </c>
      <c r="J14" s="67">
        <f t="shared" si="5"/>
        <v>2.5897026379125433E-2</v>
      </c>
      <c r="K14" s="67">
        <f t="shared" si="5"/>
        <v>1.992078952240417E-2</v>
      </c>
      <c r="L14" s="67">
        <f t="shared" si="5"/>
        <v>1.5323684248003209E-2</v>
      </c>
      <c r="M14" s="67">
        <f t="shared" si="5"/>
        <v>1.1787449421540933E-2</v>
      </c>
      <c r="N14" s="67">
        <f t="shared" si="5"/>
        <v>9.0672687858007195E-3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0.27115384615384613</v>
      </c>
      <c r="F15" s="91">
        <f t="shared" ref="F15:N15" si="6">SUM(F12:F14)</f>
        <v>0.20857988165680474</v>
      </c>
      <c r="G15" s="91">
        <f t="shared" si="6"/>
        <v>0.1604460628129267</v>
      </c>
      <c r="H15" s="91">
        <f t="shared" si="6"/>
        <v>0.12342004831763592</v>
      </c>
      <c r="I15" s="91">
        <f t="shared" si="6"/>
        <v>9.4938498705873814E-2</v>
      </c>
      <c r="J15" s="91">
        <f t="shared" si="6"/>
        <v>7.3029614389133704E-2</v>
      </c>
      <c r="K15" s="91">
        <f t="shared" si="6"/>
        <v>5.6176626453179758E-2</v>
      </c>
      <c r="L15" s="91">
        <f t="shared" si="6"/>
        <v>4.321278957936904E-2</v>
      </c>
      <c r="M15" s="91">
        <f t="shared" si="6"/>
        <v>3.3240607368745428E-2</v>
      </c>
      <c r="N15" s="91">
        <f t="shared" si="6"/>
        <v>2.5569697975958029E-2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0.57692307692307698</v>
      </c>
      <c r="F16" s="70">
        <f>(F10 - E10) * (1 + $N$6)</f>
        <v>0.44378698224852065</v>
      </c>
      <c r="G16" s="70">
        <f t="shared" ref="G16:N16" si="7">(G10 - F10) * (1 + $N$6)</f>
        <v>0.34137460172963152</v>
      </c>
      <c r="H16" s="70">
        <f t="shared" si="7"/>
        <v>0.26259584748433179</v>
      </c>
      <c r="I16" s="70">
        <f t="shared" si="7"/>
        <v>0.20199680575717804</v>
      </c>
      <c r="J16" s="70">
        <f t="shared" si="7"/>
        <v>0.15538215827475249</v>
      </c>
      <c r="K16" s="70">
        <f t="shared" si="7"/>
        <v>0.11952473713442519</v>
      </c>
      <c r="L16" s="70">
        <f t="shared" si="7"/>
        <v>9.1942105488019288E-2</v>
      </c>
      <c r="M16" s="70">
        <f t="shared" si="7"/>
        <v>7.0724696529245457E-2</v>
      </c>
      <c r="N16" s="70">
        <f t="shared" si="7"/>
        <v>5.4403612714804261E-2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3.2692307692307694E-2</v>
      </c>
      <c r="F17" s="67">
        <f t="shared" si="8"/>
        <v>3.0917159763313613E-2</v>
      </c>
      <c r="G17" s="67">
        <f t="shared" si="8"/>
        <v>2.9551661356395087E-2</v>
      </c>
      <c r="H17" s="67">
        <f t="shared" si="8"/>
        <v>2.850127796645776E-2</v>
      </c>
      <c r="I17" s="67">
        <f t="shared" si="8"/>
        <v>2.7693290743429046E-2</v>
      </c>
      <c r="J17" s="67">
        <f t="shared" si="8"/>
        <v>2.7071762110330036E-2</v>
      </c>
      <c r="K17" s="67">
        <f t="shared" si="8"/>
        <v>2.6593663161792336E-2</v>
      </c>
      <c r="L17" s="67">
        <f t="shared" si="8"/>
        <v>2.6225894739840258E-2</v>
      </c>
      <c r="M17" s="67">
        <f t="shared" si="8"/>
        <v>2.5942995953723277E-2</v>
      </c>
      <c r="N17" s="67">
        <f t="shared" si="8"/>
        <v>2.5725381502864058E-2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1.6346153846153847E-2</v>
      </c>
      <c r="F18" s="67">
        <f t="shared" si="9"/>
        <v>1.5458579881656807E-2</v>
      </c>
      <c r="G18" s="67">
        <f t="shared" si="9"/>
        <v>1.4775830678197543E-2</v>
      </c>
      <c r="H18" s="67">
        <f t="shared" si="9"/>
        <v>1.425063898322888E-2</v>
      </c>
      <c r="I18" s="67">
        <f t="shared" si="9"/>
        <v>1.3846645371714523E-2</v>
      </c>
      <c r="J18" s="67">
        <f t="shared" si="9"/>
        <v>1.3535881055165018E-2</v>
      </c>
      <c r="K18" s="67">
        <f t="shared" si="9"/>
        <v>1.3296831580896168E-2</v>
      </c>
      <c r="L18" s="67">
        <f t="shared" si="9"/>
        <v>1.3112947369920129E-2</v>
      </c>
      <c r="M18" s="67">
        <f t="shared" si="9"/>
        <v>1.2971497976861639E-2</v>
      </c>
      <c r="N18" s="67">
        <f t="shared" si="9"/>
        <v>1.2862690751432029E-2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0.62596153846153857</v>
      </c>
      <c r="F19" s="88">
        <f t="shared" ref="F19:N19" si="10">SUM(F16:F18)</f>
        <v>0.49016272189349108</v>
      </c>
      <c r="G19" s="88">
        <f t="shared" si="10"/>
        <v>0.38570209376422415</v>
      </c>
      <c r="H19" s="88">
        <f t="shared" si="10"/>
        <v>0.3053477644340184</v>
      </c>
      <c r="I19" s="88">
        <f t="shared" si="10"/>
        <v>0.2435367418723216</v>
      </c>
      <c r="J19" s="88">
        <f t="shared" si="10"/>
        <v>0.19598980144024752</v>
      </c>
      <c r="K19" s="88">
        <f t="shared" si="10"/>
        <v>0.15941523187711371</v>
      </c>
      <c r="L19" s="88">
        <f t="shared" si="10"/>
        <v>0.13128094759777967</v>
      </c>
      <c r="M19" s="88">
        <f t="shared" si="10"/>
        <v>0.10963919045983037</v>
      </c>
      <c r="N19" s="88">
        <f t="shared" si="10"/>
        <v>9.2991684969100347E-2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0.35480769230769243</v>
      </c>
      <c r="F20" s="87">
        <f t="shared" ref="F20:N20" si="11">F19 - F15</f>
        <v>0.28158284023668634</v>
      </c>
      <c r="G20" s="87">
        <f t="shared" si="11"/>
        <v>0.22525603095129745</v>
      </c>
      <c r="H20" s="87">
        <f t="shared" si="11"/>
        <v>0.18192771611638248</v>
      </c>
      <c r="I20" s="87">
        <f t="shared" si="11"/>
        <v>0.14859824316644779</v>
      </c>
      <c r="J20" s="87">
        <f t="shared" si="11"/>
        <v>0.12296018705111382</v>
      </c>
      <c r="K20" s="87">
        <f t="shared" si="11"/>
        <v>0.10323860542393395</v>
      </c>
      <c r="L20" s="87">
        <f t="shared" si="11"/>
        <v>8.8068158018410628E-2</v>
      </c>
      <c r="M20" s="87">
        <f t="shared" si="11"/>
        <v>7.6398583091084937E-2</v>
      </c>
      <c r="N20" s="87">
        <f t="shared" si="11"/>
        <v>6.7421986993142322E-2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1">
        <f>E14 * ($C21 / (2 + $N$6))</f>
        <v>549.45054945054949</v>
      </c>
      <c r="F21" s="71">
        <f t="shared" ref="F21:N21" si="12">F14 * ($C21 / (2 + $N$6))</f>
        <v>422.65426880811509</v>
      </c>
      <c r="G21" s="71">
        <f t="shared" si="12"/>
        <v>325.11866831393462</v>
      </c>
      <c r="H21" s="71">
        <f t="shared" si="12"/>
        <v>250.09128331841123</v>
      </c>
      <c r="I21" s="71">
        <f t="shared" si="12"/>
        <v>192.37791024493174</v>
      </c>
      <c r="J21" s="71">
        <f t="shared" si="12"/>
        <v>147.98300788071677</v>
      </c>
      <c r="K21" s="71">
        <f t="shared" si="12"/>
        <v>113.8330829851667</v>
      </c>
      <c r="L21" s="71">
        <f t="shared" si="12"/>
        <v>87.563909988589771</v>
      </c>
      <c r="M21" s="71">
        <f t="shared" si="12"/>
        <v>67.356853837376761</v>
      </c>
      <c r="N21" s="71">
        <f t="shared" si="12"/>
        <v>51.812964490289829</v>
      </c>
    </row>
    <row r="22" spans="1:14" ht="37.5" customHeight="1" x14ac:dyDescent="0.45">
      <c r="A22" s="62"/>
      <c r="B22" s="135"/>
      <c r="C22" s="59">
        <v>400000</v>
      </c>
      <c r="D22" s="57"/>
      <c r="E22" s="72">
        <f>E14 * ($C22 / (2 + $N$6))</f>
        <v>10989.010989010991</v>
      </c>
      <c r="F22" s="72">
        <f t="shared" ref="F22:N22" si="13">F14 * ($C22 / (2 + $N$6))</f>
        <v>8453.0853761623021</v>
      </c>
      <c r="G22" s="72">
        <f t="shared" si="13"/>
        <v>6502.3733662786917</v>
      </c>
      <c r="H22" s="72">
        <f t="shared" si="13"/>
        <v>5001.8256663682241</v>
      </c>
      <c r="I22" s="72">
        <f t="shared" si="13"/>
        <v>3847.5582048986348</v>
      </c>
      <c r="J22" s="72">
        <f t="shared" si="13"/>
        <v>2959.6601576143353</v>
      </c>
      <c r="K22" s="72">
        <f t="shared" si="13"/>
        <v>2276.661659703334</v>
      </c>
      <c r="L22" s="72">
        <f t="shared" si="13"/>
        <v>1751.2781997717955</v>
      </c>
      <c r="M22" s="72">
        <f t="shared" si="13"/>
        <v>1347.1370767475353</v>
      </c>
      <c r="N22" s="72">
        <f t="shared" si="13"/>
        <v>1036.2592898057965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27472.527472527476</v>
      </c>
      <c r="F23" s="72">
        <f t="shared" ref="F23:N23" si="14">F14 * ($C23 / (2 + $N$6))</f>
        <v>21132.713440405754</v>
      </c>
      <c r="G23" s="72">
        <f t="shared" si="14"/>
        <v>16255.933415696731</v>
      </c>
      <c r="H23" s="72">
        <f t="shared" si="14"/>
        <v>12504.564165920561</v>
      </c>
      <c r="I23" s="72">
        <f t="shared" si="14"/>
        <v>9618.8955122465868</v>
      </c>
      <c r="J23" s="72">
        <f t="shared" si="14"/>
        <v>7399.1503940358389</v>
      </c>
      <c r="K23" s="72">
        <f t="shared" si="14"/>
        <v>5691.6541492583347</v>
      </c>
      <c r="L23" s="72">
        <f t="shared" si="14"/>
        <v>4378.1954994294883</v>
      </c>
      <c r="M23" s="72">
        <f t="shared" si="14"/>
        <v>3367.8426918688383</v>
      </c>
      <c r="N23" s="72">
        <f t="shared" si="14"/>
        <v>2590.6482245144916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>E14 * ($C24 / (2 + $N$6))</f>
        <v>57692.307692307695</v>
      </c>
      <c r="F24" s="73">
        <f t="shared" ref="F24:N24" si="15">F14 * ($C24 / (2 + $N$6))</f>
        <v>44378.69822485208</v>
      </c>
      <c r="G24" s="73">
        <f t="shared" si="15"/>
        <v>34137.460172963132</v>
      </c>
      <c r="H24" s="73">
        <f t="shared" si="15"/>
        <v>26259.584748433179</v>
      </c>
      <c r="I24" s="73">
        <f t="shared" si="15"/>
        <v>20199.680575717834</v>
      </c>
      <c r="J24" s="73">
        <f t="shared" si="15"/>
        <v>15538.21582747526</v>
      </c>
      <c r="K24" s="73">
        <f t="shared" si="15"/>
        <v>11952.473713442501</v>
      </c>
      <c r="L24" s="73">
        <f t="shared" si="15"/>
        <v>9194.2105488019261</v>
      </c>
      <c r="M24" s="73">
        <f t="shared" si="15"/>
        <v>7072.4696529245593</v>
      </c>
      <c r="N24" s="73">
        <f t="shared" si="15"/>
        <v>5440.3612714804312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19999.98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5714.28</v>
      </c>
      <c r="I27" s="134"/>
      <c r="J27" s="54"/>
      <c r="K27" s="130"/>
      <c r="L27" s="132"/>
      <c r="N27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1318.68</v>
      </c>
      <c r="F31" s="79">
        <f t="shared" si="17"/>
        <v>2333.0492307692307</v>
      </c>
      <c r="G31" s="79">
        <f t="shared" si="17"/>
        <v>3113.33325443787</v>
      </c>
      <c r="H31" s="79">
        <f t="shared" si="17"/>
        <v>3713.5517341829768</v>
      </c>
      <c r="I31" s="79">
        <f t="shared" si="17"/>
        <v>4175.2582570638278</v>
      </c>
      <c r="J31" s="79">
        <f t="shared" si="17"/>
        <v>4530.4171208183288</v>
      </c>
      <c r="K31" s="79">
        <f t="shared" si="17"/>
        <v>4803.6162467833301</v>
      </c>
      <c r="L31" s="79">
        <f t="shared" si="17"/>
        <v>5013.7694206025617</v>
      </c>
      <c r="M31" s="79">
        <f t="shared" si="17"/>
        <v>5175.4257081558162</v>
      </c>
      <c r="N31" s="79">
        <f t="shared" si="17"/>
        <v>5299.7766985813969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4395.5999999999995</v>
      </c>
      <c r="F32" s="80">
        <f t="shared" si="18"/>
        <v>3381.2307692307691</v>
      </c>
      <c r="G32" s="80">
        <f t="shared" si="18"/>
        <v>2600.9467455621298</v>
      </c>
      <c r="H32" s="80">
        <f t="shared" si="18"/>
        <v>2000.7282658170227</v>
      </c>
      <c r="I32" s="80">
        <f t="shared" si="18"/>
        <v>1539.0217429361719</v>
      </c>
      <c r="J32" s="80">
        <f t="shared" si="18"/>
        <v>1183.8628791816709</v>
      </c>
      <c r="K32" s="80">
        <f t="shared" si="18"/>
        <v>910.66375321666953</v>
      </c>
      <c r="L32" s="80">
        <f t="shared" si="18"/>
        <v>700.51057939743805</v>
      </c>
      <c r="M32" s="80">
        <f t="shared" si="18"/>
        <v>538.85429184418331</v>
      </c>
      <c r="N32" s="80">
        <f t="shared" si="18"/>
        <v>414.50330141860269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505.49399999999991</v>
      </c>
      <c r="F33" s="79">
        <f t="shared" si="19"/>
        <v>388.84153846153845</v>
      </c>
      <c r="G33" s="79">
        <f t="shared" si="19"/>
        <v>299.10887573964493</v>
      </c>
      <c r="H33" s="79">
        <f t="shared" si="19"/>
        <v>230.08375056895761</v>
      </c>
      <c r="I33" s="79">
        <f t="shared" si="19"/>
        <v>176.98750043765978</v>
      </c>
      <c r="J33" s="79">
        <f t="shared" si="19"/>
        <v>136.14423110589215</v>
      </c>
      <c r="K33" s="79">
        <f t="shared" si="19"/>
        <v>104.726331619917</v>
      </c>
      <c r="L33" s="79">
        <f t="shared" si="19"/>
        <v>80.558716630705376</v>
      </c>
      <c r="M33" s="79">
        <f t="shared" si="19"/>
        <v>61.968243562081085</v>
      </c>
      <c r="N33" s="79">
        <f t="shared" si="19"/>
        <v>47.66787966313931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494.50499999999988</v>
      </c>
      <c r="F34" s="79">
        <f t="shared" si="20"/>
        <v>380.38846153846146</v>
      </c>
      <c r="G34" s="79">
        <f t="shared" si="20"/>
        <v>292.60650887573956</v>
      </c>
      <c r="H34" s="79">
        <f t="shared" si="20"/>
        <v>225.08192990441503</v>
      </c>
      <c r="I34" s="79">
        <f t="shared" si="20"/>
        <v>173.13994608031931</v>
      </c>
      <c r="J34" s="79">
        <f t="shared" si="20"/>
        <v>133.18457390793796</v>
      </c>
      <c r="K34" s="79">
        <f t="shared" si="20"/>
        <v>102.44967223687532</v>
      </c>
      <c r="L34" s="79">
        <f t="shared" si="20"/>
        <v>78.807440182211764</v>
      </c>
      <c r="M34" s="79">
        <f t="shared" si="20"/>
        <v>60.621107832470614</v>
      </c>
      <c r="N34" s="79">
        <f t="shared" si="20"/>
        <v>46.631621409592789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N35" si="21">$H$27 * E14</f>
        <v>549.45000000000005</v>
      </c>
      <c r="F35" s="79">
        <f t="shared" si="21"/>
        <v>422.65384615384625</v>
      </c>
      <c r="G35" s="79">
        <f t="shared" si="21"/>
        <v>325.11834319526628</v>
      </c>
      <c r="H35" s="79">
        <f t="shared" si="21"/>
        <v>250.09103322712789</v>
      </c>
      <c r="I35" s="79">
        <f t="shared" si="21"/>
        <v>192.37771786702149</v>
      </c>
      <c r="J35" s="79">
        <f t="shared" si="21"/>
        <v>147.98285989770886</v>
      </c>
      <c r="K35" s="79">
        <f t="shared" si="21"/>
        <v>113.83296915208369</v>
      </c>
      <c r="L35" s="79">
        <f t="shared" si="21"/>
        <v>87.563822424679771</v>
      </c>
      <c r="M35" s="79">
        <f t="shared" si="21"/>
        <v>67.356786480522914</v>
      </c>
      <c r="N35" s="79">
        <f t="shared" si="21"/>
        <v>51.812912677325336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ref="E36:E41" si="22">$H$27 * E15</f>
        <v>1549.4489999999998</v>
      </c>
      <c r="F36" s="92">
        <f t="shared" ref="F36:N36" si="23">$H$27 * F15</f>
        <v>1191.8838461538462</v>
      </c>
      <c r="G36" s="92">
        <f t="shared" si="23"/>
        <v>916.83372781065077</v>
      </c>
      <c r="H36" s="92">
        <f t="shared" si="23"/>
        <v>705.25671370050054</v>
      </c>
      <c r="I36" s="92">
        <f t="shared" si="23"/>
        <v>542.50516438500063</v>
      </c>
      <c r="J36" s="92">
        <f t="shared" si="23"/>
        <v>417.31166491153891</v>
      </c>
      <c r="K36" s="92">
        <f t="shared" si="23"/>
        <v>321.00897300887601</v>
      </c>
      <c r="L36" s="92">
        <f t="shared" si="23"/>
        <v>246.92997923759691</v>
      </c>
      <c r="M36" s="92">
        <f t="shared" si="23"/>
        <v>189.94613787507461</v>
      </c>
      <c r="N36" s="92">
        <f t="shared" si="23"/>
        <v>146.11241375005744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2"/>
        <v>3296.7000000000003</v>
      </c>
      <c r="F37" s="79">
        <f t="shared" ref="F37:N37" si="24">$H$27 * F16</f>
        <v>2535.9230769230762</v>
      </c>
      <c r="G37" s="79">
        <f t="shared" si="24"/>
        <v>1950.7100591715987</v>
      </c>
      <c r="H37" s="79">
        <f t="shared" si="24"/>
        <v>1500.5461993627673</v>
      </c>
      <c r="I37" s="79">
        <f t="shared" si="24"/>
        <v>1154.2663072021273</v>
      </c>
      <c r="J37" s="79">
        <f t="shared" si="24"/>
        <v>887.89715938625261</v>
      </c>
      <c r="K37" s="79">
        <f t="shared" si="24"/>
        <v>682.99781491250315</v>
      </c>
      <c r="L37" s="79">
        <f t="shared" si="24"/>
        <v>525.38293454807888</v>
      </c>
      <c r="M37" s="79">
        <f t="shared" si="24"/>
        <v>404.14071888313669</v>
      </c>
      <c r="N37" s="79">
        <f t="shared" si="24"/>
        <v>310.87747606395169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2"/>
        <v>186.81299999999999</v>
      </c>
      <c r="F38" s="79">
        <f t="shared" ref="F38:N38" si="25">$H$27 * F17</f>
        <v>176.66930769230771</v>
      </c>
      <c r="G38" s="79">
        <f t="shared" si="25"/>
        <v>168.86646745562132</v>
      </c>
      <c r="H38" s="79">
        <f t="shared" si="25"/>
        <v>162.86428265817023</v>
      </c>
      <c r="I38" s="79">
        <f t="shared" si="25"/>
        <v>158.24721742936171</v>
      </c>
      <c r="J38" s="79">
        <f t="shared" si="25"/>
        <v>154.69562879181672</v>
      </c>
      <c r="K38" s="79">
        <f t="shared" si="25"/>
        <v>151.9636375321667</v>
      </c>
      <c r="L38" s="79">
        <f t="shared" si="25"/>
        <v>149.86210579397439</v>
      </c>
      <c r="M38" s="79">
        <f t="shared" si="25"/>
        <v>148.24554291844186</v>
      </c>
      <c r="N38" s="79">
        <f t="shared" si="25"/>
        <v>147.00203301418603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2"/>
        <v>93.406499999999994</v>
      </c>
      <c r="F39" s="79">
        <f t="shared" ref="F39:N39" si="26">$H$27 * F18</f>
        <v>88.334653846153856</v>
      </c>
      <c r="G39" s="79">
        <f t="shared" si="26"/>
        <v>84.433233727810659</v>
      </c>
      <c r="H39" s="79">
        <f t="shared" si="26"/>
        <v>81.432141329085113</v>
      </c>
      <c r="I39" s="79">
        <f t="shared" si="26"/>
        <v>79.123608714680856</v>
      </c>
      <c r="J39" s="79">
        <f t="shared" si="26"/>
        <v>77.347814395908358</v>
      </c>
      <c r="K39" s="79">
        <f t="shared" si="26"/>
        <v>75.98181876608335</v>
      </c>
      <c r="L39" s="79">
        <f t="shared" si="26"/>
        <v>74.931052896987197</v>
      </c>
      <c r="M39" s="79">
        <f t="shared" si="26"/>
        <v>74.122771459220928</v>
      </c>
      <c r="N39" s="79">
        <f t="shared" si="26"/>
        <v>73.501016507093013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2"/>
        <v>3576.9195000000004</v>
      </c>
      <c r="F40" s="89">
        <f t="shared" ref="F40:N40" si="27">$H$27 * F19</f>
        <v>2800.9270384615379</v>
      </c>
      <c r="G40" s="89">
        <f t="shared" si="27"/>
        <v>2204.0097603550307</v>
      </c>
      <c r="H40" s="89">
        <f t="shared" si="27"/>
        <v>1744.8426233500227</v>
      </c>
      <c r="I40" s="89">
        <f t="shared" si="27"/>
        <v>1391.6371333461698</v>
      </c>
      <c r="J40" s="89">
        <f t="shared" si="27"/>
        <v>1119.9406025739777</v>
      </c>
      <c r="K40" s="89">
        <f t="shared" si="27"/>
        <v>910.94327121075321</v>
      </c>
      <c r="L40" s="89">
        <f t="shared" si="27"/>
        <v>750.17609323904037</v>
      </c>
      <c r="M40" s="89">
        <f t="shared" si="27"/>
        <v>626.50903326079947</v>
      </c>
      <c r="N40" s="89">
        <f t="shared" si="27"/>
        <v>531.38052558523066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2"/>
        <v>2027.4705000000006</v>
      </c>
      <c r="F41" s="81">
        <f t="shared" ref="F41:N41" si="28">$H$27 * F20</f>
        <v>1609.0431923076919</v>
      </c>
      <c r="G41" s="81">
        <f t="shared" si="28"/>
        <v>1287.17603254438</v>
      </c>
      <c r="H41" s="81">
        <f t="shared" si="28"/>
        <v>1039.5859096495219</v>
      </c>
      <c r="I41" s="81">
        <f t="shared" si="28"/>
        <v>849.13196896116926</v>
      </c>
      <c r="J41" s="81">
        <f t="shared" si="28"/>
        <v>702.6289376624386</v>
      </c>
      <c r="K41" s="81">
        <f t="shared" si="28"/>
        <v>589.93429820187725</v>
      </c>
      <c r="L41" s="81">
        <f t="shared" si="28"/>
        <v>503.24611400144346</v>
      </c>
      <c r="M41" s="81">
        <f t="shared" si="28"/>
        <v>436.5628953857248</v>
      </c>
      <c r="N41" s="81">
        <f t="shared" si="28"/>
        <v>385.26811183517327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6:B20"/>
    <mergeCell ref="B21:B24"/>
    <mergeCell ref="C26:C27"/>
    <mergeCell ref="E26:F26"/>
    <mergeCell ref="B37:B41"/>
    <mergeCell ref="K26:K27"/>
    <mergeCell ref="L26:L27"/>
    <mergeCell ref="B12:B15"/>
    <mergeCell ref="B33:B36"/>
    <mergeCell ref="H26:I26"/>
    <mergeCell ref="E27:F27"/>
    <mergeCell ref="H27:I27"/>
    <mergeCell ref="B31:B32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9AEF-46AA-42FF-A5C0-F30652AE973D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5.75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SHARED_VARIABLES!N12</f>
        <v>2</v>
      </c>
    </row>
    <row r="7" spans="1:14" ht="5.75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0.11538461538461536</v>
      </c>
      <c r="F13" s="67">
        <f t="shared" si="4"/>
        <v>8.8757396449704137E-2</v>
      </c>
      <c r="G13" s="67">
        <f t="shared" si="4"/>
        <v>6.8274920345926249E-2</v>
      </c>
      <c r="H13" s="67">
        <f t="shared" si="4"/>
        <v>5.2519169496866344E-2</v>
      </c>
      <c r="I13" s="67">
        <f t="shared" si="4"/>
        <v>4.0399361151435664E-2</v>
      </c>
      <c r="J13" s="67">
        <f t="shared" si="4"/>
        <v>3.1076431654950512E-2</v>
      </c>
      <c r="K13" s="67">
        <f t="shared" si="4"/>
        <v>2.3904947426885002E-2</v>
      </c>
      <c r="L13" s="67">
        <f t="shared" si="4"/>
        <v>1.8388421097603847E-2</v>
      </c>
      <c r="M13" s="67">
        <f t="shared" si="4"/>
        <v>1.4144939305849119E-2</v>
      </c>
      <c r="N13" s="67">
        <f t="shared" si="4"/>
        <v>1.0880722542960863E-2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0.11538461538461539</v>
      </c>
      <c r="F14" s="67">
        <f t="shared" si="5"/>
        <v>8.8757396449704151E-2</v>
      </c>
      <c r="G14" s="67">
        <f t="shared" si="5"/>
        <v>6.8274920345926263E-2</v>
      </c>
      <c r="H14" s="67">
        <f t="shared" si="5"/>
        <v>5.2519169496866351E-2</v>
      </c>
      <c r="I14" s="67">
        <f t="shared" si="5"/>
        <v>4.0399361151435664E-2</v>
      </c>
      <c r="J14" s="67">
        <f t="shared" si="5"/>
        <v>3.1076431654950519E-2</v>
      </c>
      <c r="K14" s="67">
        <f t="shared" si="5"/>
        <v>2.3904947426885006E-2</v>
      </c>
      <c r="L14" s="67">
        <f t="shared" si="5"/>
        <v>1.8388421097603847E-2</v>
      </c>
      <c r="M14" s="67">
        <f t="shared" si="5"/>
        <v>1.4144939305849119E-2</v>
      </c>
      <c r="N14" s="67">
        <f t="shared" si="5"/>
        <v>1.0880722542960864E-2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0.31923076923076921</v>
      </c>
      <c r="F15" s="91">
        <f t="shared" ref="F15:N15" si="6">SUM(F12:F14)</f>
        <v>0.2455621301775148</v>
      </c>
      <c r="G15" s="91">
        <f t="shared" si="6"/>
        <v>0.18889394629039596</v>
      </c>
      <c r="H15" s="91">
        <f t="shared" si="6"/>
        <v>0.1453030356079969</v>
      </c>
      <c r="I15" s="91">
        <f t="shared" si="6"/>
        <v>0.11177156585230534</v>
      </c>
      <c r="J15" s="91">
        <f t="shared" si="6"/>
        <v>8.5978127578696426E-2</v>
      </c>
      <c r="K15" s="91">
        <f t="shared" si="6"/>
        <v>6.613702121438185E-2</v>
      </c>
      <c r="L15" s="91">
        <f t="shared" si="6"/>
        <v>5.0874631703370643E-2</v>
      </c>
      <c r="M15" s="91">
        <f t="shared" si="6"/>
        <v>3.9134332079515895E-2</v>
      </c>
      <c r="N15" s="91">
        <f t="shared" si="6"/>
        <v>3.0103332368858392E-2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0.69230769230769229</v>
      </c>
      <c r="F16" s="70">
        <f>(F10 - E10) * (1 + $N$6)</f>
        <v>0.53254437869822469</v>
      </c>
      <c r="G16" s="70">
        <f t="shared" ref="G16:N16" si="7">(G10 - F10) * (1 + $N$6)</f>
        <v>0.40964952207555783</v>
      </c>
      <c r="H16" s="70">
        <f t="shared" si="7"/>
        <v>0.31511501698119815</v>
      </c>
      <c r="I16" s="70">
        <f t="shared" si="7"/>
        <v>0.24239616690861365</v>
      </c>
      <c r="J16" s="70">
        <f t="shared" si="7"/>
        <v>0.18645858992970299</v>
      </c>
      <c r="K16" s="70">
        <f t="shared" si="7"/>
        <v>0.14342968456131022</v>
      </c>
      <c r="L16" s="70">
        <f t="shared" si="7"/>
        <v>0.11033052658562315</v>
      </c>
      <c r="M16" s="70">
        <f t="shared" si="7"/>
        <v>8.4869635835094548E-2</v>
      </c>
      <c r="N16" s="70">
        <f t="shared" si="7"/>
        <v>6.5284335257765114E-2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3.7692307692307692E-2</v>
      </c>
      <c r="F17" s="67">
        <f t="shared" si="8"/>
        <v>3.5917159763313611E-2</v>
      </c>
      <c r="G17" s="67">
        <f t="shared" si="8"/>
        <v>3.4551661356395084E-2</v>
      </c>
      <c r="H17" s="67">
        <f t="shared" si="8"/>
        <v>3.3501277966457757E-2</v>
      </c>
      <c r="I17" s="67">
        <f t="shared" si="8"/>
        <v>3.269329074342904E-2</v>
      </c>
      <c r="J17" s="67">
        <f t="shared" si="8"/>
        <v>3.2071762110330033E-2</v>
      </c>
      <c r="K17" s="67">
        <f t="shared" si="8"/>
        <v>3.1593663161792331E-2</v>
      </c>
      <c r="L17" s="67">
        <f t="shared" si="8"/>
        <v>3.1225894739840256E-2</v>
      </c>
      <c r="M17" s="67">
        <f t="shared" si="8"/>
        <v>3.0942995953723275E-2</v>
      </c>
      <c r="N17" s="67">
        <f t="shared" si="8"/>
        <v>3.0725381502864055E-2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1.8846153846153846E-2</v>
      </c>
      <c r="F18" s="67">
        <f t="shared" si="9"/>
        <v>1.7958579881656805E-2</v>
      </c>
      <c r="G18" s="67">
        <f t="shared" si="9"/>
        <v>1.7275830678197542E-2</v>
      </c>
      <c r="H18" s="67">
        <f t="shared" si="9"/>
        <v>1.6750638983228879E-2</v>
      </c>
      <c r="I18" s="67">
        <f t="shared" si="9"/>
        <v>1.634664537171452E-2</v>
      </c>
      <c r="J18" s="67">
        <f t="shared" si="9"/>
        <v>1.6035881055165017E-2</v>
      </c>
      <c r="K18" s="67">
        <f t="shared" si="9"/>
        <v>1.5796831580896165E-2</v>
      </c>
      <c r="L18" s="67">
        <f t="shared" si="9"/>
        <v>1.5612947369920128E-2</v>
      </c>
      <c r="M18" s="67">
        <f t="shared" si="9"/>
        <v>1.5471497976861637E-2</v>
      </c>
      <c r="N18" s="67">
        <f t="shared" si="9"/>
        <v>1.5362690751432028E-2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0.74884615384615383</v>
      </c>
      <c r="F19" s="88">
        <f t="shared" ref="F19:N19" si="10">SUM(F16:F18)</f>
        <v>0.58642011834319518</v>
      </c>
      <c r="G19" s="88">
        <f t="shared" si="10"/>
        <v>0.46147701411015046</v>
      </c>
      <c r="H19" s="88">
        <f t="shared" si="10"/>
        <v>0.36536693393088476</v>
      </c>
      <c r="I19" s="88">
        <f t="shared" si="10"/>
        <v>0.29143610302375722</v>
      </c>
      <c r="J19" s="88">
        <f t="shared" si="10"/>
        <v>0.23456623309519803</v>
      </c>
      <c r="K19" s="88">
        <f t="shared" si="10"/>
        <v>0.19082017930399872</v>
      </c>
      <c r="L19" s="88">
        <f t="shared" si="10"/>
        <v>0.15716936869538353</v>
      </c>
      <c r="M19" s="88">
        <f t="shared" si="10"/>
        <v>0.13128412976567946</v>
      </c>
      <c r="N19" s="88">
        <f t="shared" si="10"/>
        <v>0.11137240751206119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0.42961538461538462</v>
      </c>
      <c r="F20" s="87">
        <f t="shared" ref="F20:N20" si="11">F19 - F15</f>
        <v>0.34085798816568036</v>
      </c>
      <c r="G20" s="87">
        <f t="shared" si="11"/>
        <v>0.2725830678197545</v>
      </c>
      <c r="H20" s="87">
        <f t="shared" si="11"/>
        <v>0.22006389832288786</v>
      </c>
      <c r="I20" s="87">
        <f t="shared" si="11"/>
        <v>0.17966453717145187</v>
      </c>
      <c r="J20" s="87">
        <f t="shared" si="11"/>
        <v>0.14858810551650159</v>
      </c>
      <c r="K20" s="87">
        <f t="shared" si="11"/>
        <v>0.12468315808961687</v>
      </c>
      <c r="L20" s="87">
        <f t="shared" si="11"/>
        <v>0.10629473699201289</v>
      </c>
      <c r="M20" s="87">
        <f t="shared" si="11"/>
        <v>9.2149797686163576E-2</v>
      </c>
      <c r="N20" s="87">
        <f t="shared" si="11"/>
        <v>8.1269075143202807E-2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2">
        <f>E13 * ($C21 / (2 + $N$6))</f>
        <v>576.92307692307679</v>
      </c>
      <c r="F21" s="71">
        <f t="shared" ref="F21:N21" si="12">F14 * ($C21 / (2 + $N$6))</f>
        <v>443.78698224852076</v>
      </c>
      <c r="G21" s="71">
        <f t="shared" si="12"/>
        <v>341.37460172963131</v>
      </c>
      <c r="H21" s="71">
        <f t="shared" si="12"/>
        <v>262.59584748433173</v>
      </c>
      <c r="I21" s="71">
        <f t="shared" si="12"/>
        <v>201.99680575717832</v>
      </c>
      <c r="J21" s="71">
        <f t="shared" si="12"/>
        <v>155.38215827475258</v>
      </c>
      <c r="K21" s="71">
        <f t="shared" si="12"/>
        <v>119.52473713442502</v>
      </c>
      <c r="L21" s="71">
        <f t="shared" si="12"/>
        <v>91.942105488019237</v>
      </c>
      <c r="M21" s="71">
        <f t="shared" si="12"/>
        <v>70.724696529245591</v>
      </c>
      <c r="N21" s="71">
        <f t="shared" si="12"/>
        <v>54.403612714804325</v>
      </c>
    </row>
    <row r="22" spans="1:14" ht="37.5" customHeight="1" x14ac:dyDescent="0.45">
      <c r="A22" s="62"/>
      <c r="B22" s="135"/>
      <c r="C22" s="59">
        <v>400000</v>
      </c>
      <c r="D22" s="57"/>
      <c r="E22" s="72">
        <f>E14 * ($C22 / (2 + $N$6))</f>
        <v>11538.461538461539</v>
      </c>
      <c r="F22" s="72">
        <f t="shared" ref="F22:N22" si="13">F14 * ($C22 / (2 + $N$6))</f>
        <v>8875.7396449704156</v>
      </c>
      <c r="G22" s="72">
        <f t="shared" si="13"/>
        <v>6827.4920345926266</v>
      </c>
      <c r="H22" s="72">
        <f t="shared" si="13"/>
        <v>5251.9169496866352</v>
      </c>
      <c r="I22" s="72">
        <f t="shared" si="13"/>
        <v>4039.9361151435664</v>
      </c>
      <c r="J22" s="72">
        <f t="shared" si="13"/>
        <v>3107.643165495052</v>
      </c>
      <c r="K22" s="72">
        <f t="shared" si="13"/>
        <v>2390.4947426885005</v>
      </c>
      <c r="L22" s="72">
        <f t="shared" si="13"/>
        <v>1838.8421097603848</v>
      </c>
      <c r="M22" s="72">
        <f t="shared" si="13"/>
        <v>1414.4939305849118</v>
      </c>
      <c r="N22" s="72">
        <f t="shared" si="13"/>
        <v>1088.0722542960864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28846.153846153848</v>
      </c>
      <c r="F23" s="72">
        <f t="shared" ref="F23:N23" si="14">F14 * ($C23 / (2 + $N$6))</f>
        <v>22189.349112426036</v>
      </c>
      <c r="G23" s="72">
        <f t="shared" si="14"/>
        <v>17068.730086481566</v>
      </c>
      <c r="H23" s="72">
        <f t="shared" si="14"/>
        <v>13129.792374216588</v>
      </c>
      <c r="I23" s="72">
        <f t="shared" si="14"/>
        <v>10099.840287858917</v>
      </c>
      <c r="J23" s="72">
        <f t="shared" si="14"/>
        <v>7769.10791373763</v>
      </c>
      <c r="K23" s="72">
        <f t="shared" si="14"/>
        <v>5976.2368567212516</v>
      </c>
      <c r="L23" s="72">
        <f t="shared" si="14"/>
        <v>4597.1052744009621</v>
      </c>
      <c r="M23" s="72">
        <f t="shared" si="14"/>
        <v>3536.2348264622797</v>
      </c>
      <c r="N23" s="72">
        <f t="shared" si="14"/>
        <v>2720.1806357402161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>E14 * ($C24 / (2 + $N$6))</f>
        <v>60576.923076923078</v>
      </c>
      <c r="F24" s="73">
        <f t="shared" ref="F24:N24" si="15">F14 * ($C24 / (2 + $N$6))</f>
        <v>46597.633136094679</v>
      </c>
      <c r="G24" s="73">
        <f t="shared" si="15"/>
        <v>35844.333181611291</v>
      </c>
      <c r="H24" s="73">
        <f t="shared" si="15"/>
        <v>27572.563985854835</v>
      </c>
      <c r="I24" s="73">
        <f t="shared" si="15"/>
        <v>21209.664604503723</v>
      </c>
      <c r="J24" s="73">
        <f t="shared" si="15"/>
        <v>16315.126618849023</v>
      </c>
      <c r="K24" s="73">
        <f t="shared" si="15"/>
        <v>12550.097399114627</v>
      </c>
      <c r="L24" s="73">
        <f t="shared" si="15"/>
        <v>9653.9210762420189</v>
      </c>
      <c r="M24" s="73">
        <f t="shared" si="15"/>
        <v>7426.0931355707871</v>
      </c>
      <c r="N24" s="73">
        <f t="shared" si="15"/>
        <v>5712.3793350544538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20000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5000</v>
      </c>
      <c r="I27" s="134"/>
      <c r="J27" s="54"/>
      <c r="K27" s="130"/>
      <c r="L27" s="132"/>
      <c r="N27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1153.8461538461538</v>
      </c>
      <c r="F31" s="79">
        <f t="shared" si="17"/>
        <v>2041.4201183431951</v>
      </c>
      <c r="G31" s="79">
        <f t="shared" si="17"/>
        <v>2724.1693218024584</v>
      </c>
      <c r="H31" s="79">
        <f t="shared" si="17"/>
        <v>3249.3610167711217</v>
      </c>
      <c r="I31" s="79">
        <f t="shared" si="17"/>
        <v>3653.3546282854777</v>
      </c>
      <c r="J31" s="79">
        <f t="shared" si="17"/>
        <v>3964.1189448349828</v>
      </c>
      <c r="K31" s="79">
        <f t="shared" si="17"/>
        <v>4203.168419103833</v>
      </c>
      <c r="L31" s="79">
        <f t="shared" si="17"/>
        <v>4387.052630079872</v>
      </c>
      <c r="M31" s="79">
        <f t="shared" si="17"/>
        <v>4528.5020231383623</v>
      </c>
      <c r="N31" s="79">
        <f t="shared" si="17"/>
        <v>4637.3092485679708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3846.1538461538457</v>
      </c>
      <c r="F32" s="80">
        <f t="shared" si="18"/>
        <v>2958.5798816568049</v>
      </c>
      <c r="G32" s="80">
        <f t="shared" si="18"/>
        <v>2275.8306781975416</v>
      </c>
      <c r="H32" s="80">
        <f t="shared" si="18"/>
        <v>1750.6389832288783</v>
      </c>
      <c r="I32" s="80">
        <f t="shared" si="18"/>
        <v>1346.6453717145221</v>
      </c>
      <c r="J32" s="80">
        <f t="shared" si="18"/>
        <v>1035.8810551650172</v>
      </c>
      <c r="K32" s="80">
        <f t="shared" si="18"/>
        <v>796.83158089616677</v>
      </c>
      <c r="L32" s="80">
        <f t="shared" si="18"/>
        <v>612.94736992012827</v>
      </c>
      <c r="M32" s="80">
        <f t="shared" si="18"/>
        <v>471.49797686163731</v>
      </c>
      <c r="N32" s="80">
        <f t="shared" si="18"/>
        <v>362.69075143202878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442.30769230769226</v>
      </c>
      <c r="F33" s="79">
        <f t="shared" si="19"/>
        <v>340.23668639053255</v>
      </c>
      <c r="G33" s="79">
        <f t="shared" si="19"/>
        <v>261.72052799271734</v>
      </c>
      <c r="H33" s="79">
        <f t="shared" si="19"/>
        <v>201.32348307132099</v>
      </c>
      <c r="I33" s="79">
        <f t="shared" si="19"/>
        <v>154.86421774717007</v>
      </c>
      <c r="J33" s="79">
        <f t="shared" si="19"/>
        <v>119.12632134397697</v>
      </c>
      <c r="K33" s="79">
        <f t="shared" si="19"/>
        <v>91.635631803059184</v>
      </c>
      <c r="L33" s="79">
        <f t="shared" si="19"/>
        <v>70.488947540814749</v>
      </c>
      <c r="M33" s="79">
        <f t="shared" si="19"/>
        <v>54.22226733908829</v>
      </c>
      <c r="N33" s="79">
        <f t="shared" si="19"/>
        <v>41.709436414683317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576.92307692307679</v>
      </c>
      <c r="F34" s="79">
        <f t="shared" si="20"/>
        <v>443.7869822485207</v>
      </c>
      <c r="G34" s="79">
        <f t="shared" si="20"/>
        <v>341.37460172963125</v>
      </c>
      <c r="H34" s="79">
        <f t="shared" si="20"/>
        <v>262.59584748433173</v>
      </c>
      <c r="I34" s="79">
        <f t="shared" si="20"/>
        <v>201.99680575717832</v>
      </c>
      <c r="J34" s="79">
        <f t="shared" si="20"/>
        <v>155.38215827475256</v>
      </c>
      <c r="K34" s="79">
        <f t="shared" si="20"/>
        <v>119.52473713442501</v>
      </c>
      <c r="L34" s="79">
        <f t="shared" si="20"/>
        <v>91.942105488019237</v>
      </c>
      <c r="M34" s="79">
        <f t="shared" si="20"/>
        <v>70.724696529245591</v>
      </c>
      <c r="N34" s="79">
        <f t="shared" si="20"/>
        <v>54.403612714804311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N35" si="21">$H$27 * E14</f>
        <v>576.92307692307691</v>
      </c>
      <c r="F35" s="79">
        <f t="shared" si="21"/>
        <v>443.78698224852076</v>
      </c>
      <c r="G35" s="79">
        <f t="shared" si="21"/>
        <v>341.37460172963131</v>
      </c>
      <c r="H35" s="79">
        <f t="shared" si="21"/>
        <v>262.59584748433173</v>
      </c>
      <c r="I35" s="79">
        <f t="shared" si="21"/>
        <v>201.99680575717832</v>
      </c>
      <c r="J35" s="79">
        <f t="shared" si="21"/>
        <v>155.38215827475258</v>
      </c>
      <c r="K35" s="79">
        <f t="shared" si="21"/>
        <v>119.52473713442502</v>
      </c>
      <c r="L35" s="79">
        <f t="shared" si="21"/>
        <v>91.942105488019237</v>
      </c>
      <c r="M35" s="79">
        <f t="shared" si="21"/>
        <v>70.724696529245591</v>
      </c>
      <c r="N35" s="79">
        <f t="shared" si="21"/>
        <v>54.403612714804325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ref="E36:E41" si="22">$H$27 * E15</f>
        <v>1596.153846153846</v>
      </c>
      <c r="F36" s="92">
        <f t="shared" ref="F36:N36" si="23">$H$27 * F15</f>
        <v>1227.810650887574</v>
      </c>
      <c r="G36" s="92">
        <f t="shared" si="23"/>
        <v>944.46973145197978</v>
      </c>
      <c r="H36" s="92">
        <f t="shared" si="23"/>
        <v>726.51517803998445</v>
      </c>
      <c r="I36" s="92">
        <f t="shared" si="23"/>
        <v>558.85782926152672</v>
      </c>
      <c r="J36" s="92">
        <f t="shared" si="23"/>
        <v>429.89063789348211</v>
      </c>
      <c r="K36" s="92">
        <f t="shared" si="23"/>
        <v>330.68510607190927</v>
      </c>
      <c r="L36" s="92">
        <f t="shared" si="23"/>
        <v>254.37315851685321</v>
      </c>
      <c r="M36" s="92">
        <f t="shared" si="23"/>
        <v>195.67166039757947</v>
      </c>
      <c r="N36" s="92">
        <f t="shared" si="23"/>
        <v>150.51666184429195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2"/>
        <v>3461.5384615384614</v>
      </c>
      <c r="F37" s="79">
        <f t="shared" ref="F37:N37" si="24">$H$27 * F16</f>
        <v>2662.7218934911234</v>
      </c>
      <c r="G37" s="79">
        <f t="shared" si="24"/>
        <v>2048.247610377789</v>
      </c>
      <c r="H37" s="79">
        <f t="shared" si="24"/>
        <v>1575.5750849059907</v>
      </c>
      <c r="I37" s="79">
        <f t="shared" si="24"/>
        <v>1211.9808345430683</v>
      </c>
      <c r="J37" s="79">
        <f t="shared" si="24"/>
        <v>932.29294964851499</v>
      </c>
      <c r="K37" s="79">
        <f t="shared" si="24"/>
        <v>717.14842280655114</v>
      </c>
      <c r="L37" s="79">
        <f t="shared" si="24"/>
        <v>551.65263292811574</v>
      </c>
      <c r="M37" s="79">
        <f t="shared" si="24"/>
        <v>424.34817917547275</v>
      </c>
      <c r="N37" s="79">
        <f t="shared" si="24"/>
        <v>326.42167628882555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2"/>
        <v>188.46153846153845</v>
      </c>
      <c r="F38" s="79">
        <f t="shared" ref="F38:N38" si="25">$H$27 * F17</f>
        <v>179.58579881656806</v>
      </c>
      <c r="G38" s="79">
        <f t="shared" si="25"/>
        <v>172.75830678197542</v>
      </c>
      <c r="H38" s="79">
        <f t="shared" si="25"/>
        <v>167.50638983228879</v>
      </c>
      <c r="I38" s="79">
        <f t="shared" si="25"/>
        <v>163.46645371714521</v>
      </c>
      <c r="J38" s="79">
        <f t="shared" si="25"/>
        <v>160.35881055165018</v>
      </c>
      <c r="K38" s="79">
        <f t="shared" si="25"/>
        <v>157.96831580896165</v>
      </c>
      <c r="L38" s="79">
        <f t="shared" si="25"/>
        <v>156.12947369920127</v>
      </c>
      <c r="M38" s="79">
        <f t="shared" si="25"/>
        <v>154.71497976861639</v>
      </c>
      <c r="N38" s="79">
        <f t="shared" si="25"/>
        <v>153.62690751432027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2"/>
        <v>94.230769230769226</v>
      </c>
      <c r="F39" s="79">
        <f t="shared" ref="F39:N39" si="26">$H$27 * F18</f>
        <v>89.792899408284029</v>
      </c>
      <c r="G39" s="79">
        <f t="shared" si="26"/>
        <v>86.37915339098771</v>
      </c>
      <c r="H39" s="79">
        <f t="shared" si="26"/>
        <v>83.753194916144395</v>
      </c>
      <c r="I39" s="79">
        <f t="shared" si="26"/>
        <v>81.733226858572607</v>
      </c>
      <c r="J39" s="79">
        <f t="shared" si="26"/>
        <v>80.17940527582509</v>
      </c>
      <c r="K39" s="79">
        <f t="shared" si="26"/>
        <v>78.984157904480824</v>
      </c>
      <c r="L39" s="79">
        <f t="shared" si="26"/>
        <v>78.064736849600635</v>
      </c>
      <c r="M39" s="79">
        <f t="shared" si="26"/>
        <v>77.357489884308194</v>
      </c>
      <c r="N39" s="79">
        <f t="shared" si="26"/>
        <v>76.813453757160133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2"/>
        <v>3744.2307692307691</v>
      </c>
      <c r="F40" s="89">
        <f t="shared" ref="F40:N40" si="27">$H$27 * F19</f>
        <v>2932.100591715976</v>
      </c>
      <c r="G40" s="89">
        <f t="shared" si="27"/>
        <v>2307.3850705507525</v>
      </c>
      <c r="H40" s="89">
        <f t="shared" si="27"/>
        <v>1826.8346696544238</v>
      </c>
      <c r="I40" s="89">
        <f t="shared" si="27"/>
        <v>1457.1805151187862</v>
      </c>
      <c r="J40" s="89">
        <f t="shared" si="27"/>
        <v>1172.8311654759902</v>
      </c>
      <c r="K40" s="89">
        <f t="shared" si="27"/>
        <v>954.10089651999363</v>
      </c>
      <c r="L40" s="89">
        <f t="shared" si="27"/>
        <v>785.84684347691768</v>
      </c>
      <c r="M40" s="89">
        <f t="shared" si="27"/>
        <v>656.42064882839736</v>
      </c>
      <c r="N40" s="89">
        <f t="shared" si="27"/>
        <v>556.86203756030591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2"/>
        <v>2148.0769230769233</v>
      </c>
      <c r="F41" s="81">
        <f t="shared" ref="F41:N41" si="28">$H$27 * F20</f>
        <v>1704.2899408284018</v>
      </c>
      <c r="G41" s="81">
        <f t="shared" si="28"/>
        <v>1362.9153390987724</v>
      </c>
      <c r="H41" s="81">
        <f t="shared" si="28"/>
        <v>1100.3194916144394</v>
      </c>
      <c r="I41" s="81">
        <f t="shared" si="28"/>
        <v>898.32268585725933</v>
      </c>
      <c r="J41" s="81">
        <f t="shared" si="28"/>
        <v>742.94052758250791</v>
      </c>
      <c r="K41" s="81">
        <f t="shared" si="28"/>
        <v>623.41579044808441</v>
      </c>
      <c r="L41" s="81">
        <f t="shared" si="28"/>
        <v>531.47368496006447</v>
      </c>
      <c r="M41" s="81">
        <f t="shared" si="28"/>
        <v>460.74898843081786</v>
      </c>
      <c r="N41" s="81">
        <f t="shared" si="28"/>
        <v>406.34537571601402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33:B36"/>
    <mergeCell ref="B37:B41"/>
    <mergeCell ref="H26:I26"/>
    <mergeCell ref="B31:B32"/>
    <mergeCell ref="B10:B11"/>
    <mergeCell ref="B16:B20"/>
    <mergeCell ref="B21:B24"/>
    <mergeCell ref="C26:C27"/>
    <mergeCell ref="E26:F26"/>
    <mergeCell ref="L26:L27"/>
    <mergeCell ref="E27:F27"/>
    <mergeCell ref="H27:I27"/>
    <mergeCell ref="K26:K27"/>
    <mergeCell ref="B12:B15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CE42-5ED5-4710-9A29-890DF94A3E10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5.75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SHARED_VARIABLES!P12</f>
        <v>2.5</v>
      </c>
    </row>
    <row r="7" spans="1:14" ht="5.75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0.14423076923076922</v>
      </c>
      <c r="F13" s="67">
        <f t="shared" si="4"/>
        <v>0.11094674556213019</v>
      </c>
      <c r="G13" s="67">
        <f t="shared" si="4"/>
        <v>8.5343650432407825E-2</v>
      </c>
      <c r="H13" s="67">
        <f t="shared" si="4"/>
        <v>6.5648961871082934E-2</v>
      </c>
      <c r="I13" s="67">
        <f t="shared" si="4"/>
        <v>5.049920143929458E-2</v>
      </c>
      <c r="J13" s="67">
        <f t="shared" si="4"/>
        <v>3.8845539568688144E-2</v>
      </c>
      <c r="K13" s="67">
        <f t="shared" si="4"/>
        <v>2.9881184283606255E-2</v>
      </c>
      <c r="L13" s="67">
        <f t="shared" si="4"/>
        <v>2.2985526372004808E-2</v>
      </c>
      <c r="M13" s="67">
        <f t="shared" si="4"/>
        <v>1.7681174132311399E-2</v>
      </c>
      <c r="N13" s="67">
        <f t="shared" si="4"/>
        <v>1.3600903178701079E-2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0.13461538461538461</v>
      </c>
      <c r="F14" s="67">
        <f t="shared" si="5"/>
        <v>0.10355029585798817</v>
      </c>
      <c r="G14" s="67">
        <f t="shared" si="5"/>
        <v>7.9654073736913966E-2</v>
      </c>
      <c r="H14" s="67">
        <f t="shared" si="5"/>
        <v>6.1272364413010739E-2</v>
      </c>
      <c r="I14" s="67">
        <f t="shared" si="5"/>
        <v>4.7132588010008275E-2</v>
      </c>
      <c r="J14" s="67">
        <f t="shared" si="5"/>
        <v>3.6255836930775602E-2</v>
      </c>
      <c r="K14" s="67">
        <f t="shared" si="5"/>
        <v>2.7889105331365838E-2</v>
      </c>
      <c r="L14" s="67">
        <f t="shared" si="5"/>
        <v>2.1453157947204489E-2</v>
      </c>
      <c r="M14" s="67">
        <f t="shared" si="5"/>
        <v>1.6502429190157306E-2</v>
      </c>
      <c r="N14" s="67">
        <f t="shared" si="5"/>
        <v>1.2694176300121008E-2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0.36730769230769228</v>
      </c>
      <c r="F15" s="91">
        <f t="shared" ref="F15:N15" si="6">SUM(F12:F14)</f>
        <v>0.28254437869822491</v>
      </c>
      <c r="G15" s="91">
        <f t="shared" si="6"/>
        <v>0.21734182976786526</v>
      </c>
      <c r="H15" s="91">
        <f t="shared" si="6"/>
        <v>0.16718602289835788</v>
      </c>
      <c r="I15" s="91">
        <f t="shared" si="6"/>
        <v>0.12860463299873687</v>
      </c>
      <c r="J15" s="91">
        <f t="shared" si="6"/>
        <v>9.8926640768259133E-2</v>
      </c>
      <c r="K15" s="91">
        <f t="shared" si="6"/>
        <v>7.6097415975583935E-2</v>
      </c>
      <c r="L15" s="91">
        <f t="shared" si="6"/>
        <v>5.8536473827372246E-2</v>
      </c>
      <c r="M15" s="91">
        <f t="shared" si="6"/>
        <v>4.5028056790286361E-2</v>
      </c>
      <c r="N15" s="91">
        <f t="shared" si="6"/>
        <v>3.4636966761758751E-2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0.80769230769230771</v>
      </c>
      <c r="F16" s="70">
        <f>(F10 - E10) * (1 + $N$6)</f>
        <v>0.62130177514792884</v>
      </c>
      <c r="G16" s="70">
        <f t="shared" ref="G16:N16" si="7">(G10 - F10) * (1 + $N$6)</f>
        <v>0.47792444242148413</v>
      </c>
      <c r="H16" s="70">
        <f t="shared" si="7"/>
        <v>0.36763418647806451</v>
      </c>
      <c r="I16" s="70">
        <f t="shared" si="7"/>
        <v>0.28279552806004926</v>
      </c>
      <c r="J16" s="70">
        <f t="shared" si="7"/>
        <v>0.21753502158465349</v>
      </c>
      <c r="K16" s="70">
        <f t="shared" si="7"/>
        <v>0.16733463198819526</v>
      </c>
      <c r="L16" s="70">
        <f t="shared" si="7"/>
        <v>0.128718947683227</v>
      </c>
      <c r="M16" s="70">
        <f t="shared" si="7"/>
        <v>9.9014575140943639E-2</v>
      </c>
      <c r="N16" s="70">
        <f t="shared" si="7"/>
        <v>7.6165057800725966E-2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4.2692307692307696E-2</v>
      </c>
      <c r="F17" s="67">
        <f t="shared" si="8"/>
        <v>4.0917159763313615E-2</v>
      </c>
      <c r="G17" s="67">
        <f t="shared" si="8"/>
        <v>3.9551661356395089E-2</v>
      </c>
      <c r="H17" s="67">
        <f t="shared" si="8"/>
        <v>3.8501277966457761E-2</v>
      </c>
      <c r="I17" s="67">
        <f t="shared" si="8"/>
        <v>3.7693290743429045E-2</v>
      </c>
      <c r="J17" s="67">
        <f t="shared" si="8"/>
        <v>3.7071762110330038E-2</v>
      </c>
      <c r="K17" s="67">
        <f t="shared" si="8"/>
        <v>3.6593663161792335E-2</v>
      </c>
      <c r="L17" s="67">
        <f t="shared" si="8"/>
        <v>3.622589473984026E-2</v>
      </c>
      <c r="M17" s="67">
        <f t="shared" si="8"/>
        <v>3.5942995953723279E-2</v>
      </c>
      <c r="N17" s="67">
        <f t="shared" si="8"/>
        <v>3.5725381502864063E-2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2.1346153846153848E-2</v>
      </c>
      <c r="F18" s="67">
        <f t="shared" si="9"/>
        <v>2.0458579881656808E-2</v>
      </c>
      <c r="G18" s="67">
        <f t="shared" si="9"/>
        <v>1.9775830678197544E-2</v>
      </c>
      <c r="H18" s="67">
        <f t="shared" si="9"/>
        <v>1.9250638983228881E-2</v>
      </c>
      <c r="I18" s="67">
        <f t="shared" si="9"/>
        <v>1.8846645371714522E-2</v>
      </c>
      <c r="J18" s="67">
        <f t="shared" si="9"/>
        <v>1.8535881055165019E-2</v>
      </c>
      <c r="K18" s="67">
        <f t="shared" si="9"/>
        <v>1.8296831580896167E-2</v>
      </c>
      <c r="L18" s="67">
        <f t="shared" si="9"/>
        <v>1.811294736992013E-2</v>
      </c>
      <c r="M18" s="67">
        <f t="shared" si="9"/>
        <v>1.797149797686164E-2</v>
      </c>
      <c r="N18" s="67">
        <f t="shared" si="9"/>
        <v>1.7862690751432032E-2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0.8717307692307692</v>
      </c>
      <c r="F19" s="88">
        <f t="shared" ref="F19:N19" si="10">SUM(F16:F18)</f>
        <v>0.68267751479289918</v>
      </c>
      <c r="G19" s="88">
        <f t="shared" si="10"/>
        <v>0.53725193445607677</v>
      </c>
      <c r="H19" s="88">
        <f t="shared" si="10"/>
        <v>0.42538610342775113</v>
      </c>
      <c r="I19" s="88">
        <f t="shared" si="10"/>
        <v>0.33933546417519284</v>
      </c>
      <c r="J19" s="88">
        <f t="shared" si="10"/>
        <v>0.27314266475014853</v>
      </c>
      <c r="K19" s="88">
        <f t="shared" si="10"/>
        <v>0.22222512673088377</v>
      </c>
      <c r="L19" s="88">
        <f t="shared" si="10"/>
        <v>0.1830577897929874</v>
      </c>
      <c r="M19" s="88">
        <f t="shared" si="10"/>
        <v>0.15292906907152856</v>
      </c>
      <c r="N19" s="88">
        <f t="shared" si="10"/>
        <v>0.12975313005502206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0.50442307692307686</v>
      </c>
      <c r="F20" s="87">
        <f t="shared" ref="F20:N20" si="11">F19 - F15</f>
        <v>0.40013313609467427</v>
      </c>
      <c r="G20" s="87">
        <f t="shared" si="11"/>
        <v>0.31991010468821152</v>
      </c>
      <c r="H20" s="87">
        <f t="shared" si="11"/>
        <v>0.25820008052939325</v>
      </c>
      <c r="I20" s="87">
        <f t="shared" si="11"/>
        <v>0.21073083117645597</v>
      </c>
      <c r="J20" s="87">
        <f t="shared" si="11"/>
        <v>0.1742160239818894</v>
      </c>
      <c r="K20" s="87">
        <f t="shared" si="11"/>
        <v>0.14612771075529984</v>
      </c>
      <c r="L20" s="87">
        <f t="shared" si="11"/>
        <v>0.12452131596561515</v>
      </c>
      <c r="M20" s="87">
        <f t="shared" si="11"/>
        <v>0.1079010122812422</v>
      </c>
      <c r="N20" s="87">
        <f t="shared" si="11"/>
        <v>9.5116163293263306E-2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2">
        <f>E14 * ($C21 / (2 + $N$6))</f>
        <v>598.29059829059827</v>
      </c>
      <c r="F21" s="71">
        <f t="shared" ref="F21:N21" si="12">F14 * ($C21 / (2 + $N$6))</f>
        <v>460.22353714661409</v>
      </c>
      <c r="G21" s="71">
        <f t="shared" si="12"/>
        <v>354.01810549739542</v>
      </c>
      <c r="H21" s="71">
        <f t="shared" si="12"/>
        <v>272.32161961338107</v>
      </c>
      <c r="I21" s="71">
        <f t="shared" si="12"/>
        <v>209.47816893337011</v>
      </c>
      <c r="J21" s="71">
        <f t="shared" si="12"/>
        <v>161.13705302566933</v>
      </c>
      <c r="K21" s="71">
        <f t="shared" si="12"/>
        <v>123.95157925051484</v>
      </c>
      <c r="L21" s="71">
        <f t="shared" si="12"/>
        <v>95.347368654242175</v>
      </c>
      <c r="M21" s="71">
        <f t="shared" si="12"/>
        <v>73.344129734032464</v>
      </c>
      <c r="N21" s="71">
        <f t="shared" si="12"/>
        <v>56.418561333871146</v>
      </c>
    </row>
    <row r="22" spans="1:14" ht="37.5" customHeight="1" x14ac:dyDescent="0.45">
      <c r="A22" s="62"/>
      <c r="B22" s="135"/>
      <c r="C22" s="59">
        <v>400000</v>
      </c>
      <c r="D22" s="57"/>
      <c r="E22" s="72">
        <f>E14 * ($C22 / (2 + $N$6))</f>
        <v>11965.811965811965</v>
      </c>
      <c r="F22" s="72">
        <f t="shared" ref="F22:N22" si="13">F14 * ($C22 / (2 + $N$6))</f>
        <v>9204.4707429322825</v>
      </c>
      <c r="G22" s="72">
        <f t="shared" si="13"/>
        <v>7080.3621099479078</v>
      </c>
      <c r="H22" s="72">
        <f t="shared" si="13"/>
        <v>5446.4323922676213</v>
      </c>
      <c r="I22" s="72">
        <f t="shared" si="13"/>
        <v>4189.5633786674025</v>
      </c>
      <c r="J22" s="72">
        <f t="shared" si="13"/>
        <v>3222.7410605133869</v>
      </c>
      <c r="K22" s="72">
        <f t="shared" si="13"/>
        <v>2479.0315850102966</v>
      </c>
      <c r="L22" s="72">
        <f t="shared" si="13"/>
        <v>1906.9473730848435</v>
      </c>
      <c r="M22" s="72">
        <f t="shared" si="13"/>
        <v>1466.8825946806494</v>
      </c>
      <c r="N22" s="72">
        <f t="shared" si="13"/>
        <v>1128.371226677423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29914.529914529914</v>
      </c>
      <c r="F23" s="72">
        <f t="shared" ref="F23:N23" si="14">F14 * ($C23 / (2 + $N$6))</f>
        <v>23011.176857330702</v>
      </c>
      <c r="G23" s="72">
        <f t="shared" si="14"/>
        <v>17700.905274869769</v>
      </c>
      <c r="H23" s="72">
        <f t="shared" si="14"/>
        <v>13616.080980669052</v>
      </c>
      <c r="I23" s="72">
        <f t="shared" si="14"/>
        <v>10473.908446668505</v>
      </c>
      <c r="J23" s="72">
        <f t="shared" si="14"/>
        <v>8056.8526512834669</v>
      </c>
      <c r="K23" s="72">
        <f t="shared" si="14"/>
        <v>6197.5789625257421</v>
      </c>
      <c r="L23" s="72">
        <f t="shared" si="14"/>
        <v>4767.3684327121082</v>
      </c>
      <c r="M23" s="72">
        <f t="shared" si="14"/>
        <v>3667.2064867016234</v>
      </c>
      <c r="N23" s="72">
        <f t="shared" si="14"/>
        <v>2820.9280666935574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>E14 * ($C24 / (2 + $N$6))</f>
        <v>62820.51282051282</v>
      </c>
      <c r="F24" s="73">
        <f t="shared" ref="F24:N24" si="15">F14 * ($C24 / (2 + $N$6))</f>
        <v>48323.471400394483</v>
      </c>
      <c r="G24" s="73">
        <f t="shared" si="15"/>
        <v>37171.901077226517</v>
      </c>
      <c r="H24" s="73">
        <f t="shared" si="15"/>
        <v>28593.770059405015</v>
      </c>
      <c r="I24" s="73">
        <f t="shared" si="15"/>
        <v>21995.207738003861</v>
      </c>
      <c r="J24" s="73">
        <f t="shared" si="15"/>
        <v>16919.390567695282</v>
      </c>
      <c r="K24" s="73">
        <f t="shared" si="15"/>
        <v>13014.915821304059</v>
      </c>
      <c r="L24" s="73">
        <f t="shared" si="15"/>
        <v>10011.473708695428</v>
      </c>
      <c r="M24" s="73">
        <f t="shared" si="15"/>
        <v>7701.1336220734092</v>
      </c>
      <c r="N24" s="73">
        <f t="shared" si="15"/>
        <v>5923.9489400564707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19999.999980000001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4444.4444400000002</v>
      </c>
      <c r="I27" s="134"/>
      <c r="J27" s="54"/>
      <c r="K27" s="130"/>
      <c r="L27" s="132"/>
      <c r="N27" s="84"/>
    </row>
    <row r="28" spans="1:14" ht="16.899999999999999" customHeight="1" x14ac:dyDescent="0.45">
      <c r="B28" s="77"/>
      <c r="C28" s="2"/>
      <c r="E28" s="2"/>
      <c r="F28" s="2"/>
      <c r="G28" s="2"/>
      <c r="H28" s="2"/>
      <c r="I28" s="2"/>
      <c r="J28" s="85"/>
      <c r="L28" s="86"/>
      <c r="N28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1025.6410246153848</v>
      </c>
      <c r="F31" s="79">
        <f t="shared" si="17"/>
        <v>1814.5956589349112</v>
      </c>
      <c r="G31" s="79">
        <f t="shared" si="17"/>
        <v>2421.4838391807011</v>
      </c>
      <c r="H31" s="79">
        <f t="shared" si="17"/>
        <v>2888.320900908232</v>
      </c>
      <c r="I31" s="79">
        <f t="shared" si="17"/>
        <v>3247.4263330063318</v>
      </c>
      <c r="J31" s="79">
        <f t="shared" si="17"/>
        <v>3523.6612807741012</v>
      </c>
      <c r="K31" s="79">
        <f t="shared" si="17"/>
        <v>3736.1497021339246</v>
      </c>
      <c r="L31" s="79">
        <f t="shared" si="17"/>
        <v>3899.6023339491726</v>
      </c>
      <c r="M31" s="79">
        <f t="shared" si="17"/>
        <v>4025.3351276532098</v>
      </c>
      <c r="N31" s="79">
        <f t="shared" si="17"/>
        <v>4122.0526612716994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3418.8034153846152</v>
      </c>
      <c r="F32" s="80">
        <f t="shared" si="18"/>
        <v>2629.848781065089</v>
      </c>
      <c r="G32" s="80">
        <f t="shared" si="18"/>
        <v>2022.9606008192989</v>
      </c>
      <c r="H32" s="80">
        <f t="shared" si="18"/>
        <v>1556.1235390917684</v>
      </c>
      <c r="I32" s="80">
        <f t="shared" si="18"/>
        <v>1197.0181069936682</v>
      </c>
      <c r="J32" s="80">
        <f t="shared" si="18"/>
        <v>920.78315922589877</v>
      </c>
      <c r="K32" s="80">
        <f t="shared" si="18"/>
        <v>708.29473786607582</v>
      </c>
      <c r="L32" s="80">
        <f t="shared" si="18"/>
        <v>544.8421060508274</v>
      </c>
      <c r="M32" s="80">
        <f t="shared" si="18"/>
        <v>419.10931234679055</v>
      </c>
      <c r="N32" s="80">
        <f t="shared" si="18"/>
        <v>322.39177872830049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393.16239276923073</v>
      </c>
      <c r="F33" s="79">
        <f t="shared" si="19"/>
        <v>302.43260982248523</v>
      </c>
      <c r="G33" s="79">
        <f t="shared" si="19"/>
        <v>232.64046909421938</v>
      </c>
      <c r="H33" s="79">
        <f t="shared" si="19"/>
        <v>178.95420699555333</v>
      </c>
      <c r="I33" s="79">
        <f t="shared" si="19"/>
        <v>137.65708230427185</v>
      </c>
      <c r="J33" s="79">
        <f t="shared" si="19"/>
        <v>105.89006331097836</v>
      </c>
      <c r="K33" s="79">
        <f t="shared" si="19"/>
        <v>81.45389485459873</v>
      </c>
      <c r="L33" s="79">
        <f t="shared" si="19"/>
        <v>62.656842195845165</v>
      </c>
      <c r="M33" s="79">
        <f t="shared" si="19"/>
        <v>48.19757091988091</v>
      </c>
      <c r="N33" s="79">
        <f t="shared" si="19"/>
        <v>37.075054553754562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641.02564038461537</v>
      </c>
      <c r="F34" s="79">
        <f t="shared" si="20"/>
        <v>493.09664644970422</v>
      </c>
      <c r="G34" s="79">
        <f t="shared" si="20"/>
        <v>379.30511265361855</v>
      </c>
      <c r="H34" s="79">
        <f t="shared" si="20"/>
        <v>291.77316357970653</v>
      </c>
      <c r="I34" s="79">
        <f t="shared" si="20"/>
        <v>224.4408950613128</v>
      </c>
      <c r="J34" s="79">
        <f t="shared" si="20"/>
        <v>172.64684235485603</v>
      </c>
      <c r="K34" s="79">
        <f t="shared" si="20"/>
        <v>132.8052633498892</v>
      </c>
      <c r="L34" s="79">
        <f t="shared" si="20"/>
        <v>102.15789488453015</v>
      </c>
      <c r="M34" s="79">
        <f t="shared" si="20"/>
        <v>78.582996065023224</v>
      </c>
      <c r="N34" s="79">
        <f t="shared" si="20"/>
        <v>60.448458511556339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N35" si="21">$H$27 * E14</f>
        <v>598.29059769230764</v>
      </c>
      <c r="F35" s="79">
        <f t="shared" si="21"/>
        <v>460.22353668639056</v>
      </c>
      <c r="G35" s="79">
        <f t="shared" si="21"/>
        <v>354.01810514337734</v>
      </c>
      <c r="H35" s="79">
        <f t="shared" si="21"/>
        <v>272.32161934105943</v>
      </c>
      <c r="I35" s="79">
        <f t="shared" si="21"/>
        <v>209.47816872389194</v>
      </c>
      <c r="J35" s="79">
        <f t="shared" si="21"/>
        <v>161.13705286453231</v>
      </c>
      <c r="K35" s="79">
        <f t="shared" si="21"/>
        <v>123.95157912656326</v>
      </c>
      <c r="L35" s="79">
        <f t="shared" si="21"/>
        <v>95.347368558894814</v>
      </c>
      <c r="M35" s="79">
        <f t="shared" si="21"/>
        <v>73.344129660688338</v>
      </c>
      <c r="N35" s="79">
        <f t="shared" si="21"/>
        <v>56.418561277452589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ref="E36:E41" si="22">$H$27 * E15</f>
        <v>1632.4786308461537</v>
      </c>
      <c r="F36" s="92">
        <f t="shared" ref="F36:N36" si="23">$H$27 * F15</f>
        <v>1255.7527929585801</v>
      </c>
      <c r="G36" s="92">
        <f t="shared" si="23"/>
        <v>965.96368689121527</v>
      </c>
      <c r="H36" s="92">
        <f t="shared" si="23"/>
        <v>743.04898991631944</v>
      </c>
      <c r="I36" s="92">
        <f t="shared" si="23"/>
        <v>571.57614608947665</v>
      </c>
      <c r="J36" s="92">
        <f t="shared" si="23"/>
        <v>439.67395853036663</v>
      </c>
      <c r="K36" s="92">
        <f t="shared" si="23"/>
        <v>338.21073733105123</v>
      </c>
      <c r="L36" s="92">
        <f t="shared" si="23"/>
        <v>260.16210563927012</v>
      </c>
      <c r="M36" s="92">
        <f t="shared" si="23"/>
        <v>200.12469664559248</v>
      </c>
      <c r="N36" s="92">
        <f t="shared" si="23"/>
        <v>153.9420743427635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2"/>
        <v>3589.7435861538465</v>
      </c>
      <c r="F37" s="79">
        <f t="shared" ref="F37:N37" si="24">$H$27 * F16</f>
        <v>2761.3412201183428</v>
      </c>
      <c r="G37" s="79">
        <f t="shared" si="24"/>
        <v>2124.1086308602653</v>
      </c>
      <c r="H37" s="79">
        <f t="shared" si="24"/>
        <v>1633.929716046357</v>
      </c>
      <c r="I37" s="79">
        <f t="shared" si="24"/>
        <v>1256.8690123433501</v>
      </c>
      <c r="J37" s="79">
        <f t="shared" si="24"/>
        <v>966.82231718719322</v>
      </c>
      <c r="K37" s="79">
        <f t="shared" si="24"/>
        <v>743.70947475938056</v>
      </c>
      <c r="L37" s="79">
        <f t="shared" si="24"/>
        <v>572.08421135336914</v>
      </c>
      <c r="M37" s="79">
        <f t="shared" si="24"/>
        <v>440.06477796412918</v>
      </c>
      <c r="N37" s="79">
        <f t="shared" si="24"/>
        <v>338.51136766471518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2"/>
        <v>189.74358955384619</v>
      </c>
      <c r="F38" s="79">
        <f t="shared" ref="F38:N38" si="25">$H$27 * F17</f>
        <v>181.85404321065093</v>
      </c>
      <c r="G38" s="79">
        <f t="shared" si="25"/>
        <v>175.78516140819303</v>
      </c>
      <c r="H38" s="79">
        <f t="shared" si="25"/>
        <v>171.11679079091772</v>
      </c>
      <c r="I38" s="79">
        <f t="shared" si="25"/>
        <v>167.5257364699367</v>
      </c>
      <c r="J38" s="79">
        <f t="shared" si="25"/>
        <v>164.763386992259</v>
      </c>
      <c r="K38" s="79">
        <f t="shared" si="25"/>
        <v>162.63850277866078</v>
      </c>
      <c r="L38" s="79">
        <f t="shared" si="25"/>
        <v>161.00397646050831</v>
      </c>
      <c r="M38" s="79">
        <f t="shared" si="25"/>
        <v>159.74664852346794</v>
      </c>
      <c r="N38" s="79">
        <f t="shared" si="25"/>
        <v>158.77947318728303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2"/>
        <v>94.871794776923096</v>
      </c>
      <c r="F39" s="79">
        <f t="shared" ref="F39:N39" si="26">$H$27 * F18</f>
        <v>90.927021605325464</v>
      </c>
      <c r="G39" s="79">
        <f t="shared" si="26"/>
        <v>87.892580704096517</v>
      </c>
      <c r="H39" s="79">
        <f t="shared" si="26"/>
        <v>85.558395395458859</v>
      </c>
      <c r="I39" s="79">
        <f t="shared" si="26"/>
        <v>83.762868234968352</v>
      </c>
      <c r="J39" s="79">
        <f t="shared" si="26"/>
        <v>82.3816934961295</v>
      </c>
      <c r="K39" s="79">
        <f t="shared" si="26"/>
        <v>81.31925138933039</v>
      </c>
      <c r="L39" s="79">
        <f t="shared" si="26"/>
        <v>80.501988230254156</v>
      </c>
      <c r="M39" s="79">
        <f t="shared" si="26"/>
        <v>79.87332426173397</v>
      </c>
      <c r="N39" s="79">
        <f t="shared" si="26"/>
        <v>79.389736593641516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2"/>
        <v>3874.3589704846154</v>
      </c>
      <c r="F40" s="89">
        <f t="shared" ref="F40:N40" si="27">$H$27 * F19</f>
        <v>3034.1222849343185</v>
      </c>
      <c r="G40" s="89">
        <f t="shared" si="27"/>
        <v>2387.786372972555</v>
      </c>
      <c r="H40" s="89">
        <f t="shared" si="27"/>
        <v>1890.6049022327336</v>
      </c>
      <c r="I40" s="89">
        <f t="shared" si="27"/>
        <v>1508.1576170482551</v>
      </c>
      <c r="J40" s="89">
        <f t="shared" si="27"/>
        <v>1213.9673976755817</v>
      </c>
      <c r="K40" s="89">
        <f t="shared" si="27"/>
        <v>987.66722892737175</v>
      </c>
      <c r="L40" s="89">
        <f t="shared" si="27"/>
        <v>813.59017604413168</v>
      </c>
      <c r="M40" s="89">
        <f t="shared" si="27"/>
        <v>679.6847507493311</v>
      </c>
      <c r="N40" s="89">
        <f t="shared" si="27"/>
        <v>576.68057744563976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2"/>
        <v>2241.8803396384615</v>
      </c>
      <c r="F41" s="81">
        <f t="shared" ref="F41:N41" si="28">$H$27 * F20</f>
        <v>1778.3694919757384</v>
      </c>
      <c r="G41" s="81">
        <f t="shared" si="28"/>
        <v>1421.8226860813397</v>
      </c>
      <c r="H41" s="81">
        <f t="shared" si="28"/>
        <v>1147.5559123164142</v>
      </c>
      <c r="I41" s="81">
        <f t="shared" si="28"/>
        <v>936.58147095877848</v>
      </c>
      <c r="J41" s="81">
        <f t="shared" si="28"/>
        <v>774.29343914521507</v>
      </c>
      <c r="K41" s="81">
        <f t="shared" si="28"/>
        <v>649.45649159632057</v>
      </c>
      <c r="L41" s="81">
        <f t="shared" si="28"/>
        <v>553.4280704048615</v>
      </c>
      <c r="M41" s="81">
        <f t="shared" si="28"/>
        <v>479.56005410373865</v>
      </c>
      <c r="N41" s="81">
        <f t="shared" si="28"/>
        <v>422.73850310287622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6:B20"/>
    <mergeCell ref="B21:B24"/>
    <mergeCell ref="C26:C27"/>
    <mergeCell ref="E26:F26"/>
    <mergeCell ref="B37:B41"/>
    <mergeCell ref="K26:K27"/>
    <mergeCell ref="L26:L27"/>
    <mergeCell ref="B12:B15"/>
    <mergeCell ref="B33:B36"/>
    <mergeCell ref="H26:I26"/>
    <mergeCell ref="E27:F27"/>
    <mergeCell ref="H27:I27"/>
    <mergeCell ref="B31:B32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A393-0DC2-45D1-A4A8-08B1EF2D5CD6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5.75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f>SHARED_VARIABLES!H5</f>
        <v>0.3</v>
      </c>
      <c r="F3" s="137"/>
      <c r="G3" s="55"/>
      <c r="H3" s="139">
        <f>SHARED_VARIABLES!L5</f>
        <v>0.01</v>
      </c>
      <c r="I3" s="139"/>
      <c r="J3" s="54"/>
      <c r="K3" s="139">
        <f>SHARED_VARIABLES!P5</f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f>SHARED_VARIABLES!H8</f>
        <v>0.115</v>
      </c>
      <c r="F6" s="137"/>
      <c r="G6" s="55"/>
      <c r="H6" s="137">
        <f>SHARED_VARIABLES!L8</f>
        <v>7.4999999999999997E-2</v>
      </c>
      <c r="I6" s="137"/>
      <c r="J6" s="55"/>
      <c r="K6" s="137">
        <f>SHARED_VARIABLES!P8</f>
        <v>0.05</v>
      </c>
      <c r="L6" s="137"/>
      <c r="N6" s="56">
        <f>SHARED_VARIABLES!R12</f>
        <v>3</v>
      </c>
    </row>
    <row r="7" spans="1:14" ht="5.75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0.17307692307692304</v>
      </c>
      <c r="F13" s="67">
        <f t="shared" si="4"/>
        <v>0.1331360946745562</v>
      </c>
      <c r="G13" s="67">
        <f t="shared" si="4"/>
        <v>0.10241238051888937</v>
      </c>
      <c r="H13" s="67">
        <f t="shared" si="4"/>
        <v>7.8778754245299509E-2</v>
      </c>
      <c r="I13" s="67">
        <f t="shared" si="4"/>
        <v>6.059904172715349E-2</v>
      </c>
      <c r="J13" s="67">
        <f t="shared" si="4"/>
        <v>4.6614647482425768E-2</v>
      </c>
      <c r="K13" s="67">
        <f t="shared" si="4"/>
        <v>3.58574211403275E-2</v>
      </c>
      <c r="L13" s="67">
        <f t="shared" si="4"/>
        <v>2.7582631646405766E-2</v>
      </c>
      <c r="M13" s="67">
        <f t="shared" si="4"/>
        <v>2.1217408958773675E-2</v>
      </c>
      <c r="N13" s="67">
        <f t="shared" si="4"/>
        <v>1.6321083814441292E-2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0.15384615384615385</v>
      </c>
      <c r="F14" s="67">
        <f t="shared" si="5"/>
        <v>0.11834319526627221</v>
      </c>
      <c r="G14" s="67">
        <f t="shared" si="5"/>
        <v>9.1033227127901684E-2</v>
      </c>
      <c r="H14" s="67">
        <f t="shared" si="5"/>
        <v>7.0025559329155135E-2</v>
      </c>
      <c r="I14" s="67">
        <f t="shared" si="5"/>
        <v>5.3865814868580893E-2</v>
      </c>
      <c r="J14" s="67">
        <f t="shared" si="5"/>
        <v>4.1435242206600692E-2</v>
      </c>
      <c r="K14" s="67">
        <f t="shared" si="5"/>
        <v>3.1873263235846674E-2</v>
      </c>
      <c r="L14" s="67">
        <f t="shared" si="5"/>
        <v>2.4517894796805134E-2</v>
      </c>
      <c r="M14" s="67">
        <f t="shared" si="5"/>
        <v>1.8859919074465492E-2</v>
      </c>
      <c r="N14" s="67">
        <f t="shared" si="5"/>
        <v>1.4507630057281153E-2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0.41538461538461535</v>
      </c>
      <c r="F15" s="91">
        <f t="shared" ref="F15:N15" si="6">SUM(F12:F14)</f>
        <v>0.31952662721893488</v>
      </c>
      <c r="G15" s="91">
        <f t="shared" si="6"/>
        <v>0.24578971324533452</v>
      </c>
      <c r="H15" s="91">
        <f t="shared" si="6"/>
        <v>0.18906901018871886</v>
      </c>
      <c r="I15" s="91">
        <f t="shared" si="6"/>
        <v>0.14543770014516838</v>
      </c>
      <c r="J15" s="91">
        <f t="shared" si="6"/>
        <v>0.11187515395782185</v>
      </c>
      <c r="K15" s="91">
        <f t="shared" si="6"/>
        <v>8.6057810736786006E-2</v>
      </c>
      <c r="L15" s="91">
        <f t="shared" si="6"/>
        <v>6.6198315951373848E-2</v>
      </c>
      <c r="M15" s="91">
        <f t="shared" si="6"/>
        <v>5.0921781501056827E-2</v>
      </c>
      <c r="N15" s="91">
        <f t="shared" si="6"/>
        <v>3.9170601154659104E-2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0.92307692307692313</v>
      </c>
      <c r="F16" s="70">
        <f>(F10 - E10) * (1 + $N$6)</f>
        <v>0.71005917159763299</v>
      </c>
      <c r="G16" s="70">
        <f t="shared" ref="G16:N16" si="7">(G10 - F10) * (1 + $N$6)</f>
        <v>0.54619936276741043</v>
      </c>
      <c r="H16" s="70">
        <f t="shared" si="7"/>
        <v>0.42015335597493086</v>
      </c>
      <c r="I16" s="70">
        <f t="shared" si="7"/>
        <v>0.32319488921148487</v>
      </c>
      <c r="J16" s="70">
        <f t="shared" si="7"/>
        <v>0.24861145323960399</v>
      </c>
      <c r="K16" s="70">
        <f t="shared" si="7"/>
        <v>0.1912395794150803</v>
      </c>
      <c r="L16" s="70">
        <f t="shared" si="7"/>
        <v>0.14710736878083086</v>
      </c>
      <c r="M16" s="70">
        <f t="shared" si="7"/>
        <v>0.11315951444679273</v>
      </c>
      <c r="N16" s="70">
        <f t="shared" si="7"/>
        <v>8.7045780343686818E-2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4.7692307692307694E-2</v>
      </c>
      <c r="F17" s="67">
        <f t="shared" si="8"/>
        <v>4.5917159763313613E-2</v>
      </c>
      <c r="G17" s="67">
        <f t="shared" si="8"/>
        <v>4.4551661356395086E-2</v>
      </c>
      <c r="H17" s="67">
        <f t="shared" si="8"/>
        <v>4.3501277966457759E-2</v>
      </c>
      <c r="I17" s="67">
        <f t="shared" si="8"/>
        <v>4.2693290743429042E-2</v>
      </c>
      <c r="J17" s="67">
        <f t="shared" si="8"/>
        <v>4.2071762110330035E-2</v>
      </c>
      <c r="K17" s="67">
        <f t="shared" si="8"/>
        <v>4.1593663161792332E-2</v>
      </c>
      <c r="L17" s="67">
        <f t="shared" si="8"/>
        <v>4.1225894739840258E-2</v>
      </c>
      <c r="M17" s="67">
        <f t="shared" si="8"/>
        <v>4.0942995953723277E-2</v>
      </c>
      <c r="N17" s="67">
        <f t="shared" si="8"/>
        <v>4.0725381502864061E-2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2.3846153846153847E-2</v>
      </c>
      <c r="F18" s="67">
        <f t="shared" si="9"/>
        <v>2.2958579881656806E-2</v>
      </c>
      <c r="G18" s="67">
        <f t="shared" si="9"/>
        <v>2.2275830678197543E-2</v>
      </c>
      <c r="H18" s="67">
        <f t="shared" si="9"/>
        <v>2.1750638983228879E-2</v>
      </c>
      <c r="I18" s="67">
        <f t="shared" si="9"/>
        <v>2.1346645371714521E-2</v>
      </c>
      <c r="J18" s="67">
        <f t="shared" si="9"/>
        <v>2.1035881055165018E-2</v>
      </c>
      <c r="K18" s="67">
        <f t="shared" si="9"/>
        <v>2.0796831580896166E-2</v>
      </c>
      <c r="L18" s="67">
        <f t="shared" si="9"/>
        <v>2.0612947369920129E-2</v>
      </c>
      <c r="M18" s="67">
        <f t="shared" si="9"/>
        <v>2.0471497976861638E-2</v>
      </c>
      <c r="N18" s="67">
        <f t="shared" si="9"/>
        <v>2.036269075143203E-2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0.99461538461538468</v>
      </c>
      <c r="F19" s="88">
        <f t="shared" ref="F19:N19" si="10">SUM(F16:F18)</f>
        <v>0.77893491124260339</v>
      </c>
      <c r="G19" s="88">
        <f t="shared" si="10"/>
        <v>0.61302685480200303</v>
      </c>
      <c r="H19" s="88">
        <f t="shared" si="10"/>
        <v>0.48540527292461749</v>
      </c>
      <c r="I19" s="88">
        <f t="shared" si="10"/>
        <v>0.38723482532662845</v>
      </c>
      <c r="J19" s="88">
        <f t="shared" si="10"/>
        <v>0.31171909640509904</v>
      </c>
      <c r="K19" s="88">
        <f t="shared" si="10"/>
        <v>0.25363007415776878</v>
      </c>
      <c r="L19" s="88">
        <f t="shared" si="10"/>
        <v>0.20894621089059123</v>
      </c>
      <c r="M19" s="88">
        <f t="shared" si="10"/>
        <v>0.17457400837737763</v>
      </c>
      <c r="N19" s="88">
        <f t="shared" si="10"/>
        <v>0.1481338525979829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0.57923076923076933</v>
      </c>
      <c r="F20" s="87">
        <f t="shared" ref="F20:N20" si="11">F19 - F15</f>
        <v>0.45940828402366851</v>
      </c>
      <c r="G20" s="87">
        <f t="shared" si="11"/>
        <v>0.36723714155666853</v>
      </c>
      <c r="H20" s="87">
        <f t="shared" si="11"/>
        <v>0.29633626273589864</v>
      </c>
      <c r="I20" s="87">
        <f t="shared" si="11"/>
        <v>0.24179712518146007</v>
      </c>
      <c r="J20" s="87">
        <f t="shared" si="11"/>
        <v>0.19984394244727718</v>
      </c>
      <c r="K20" s="87">
        <f t="shared" si="11"/>
        <v>0.16757226342098278</v>
      </c>
      <c r="L20" s="87">
        <f t="shared" si="11"/>
        <v>0.14274789493921738</v>
      </c>
      <c r="M20" s="87">
        <f t="shared" si="11"/>
        <v>0.1236522268763208</v>
      </c>
      <c r="N20" s="87">
        <f t="shared" si="11"/>
        <v>0.10896325144332379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1">
        <f>E14 * ($C21 / (2 + $N$6))</f>
        <v>615.38461538461547</v>
      </c>
      <c r="F21" s="71">
        <f t="shared" ref="F21:N21" si="12">F14 * ($C21 / (2 + $N$6))</f>
        <v>473.37278106508882</v>
      </c>
      <c r="G21" s="71">
        <f t="shared" si="12"/>
        <v>364.13290851160673</v>
      </c>
      <c r="H21" s="71">
        <f t="shared" si="12"/>
        <v>280.10223731662052</v>
      </c>
      <c r="I21" s="71">
        <f t="shared" si="12"/>
        <v>215.46325947432356</v>
      </c>
      <c r="J21" s="71">
        <f t="shared" si="12"/>
        <v>165.74096882640276</v>
      </c>
      <c r="K21" s="71">
        <f t="shared" si="12"/>
        <v>127.4930529433867</v>
      </c>
      <c r="L21" s="71">
        <f t="shared" si="12"/>
        <v>98.071579187220536</v>
      </c>
      <c r="M21" s="71">
        <f t="shared" si="12"/>
        <v>75.439676297861965</v>
      </c>
      <c r="N21" s="71">
        <f t="shared" si="12"/>
        <v>58.030520229124612</v>
      </c>
    </row>
    <row r="22" spans="1:14" ht="37.5" customHeight="1" x14ac:dyDescent="0.45">
      <c r="A22" s="62"/>
      <c r="B22" s="106"/>
      <c r="C22" s="59">
        <v>400000</v>
      </c>
      <c r="D22" s="57"/>
      <c r="E22" s="72">
        <f>E14 * ($C22 / (2 + $N$6))</f>
        <v>12307.692307692309</v>
      </c>
      <c r="F22" s="72">
        <f t="shared" ref="F22:N22" si="13">F14 * ($C22 / (2 + $N$6))</f>
        <v>9467.4556213017768</v>
      </c>
      <c r="G22" s="72">
        <f t="shared" si="13"/>
        <v>7282.6581702321346</v>
      </c>
      <c r="H22" s="72">
        <f t="shared" si="13"/>
        <v>5602.0447463324108</v>
      </c>
      <c r="I22" s="72">
        <f t="shared" si="13"/>
        <v>4309.2651894864712</v>
      </c>
      <c r="J22" s="72">
        <f t="shared" si="13"/>
        <v>3314.8193765280553</v>
      </c>
      <c r="K22" s="72">
        <f t="shared" si="13"/>
        <v>2549.8610588677338</v>
      </c>
      <c r="L22" s="72">
        <f t="shared" si="13"/>
        <v>1961.4315837444108</v>
      </c>
      <c r="M22" s="72">
        <f t="shared" si="13"/>
        <v>1508.7935259572394</v>
      </c>
      <c r="N22" s="72">
        <f t="shared" si="13"/>
        <v>1160.6104045824923</v>
      </c>
    </row>
    <row r="23" spans="1:14" ht="37.5" customHeight="1" x14ac:dyDescent="0.45">
      <c r="A23" s="62"/>
      <c r="B23" s="106"/>
      <c r="C23" s="90">
        <v>1000000</v>
      </c>
      <c r="D23" s="57"/>
      <c r="E23" s="72">
        <f>E14 * ($C23 / (2 + $N$6))</f>
        <v>30769.23076923077</v>
      </c>
      <c r="F23" s="72">
        <f t="shared" ref="F23:N23" si="14">F14 * ($C23 / (2 + $N$6))</f>
        <v>23668.639053254443</v>
      </c>
      <c r="G23" s="72">
        <f t="shared" si="14"/>
        <v>18206.645425580336</v>
      </c>
      <c r="H23" s="72">
        <f t="shared" si="14"/>
        <v>14005.111865831026</v>
      </c>
      <c r="I23" s="72">
        <f t="shared" si="14"/>
        <v>10773.162973716178</v>
      </c>
      <c r="J23" s="72">
        <f t="shared" si="14"/>
        <v>8287.0484413201375</v>
      </c>
      <c r="K23" s="72">
        <f t="shared" si="14"/>
        <v>6374.6526471693351</v>
      </c>
      <c r="L23" s="72">
        <f t="shared" si="14"/>
        <v>4903.578959361027</v>
      </c>
      <c r="M23" s="72">
        <f t="shared" si="14"/>
        <v>3771.9838148930985</v>
      </c>
      <c r="N23" s="72">
        <f t="shared" si="14"/>
        <v>2901.5260114562307</v>
      </c>
    </row>
    <row r="24" spans="1:14" ht="37.5" customHeight="1" thickBot="1" x14ac:dyDescent="0.5">
      <c r="A24" s="62"/>
      <c r="B24" s="107"/>
      <c r="C24" s="60">
        <v>2100000</v>
      </c>
      <c r="D24" s="68"/>
      <c r="E24" s="73">
        <f>E14 * ($C24 / (2 + $N$6))</f>
        <v>64615.384615384617</v>
      </c>
      <c r="F24" s="73">
        <f t="shared" ref="F24:N24" si="15">F14 * ($C24 / (2 + $N$6))</f>
        <v>49704.14201183433</v>
      </c>
      <c r="G24" s="73">
        <f t="shared" si="15"/>
        <v>38233.955393718708</v>
      </c>
      <c r="H24" s="73">
        <f t="shared" si="15"/>
        <v>29410.734918245158</v>
      </c>
      <c r="I24" s="73">
        <f t="shared" si="15"/>
        <v>22623.642244803974</v>
      </c>
      <c r="J24" s="73">
        <f t="shared" si="15"/>
        <v>17402.80172677229</v>
      </c>
      <c r="K24" s="73">
        <f t="shared" si="15"/>
        <v>13386.770559055603</v>
      </c>
      <c r="L24" s="73">
        <f t="shared" si="15"/>
        <v>10297.515814658156</v>
      </c>
      <c r="M24" s="73">
        <f t="shared" si="15"/>
        <v>7921.1660112755071</v>
      </c>
      <c r="N24" s="73">
        <f t="shared" si="15"/>
        <v>6093.2046240580839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20000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4000</v>
      </c>
      <c r="I27" s="134"/>
      <c r="J27" s="54"/>
      <c r="K27" s="130"/>
      <c r="L27" s="132"/>
      <c r="N27" s="84"/>
    </row>
    <row r="28" spans="1:14" ht="16.899999999999999" customHeight="1" x14ac:dyDescent="0.45">
      <c r="B28" s="77"/>
      <c r="C28" s="2"/>
      <c r="E28" s="2"/>
      <c r="F28" s="2"/>
      <c r="G28" s="2"/>
      <c r="H28" s="2"/>
      <c r="I28" s="2"/>
      <c r="J28" s="85"/>
      <c r="L28" s="84"/>
      <c r="N28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923.07692307692309</v>
      </c>
      <c r="F31" s="79">
        <f t="shared" si="17"/>
        <v>1633.136094674556</v>
      </c>
      <c r="G31" s="79">
        <f t="shared" si="17"/>
        <v>2179.3354574419664</v>
      </c>
      <c r="H31" s="79">
        <f t="shared" si="17"/>
        <v>2599.4888134168973</v>
      </c>
      <c r="I31" s="79">
        <f t="shared" si="17"/>
        <v>2922.6837026283824</v>
      </c>
      <c r="J31" s="79">
        <f t="shared" si="17"/>
        <v>3171.2951558679861</v>
      </c>
      <c r="K31" s="79">
        <f t="shared" si="17"/>
        <v>3362.5347352830668</v>
      </c>
      <c r="L31" s="79">
        <f t="shared" si="17"/>
        <v>3509.6421040638975</v>
      </c>
      <c r="M31" s="79">
        <f t="shared" si="17"/>
        <v>3622.8016185106903</v>
      </c>
      <c r="N31" s="79">
        <f t="shared" si="17"/>
        <v>3709.8473988543769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3076.9230769230767</v>
      </c>
      <c r="F32" s="80">
        <f t="shared" si="18"/>
        <v>2366.8639053254437</v>
      </c>
      <c r="G32" s="80">
        <f t="shared" si="18"/>
        <v>1820.6645425580334</v>
      </c>
      <c r="H32" s="80">
        <f t="shared" si="18"/>
        <v>1400.5111865831027</v>
      </c>
      <c r="I32" s="80">
        <f t="shared" si="18"/>
        <v>1077.3162973716178</v>
      </c>
      <c r="J32" s="80">
        <f t="shared" si="18"/>
        <v>828.7048441320137</v>
      </c>
      <c r="K32" s="80">
        <f t="shared" si="18"/>
        <v>637.46526471693346</v>
      </c>
      <c r="L32" s="80">
        <f t="shared" si="18"/>
        <v>490.35789593610258</v>
      </c>
      <c r="M32" s="80">
        <f t="shared" si="18"/>
        <v>377.19838148930984</v>
      </c>
      <c r="N32" s="80">
        <f t="shared" si="18"/>
        <v>290.15260114562301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353.84615384615381</v>
      </c>
      <c r="F33" s="79">
        <f t="shared" si="19"/>
        <v>272.18934911242604</v>
      </c>
      <c r="G33" s="79">
        <f t="shared" si="19"/>
        <v>209.37642239417386</v>
      </c>
      <c r="H33" s="79">
        <f t="shared" si="19"/>
        <v>161.05878645705678</v>
      </c>
      <c r="I33" s="79">
        <f t="shared" si="19"/>
        <v>123.89137419773604</v>
      </c>
      <c r="J33" s="79">
        <f t="shared" si="19"/>
        <v>95.301057075181575</v>
      </c>
      <c r="K33" s="79">
        <f t="shared" si="19"/>
        <v>73.308505442447355</v>
      </c>
      <c r="L33" s="79">
        <f t="shared" si="19"/>
        <v>56.391158032651802</v>
      </c>
      <c r="M33" s="79">
        <f t="shared" si="19"/>
        <v>43.377813871270632</v>
      </c>
      <c r="N33" s="79">
        <f t="shared" si="19"/>
        <v>33.367549131746649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692.30769230769215</v>
      </c>
      <c r="F34" s="79">
        <f t="shared" si="20"/>
        <v>532.54437869822482</v>
      </c>
      <c r="G34" s="79">
        <f t="shared" si="20"/>
        <v>409.64952207555751</v>
      </c>
      <c r="H34" s="79">
        <f t="shared" si="20"/>
        <v>315.11501698119804</v>
      </c>
      <c r="I34" s="79">
        <f t="shared" si="20"/>
        <v>242.39616690861396</v>
      </c>
      <c r="J34" s="79">
        <f t="shared" si="20"/>
        <v>186.45858992970307</v>
      </c>
      <c r="K34" s="79">
        <f t="shared" si="20"/>
        <v>143.42968456131001</v>
      </c>
      <c r="L34" s="79">
        <f t="shared" si="20"/>
        <v>110.33052658562306</v>
      </c>
      <c r="M34" s="79">
        <f t="shared" si="20"/>
        <v>84.869635835094698</v>
      </c>
      <c r="N34" s="79">
        <f t="shared" si="20"/>
        <v>65.284335257765164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N35" si="21">$H$27 * E14</f>
        <v>615.38461538461547</v>
      </c>
      <c r="F35" s="79">
        <f t="shared" si="21"/>
        <v>473.37278106508882</v>
      </c>
      <c r="G35" s="79">
        <f t="shared" si="21"/>
        <v>364.13290851160673</v>
      </c>
      <c r="H35" s="79">
        <f t="shared" si="21"/>
        <v>280.10223731662052</v>
      </c>
      <c r="I35" s="79">
        <f t="shared" si="21"/>
        <v>215.46325947432356</v>
      </c>
      <c r="J35" s="79">
        <f t="shared" si="21"/>
        <v>165.74096882640276</v>
      </c>
      <c r="K35" s="79">
        <f t="shared" si="21"/>
        <v>127.4930529433867</v>
      </c>
      <c r="L35" s="79">
        <f t="shared" si="21"/>
        <v>98.071579187220536</v>
      </c>
      <c r="M35" s="79">
        <f t="shared" si="21"/>
        <v>75.439676297861965</v>
      </c>
      <c r="N35" s="79">
        <f t="shared" si="21"/>
        <v>58.030520229124612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ref="E36:E41" si="22">$H$27 * E15</f>
        <v>1661.5384615384614</v>
      </c>
      <c r="F36" s="92">
        <f t="shared" ref="F36:N36" si="23">$H$27 * F15</f>
        <v>1278.1065088757396</v>
      </c>
      <c r="G36" s="92">
        <f t="shared" si="23"/>
        <v>983.1588529813381</v>
      </c>
      <c r="H36" s="92">
        <f t="shared" si="23"/>
        <v>756.27604075487545</v>
      </c>
      <c r="I36" s="92">
        <f t="shared" si="23"/>
        <v>581.75080058067351</v>
      </c>
      <c r="J36" s="92">
        <f t="shared" si="23"/>
        <v>447.5006158312874</v>
      </c>
      <c r="K36" s="92">
        <f t="shared" si="23"/>
        <v>344.23124294714404</v>
      </c>
      <c r="L36" s="92">
        <f t="shared" si="23"/>
        <v>264.79326380549537</v>
      </c>
      <c r="M36" s="92">
        <f t="shared" si="23"/>
        <v>203.68712600422731</v>
      </c>
      <c r="N36" s="92">
        <f t="shared" si="23"/>
        <v>156.68240461863641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2"/>
        <v>3692.3076923076924</v>
      </c>
      <c r="F37" s="79">
        <f t="shared" ref="F37:N37" si="24">$H$27 * F16</f>
        <v>2840.2366863905318</v>
      </c>
      <c r="G37" s="79">
        <f t="shared" si="24"/>
        <v>2184.7974510696417</v>
      </c>
      <c r="H37" s="79">
        <f t="shared" si="24"/>
        <v>1680.6134238997236</v>
      </c>
      <c r="I37" s="79">
        <f t="shared" si="24"/>
        <v>1292.7795568459394</v>
      </c>
      <c r="J37" s="79">
        <f t="shared" si="24"/>
        <v>994.4458129584159</v>
      </c>
      <c r="K37" s="79">
        <f t="shared" si="24"/>
        <v>764.9583176603212</v>
      </c>
      <c r="L37" s="79">
        <f t="shared" si="24"/>
        <v>588.42947512332341</v>
      </c>
      <c r="M37" s="79">
        <f t="shared" si="24"/>
        <v>452.63805778717091</v>
      </c>
      <c r="N37" s="79">
        <f t="shared" si="24"/>
        <v>348.18312137474726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2"/>
        <v>190.76923076923077</v>
      </c>
      <c r="F38" s="79">
        <f t="shared" ref="F38:N38" si="25">$H$27 * F17</f>
        <v>183.66863905325445</v>
      </c>
      <c r="G38" s="79">
        <f t="shared" si="25"/>
        <v>178.20664542558035</v>
      </c>
      <c r="H38" s="79">
        <f t="shared" si="25"/>
        <v>174.00511186583103</v>
      </c>
      <c r="I38" s="79">
        <f t="shared" si="25"/>
        <v>170.77316297371618</v>
      </c>
      <c r="J38" s="79">
        <f t="shared" si="25"/>
        <v>168.28704844132014</v>
      </c>
      <c r="K38" s="79">
        <f t="shared" si="25"/>
        <v>166.37465264716934</v>
      </c>
      <c r="L38" s="79">
        <f t="shared" si="25"/>
        <v>164.90357895936103</v>
      </c>
      <c r="M38" s="79">
        <f t="shared" si="25"/>
        <v>163.7719838148931</v>
      </c>
      <c r="N38" s="79">
        <f t="shared" si="25"/>
        <v>162.90152601145624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2"/>
        <v>95.384615384615387</v>
      </c>
      <c r="F39" s="79">
        <f t="shared" ref="F39:N39" si="26">$H$27 * F18</f>
        <v>91.834319526627226</v>
      </c>
      <c r="G39" s="79">
        <f t="shared" si="26"/>
        <v>89.103322712790174</v>
      </c>
      <c r="H39" s="79">
        <f t="shared" si="26"/>
        <v>87.002555932915513</v>
      </c>
      <c r="I39" s="79">
        <f t="shared" si="26"/>
        <v>85.386581486858091</v>
      </c>
      <c r="J39" s="79">
        <f t="shared" si="26"/>
        <v>84.143524220660069</v>
      </c>
      <c r="K39" s="79">
        <f t="shared" si="26"/>
        <v>83.187326323584671</v>
      </c>
      <c r="L39" s="79">
        <f t="shared" si="26"/>
        <v>82.451789479680514</v>
      </c>
      <c r="M39" s="79">
        <f t="shared" si="26"/>
        <v>81.885991907446552</v>
      </c>
      <c r="N39" s="79">
        <f t="shared" si="26"/>
        <v>81.45076300572812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2"/>
        <v>3978.4615384615386</v>
      </c>
      <c r="F40" s="89">
        <f t="shared" ref="F40:N40" si="27">$H$27 * F19</f>
        <v>3115.7396449704133</v>
      </c>
      <c r="G40" s="89">
        <f t="shared" si="27"/>
        <v>2452.1074192080123</v>
      </c>
      <c r="H40" s="89">
        <f t="shared" si="27"/>
        <v>1941.6210916984701</v>
      </c>
      <c r="I40" s="89">
        <f t="shared" si="27"/>
        <v>1548.9393013065137</v>
      </c>
      <c r="J40" s="89">
        <f t="shared" si="27"/>
        <v>1246.8763856203961</v>
      </c>
      <c r="K40" s="89">
        <f t="shared" si="27"/>
        <v>1014.5202966310751</v>
      </c>
      <c r="L40" s="89">
        <f t="shared" si="27"/>
        <v>835.78484356236493</v>
      </c>
      <c r="M40" s="89">
        <f t="shared" si="27"/>
        <v>698.29603350951049</v>
      </c>
      <c r="N40" s="89">
        <f t="shared" si="27"/>
        <v>592.53541039193158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2"/>
        <v>2316.9230769230771</v>
      </c>
      <c r="F41" s="81">
        <f t="shared" ref="F41:N41" si="28">$H$27 * F20</f>
        <v>1837.633136094674</v>
      </c>
      <c r="G41" s="81">
        <f t="shared" si="28"/>
        <v>1468.9485662266741</v>
      </c>
      <c r="H41" s="81">
        <f t="shared" si="28"/>
        <v>1185.3450509435945</v>
      </c>
      <c r="I41" s="81">
        <f t="shared" si="28"/>
        <v>967.1885007258403</v>
      </c>
      <c r="J41" s="81">
        <f t="shared" si="28"/>
        <v>799.37576978910874</v>
      </c>
      <c r="K41" s="81">
        <f t="shared" si="28"/>
        <v>670.28905368393112</v>
      </c>
      <c r="L41" s="81">
        <f t="shared" si="28"/>
        <v>570.99157975686956</v>
      </c>
      <c r="M41" s="81">
        <f t="shared" si="28"/>
        <v>494.60890750528318</v>
      </c>
      <c r="N41" s="81">
        <f t="shared" si="28"/>
        <v>435.85300577329514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6:B20"/>
    <mergeCell ref="B21:B24"/>
    <mergeCell ref="C26:C27"/>
    <mergeCell ref="E26:F26"/>
    <mergeCell ref="B37:B41"/>
    <mergeCell ref="K26:K27"/>
    <mergeCell ref="L26:L27"/>
    <mergeCell ref="B12:B15"/>
    <mergeCell ref="B33:B36"/>
    <mergeCell ref="H26:I26"/>
    <mergeCell ref="E27:F27"/>
    <mergeCell ref="H27:I27"/>
    <mergeCell ref="B31:B32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9A21-FBFF-4420-BE51-F9B386929381}">
  <dimension ref="A1:N41"/>
  <sheetViews>
    <sheetView zoomScale="85" zoomScaleNormal="85" workbookViewId="0">
      <selection activeCell="P2" sqref="P2"/>
    </sheetView>
  </sheetViews>
  <sheetFormatPr defaultColWidth="9" defaultRowHeight="15" customHeight="1" x14ac:dyDescent="0.45"/>
  <cols>
    <col min="1" max="1" width="1.73046875" style="61" customWidth="1"/>
    <col min="2" max="2" width="49.19921875" style="61" bestFit="1" customWidth="1"/>
    <col min="3" max="3" width="52.33203125" style="61" bestFit="1" customWidth="1"/>
    <col min="4" max="4" width="2" style="61" customWidth="1"/>
    <col min="5" max="14" width="18.33203125" style="61" customWidth="1"/>
    <col min="15" max="16384" width="9" style="61"/>
  </cols>
  <sheetData>
    <row r="1" spans="1:14" ht="6" customHeight="1" x14ac:dyDescent="0.45"/>
    <row r="2" spans="1:14" ht="31.5" customHeight="1" x14ac:dyDescent="0.85">
      <c r="B2" s="118" t="s">
        <v>16</v>
      </c>
      <c r="C2" s="108" t="s">
        <v>28</v>
      </c>
      <c r="E2" s="125" t="s">
        <v>5</v>
      </c>
      <c r="F2" s="125"/>
      <c r="G2" s="53"/>
      <c r="H2" s="125" t="s">
        <v>4</v>
      </c>
      <c r="I2" s="125"/>
      <c r="J2" s="53"/>
      <c r="K2" s="112" t="s">
        <v>3</v>
      </c>
      <c r="L2" s="125"/>
      <c r="N2" s="138" t="s">
        <v>54</v>
      </c>
    </row>
    <row r="3" spans="1:14" ht="37.5" customHeight="1" thickBot="1" x14ac:dyDescent="0.5">
      <c r="B3" s="118"/>
      <c r="C3" s="120"/>
      <c r="E3" s="137">
        <v>0.3</v>
      </c>
      <c r="F3" s="137"/>
      <c r="G3" s="55"/>
      <c r="H3" s="139">
        <v>0.01</v>
      </c>
      <c r="I3" s="139"/>
      <c r="J3" s="54"/>
      <c r="K3" s="139">
        <v>5.0000000000000001E-3</v>
      </c>
      <c r="L3" s="139"/>
      <c r="N3" s="138"/>
    </row>
    <row r="4" spans="1:14" ht="16.899999999999999" customHeight="1" x14ac:dyDescent="0.45">
      <c r="B4" s="118"/>
      <c r="C4" s="2"/>
      <c r="E4" s="2"/>
      <c r="F4" s="2"/>
      <c r="G4" s="2"/>
      <c r="H4" s="2"/>
      <c r="I4" s="2"/>
      <c r="J4" s="2"/>
      <c r="K4" s="2"/>
      <c r="L4" s="2"/>
      <c r="N4" s="138"/>
    </row>
    <row r="5" spans="1:14" ht="31.5" customHeight="1" x14ac:dyDescent="0.85">
      <c r="B5" s="118"/>
      <c r="C5" s="108" t="s">
        <v>29</v>
      </c>
      <c r="E5" s="125" t="s">
        <v>15</v>
      </c>
      <c r="F5" s="125"/>
      <c r="G5" s="53"/>
      <c r="H5" s="125" t="s">
        <v>8</v>
      </c>
      <c r="I5" s="125"/>
      <c r="J5" s="53"/>
      <c r="K5" s="112" t="s">
        <v>2</v>
      </c>
      <c r="L5" s="125"/>
      <c r="N5" s="138"/>
    </row>
    <row r="6" spans="1:14" ht="37.5" customHeight="1" thickBot="1" x14ac:dyDescent="0.5">
      <c r="B6" s="118"/>
      <c r="C6" s="120"/>
      <c r="E6" s="137">
        <v>0.115</v>
      </c>
      <c r="F6" s="137"/>
      <c r="G6" s="55"/>
      <c r="H6" s="137">
        <v>7.4999999999999997E-2</v>
      </c>
      <c r="I6" s="137"/>
      <c r="J6" s="55"/>
      <c r="K6" s="137">
        <v>0.05</v>
      </c>
      <c r="L6" s="137"/>
      <c r="N6" s="56">
        <v>0</v>
      </c>
    </row>
    <row r="7" spans="1:14" ht="6" customHeight="1" x14ac:dyDescent="0.45"/>
    <row r="8" spans="1:14" ht="37.5" customHeight="1" thickBot="1" x14ac:dyDescent="0.5">
      <c r="A8" s="62"/>
      <c r="B8" s="63"/>
      <c r="C8" s="64"/>
      <c r="D8" s="64"/>
      <c r="E8" s="65" t="s">
        <v>43</v>
      </c>
      <c r="F8" s="65" t="s">
        <v>44</v>
      </c>
      <c r="G8" s="65" t="s">
        <v>45</v>
      </c>
      <c r="H8" s="65" t="s">
        <v>46</v>
      </c>
      <c r="I8" s="65" t="s">
        <v>47</v>
      </c>
      <c r="J8" s="65" t="s">
        <v>48</v>
      </c>
      <c r="K8" s="65" t="s">
        <v>49</v>
      </c>
      <c r="L8" s="65" t="s">
        <v>50</v>
      </c>
      <c r="M8" s="65" t="s">
        <v>51</v>
      </c>
      <c r="N8" s="65" t="s">
        <v>52</v>
      </c>
    </row>
    <row r="9" spans="1:14" ht="37.5" customHeight="1" thickBot="1" x14ac:dyDescent="0.5">
      <c r="A9" s="62"/>
      <c r="B9" s="74" t="s">
        <v>60</v>
      </c>
      <c r="C9" s="75" t="s">
        <v>55</v>
      </c>
      <c r="D9" s="75"/>
      <c r="E9" s="76">
        <f>$E$3</f>
        <v>0.3</v>
      </c>
      <c r="F9" s="76">
        <f>$E$3 + (E9 * $E$3) + E9</f>
        <v>0.69</v>
      </c>
      <c r="G9" s="76">
        <f t="shared" ref="G9:N9" si="0">$E$3 + (F9 * $E$3) + F9</f>
        <v>1.1970000000000001</v>
      </c>
      <c r="H9" s="76">
        <f t="shared" si="0"/>
        <v>1.8561000000000001</v>
      </c>
      <c r="I9" s="76">
        <f t="shared" si="0"/>
        <v>2.7129300000000001</v>
      </c>
      <c r="J9" s="76">
        <f t="shared" si="0"/>
        <v>3.8268089999999999</v>
      </c>
      <c r="K9" s="76">
        <f t="shared" si="0"/>
        <v>5.2748517000000001</v>
      </c>
      <c r="L9" s="76">
        <f t="shared" si="0"/>
        <v>7.1573072099999999</v>
      </c>
      <c r="M9" s="76">
        <f t="shared" si="0"/>
        <v>9.6044993729999995</v>
      </c>
      <c r="N9" s="76">
        <f t="shared" si="0"/>
        <v>12.785849184899998</v>
      </c>
    </row>
    <row r="10" spans="1:14" ht="37.5" customHeight="1" x14ac:dyDescent="0.45">
      <c r="A10" s="62"/>
      <c r="B10" s="135" t="s">
        <v>61</v>
      </c>
      <c r="C10" s="57" t="s">
        <v>56</v>
      </c>
      <c r="D10" s="57"/>
      <c r="E10" s="67">
        <f>((1 + E9) - 1) / (1 + E9)</f>
        <v>0.23076923076923078</v>
      </c>
      <c r="F10" s="67">
        <f>((1 + F9) - 1) / (1 + F9)</f>
        <v>0.40828402366863903</v>
      </c>
      <c r="G10" s="67">
        <f t="shared" ref="G10:N10" si="1">((1 + G9) - 1) / (1 + G9)</f>
        <v>0.54483386436049164</v>
      </c>
      <c r="H10" s="67">
        <f t="shared" si="1"/>
        <v>0.64987220335422435</v>
      </c>
      <c r="I10" s="67">
        <f t="shared" si="1"/>
        <v>0.73067092565709557</v>
      </c>
      <c r="J10" s="67">
        <f t="shared" si="1"/>
        <v>0.79282378896699657</v>
      </c>
      <c r="K10" s="67">
        <f t="shared" si="1"/>
        <v>0.84063368382076664</v>
      </c>
      <c r="L10" s="67">
        <f t="shared" si="1"/>
        <v>0.87741052601597436</v>
      </c>
      <c r="M10" s="67">
        <f t="shared" si="1"/>
        <v>0.90570040462767254</v>
      </c>
      <c r="N10" s="67">
        <f t="shared" si="1"/>
        <v>0.92746184971359424</v>
      </c>
    </row>
    <row r="11" spans="1:14" ht="37.5" customHeight="1" thickBot="1" x14ac:dyDescent="0.5">
      <c r="A11" s="62"/>
      <c r="B11" s="136"/>
      <c r="C11" s="68" t="s">
        <v>57</v>
      </c>
      <c r="D11" s="68"/>
      <c r="E11" s="69">
        <f>1 - E10</f>
        <v>0.76923076923076916</v>
      </c>
      <c r="F11" s="69">
        <f t="shared" ref="F11:N11" si="2">1 - F10</f>
        <v>0.59171597633136097</v>
      </c>
      <c r="G11" s="69">
        <f t="shared" si="2"/>
        <v>0.45516613563950836</v>
      </c>
      <c r="H11" s="69">
        <f t="shared" si="2"/>
        <v>0.35012779664577565</v>
      </c>
      <c r="I11" s="69">
        <f t="shared" si="2"/>
        <v>0.26932907434290443</v>
      </c>
      <c r="J11" s="69">
        <f t="shared" si="2"/>
        <v>0.20717621103300343</v>
      </c>
      <c r="K11" s="69">
        <f t="shared" si="2"/>
        <v>0.15936631617923336</v>
      </c>
      <c r="L11" s="69">
        <f t="shared" si="2"/>
        <v>0.12258947398402564</v>
      </c>
      <c r="M11" s="69">
        <f t="shared" si="2"/>
        <v>9.429959537232746E-2</v>
      </c>
      <c r="N11" s="69">
        <f t="shared" si="2"/>
        <v>7.2538150286405756E-2</v>
      </c>
    </row>
    <row r="12" spans="1:14" ht="37.5" customHeight="1" x14ac:dyDescent="0.45">
      <c r="A12" s="62"/>
      <c r="B12" s="105" t="s">
        <v>58</v>
      </c>
      <c r="C12" s="66" t="s">
        <v>15</v>
      </c>
      <c r="D12" s="66"/>
      <c r="E12" s="70">
        <f t="shared" ref="E12:N12" si="3">$E$6 * E11</f>
        <v>8.8461538461538453E-2</v>
      </c>
      <c r="F12" s="70">
        <f t="shared" si="3"/>
        <v>6.8047337278106509E-2</v>
      </c>
      <c r="G12" s="70">
        <f t="shared" si="3"/>
        <v>5.2344105598543467E-2</v>
      </c>
      <c r="H12" s="70">
        <f t="shared" si="3"/>
        <v>4.0264696614264198E-2</v>
      </c>
      <c r="I12" s="70">
        <f t="shared" si="3"/>
        <v>3.0972843549434012E-2</v>
      </c>
      <c r="J12" s="70">
        <f t="shared" si="3"/>
        <v>2.3825264268795394E-2</v>
      </c>
      <c r="K12" s="70">
        <f t="shared" si="3"/>
        <v>1.8327126360611838E-2</v>
      </c>
      <c r="L12" s="70">
        <f t="shared" si="3"/>
        <v>1.409778950816295E-2</v>
      </c>
      <c r="M12" s="70">
        <f t="shared" si="3"/>
        <v>1.0844453467817658E-2</v>
      </c>
      <c r="N12" s="70">
        <f t="shared" si="3"/>
        <v>8.3418872829366629E-3</v>
      </c>
    </row>
    <row r="13" spans="1:14" ht="37.5" customHeight="1" x14ac:dyDescent="0.45">
      <c r="A13" s="62"/>
      <c r="B13" s="106"/>
      <c r="C13" s="57" t="s">
        <v>8</v>
      </c>
      <c r="D13" s="57"/>
      <c r="E13" s="67">
        <f t="shared" ref="E13:N13" si="4">$H$6 * $N$6 * E11</f>
        <v>0</v>
      </c>
      <c r="F13" s="67">
        <f t="shared" si="4"/>
        <v>0</v>
      </c>
      <c r="G13" s="67">
        <f t="shared" si="4"/>
        <v>0</v>
      </c>
      <c r="H13" s="67">
        <f t="shared" si="4"/>
        <v>0</v>
      </c>
      <c r="I13" s="67">
        <f t="shared" si="4"/>
        <v>0</v>
      </c>
      <c r="J13" s="67">
        <f t="shared" si="4"/>
        <v>0</v>
      </c>
      <c r="K13" s="67">
        <f t="shared" si="4"/>
        <v>0</v>
      </c>
      <c r="L13" s="67">
        <f t="shared" si="4"/>
        <v>0</v>
      </c>
      <c r="M13" s="67">
        <f t="shared" si="4"/>
        <v>0</v>
      </c>
      <c r="N13" s="67">
        <f t="shared" si="4"/>
        <v>0</v>
      </c>
    </row>
    <row r="14" spans="1:14" ht="37.5" customHeight="1" x14ac:dyDescent="0.45">
      <c r="A14" s="62"/>
      <c r="B14" s="106"/>
      <c r="C14" s="57" t="s">
        <v>2</v>
      </c>
      <c r="D14" s="57"/>
      <c r="E14" s="67">
        <f t="shared" ref="E14:N14" si="5">($K$6 * E11) + ($K$6 * $N$6 * E11)</f>
        <v>3.8461538461538464E-2</v>
      </c>
      <c r="F14" s="67">
        <f t="shared" si="5"/>
        <v>2.9585798816568049E-2</v>
      </c>
      <c r="G14" s="67">
        <f t="shared" si="5"/>
        <v>2.2758306781975421E-2</v>
      </c>
      <c r="H14" s="67">
        <f t="shared" si="5"/>
        <v>1.7506389832288784E-2</v>
      </c>
      <c r="I14" s="67">
        <f t="shared" si="5"/>
        <v>1.3466453717145221E-2</v>
      </c>
      <c r="J14" s="67">
        <f t="shared" si="5"/>
        <v>1.0358810551650173E-2</v>
      </c>
      <c r="K14" s="67">
        <f t="shared" si="5"/>
        <v>7.9683158089616686E-3</v>
      </c>
      <c r="L14" s="67">
        <f t="shared" si="5"/>
        <v>6.1294736992012827E-3</v>
      </c>
      <c r="M14" s="67">
        <f t="shared" si="5"/>
        <v>4.714979768616373E-3</v>
      </c>
      <c r="N14" s="67">
        <f t="shared" si="5"/>
        <v>3.6269075143202881E-3</v>
      </c>
    </row>
    <row r="15" spans="1:14" ht="37.5" customHeight="1" thickBot="1" x14ac:dyDescent="0.5">
      <c r="A15" s="62"/>
      <c r="B15" s="107"/>
      <c r="C15" s="57" t="s">
        <v>66</v>
      </c>
      <c r="D15" s="57"/>
      <c r="E15" s="91">
        <f>SUM(E12:E14)</f>
        <v>0.12692307692307692</v>
      </c>
      <c r="F15" s="91">
        <f t="shared" ref="F15:N15" si="6">SUM(F12:F14)</f>
        <v>9.7633136094674555E-2</v>
      </c>
      <c r="G15" s="91">
        <f t="shared" si="6"/>
        <v>7.5102412380518888E-2</v>
      </c>
      <c r="H15" s="91">
        <f t="shared" si="6"/>
        <v>5.7771086446552981E-2</v>
      </c>
      <c r="I15" s="91">
        <f t="shared" si="6"/>
        <v>4.4439297266579234E-2</v>
      </c>
      <c r="J15" s="91">
        <f t="shared" si="6"/>
        <v>3.4184074820445567E-2</v>
      </c>
      <c r="K15" s="91">
        <f t="shared" si="6"/>
        <v>2.6295442169573507E-2</v>
      </c>
      <c r="L15" s="91">
        <f t="shared" si="6"/>
        <v>2.0227263207364232E-2</v>
      </c>
      <c r="M15" s="91">
        <f t="shared" si="6"/>
        <v>1.5559433236434031E-2</v>
      </c>
      <c r="N15" s="91">
        <f t="shared" si="6"/>
        <v>1.1968794797256951E-2</v>
      </c>
    </row>
    <row r="16" spans="1:14" ht="37.5" customHeight="1" x14ac:dyDescent="0.45">
      <c r="A16" s="62"/>
      <c r="B16" s="105" t="s">
        <v>59</v>
      </c>
      <c r="C16" s="66" t="s">
        <v>5</v>
      </c>
      <c r="D16" s="66"/>
      <c r="E16" s="70">
        <f>E10 * (1 + $N$6)</f>
        <v>0.23076923076923078</v>
      </c>
      <c r="F16" s="70">
        <f>(F10 - E10) * (1 + $N$6)</f>
        <v>0.17751479289940825</v>
      </c>
      <c r="G16" s="70">
        <f t="shared" ref="G16:N16" si="7">(G10 - F10) * (1 + $N$6)</f>
        <v>0.13654984069185261</v>
      </c>
      <c r="H16" s="70">
        <f t="shared" si="7"/>
        <v>0.10503833899373272</v>
      </c>
      <c r="I16" s="70">
        <f t="shared" si="7"/>
        <v>8.0798722302871218E-2</v>
      </c>
      <c r="J16" s="70">
        <f t="shared" si="7"/>
        <v>6.2152863309900996E-2</v>
      </c>
      <c r="K16" s="70">
        <f t="shared" si="7"/>
        <v>4.7809894853770074E-2</v>
      </c>
      <c r="L16" s="70">
        <f t="shared" si="7"/>
        <v>3.6776842195207715E-2</v>
      </c>
      <c r="M16" s="70">
        <f t="shared" si="7"/>
        <v>2.8289878611698183E-2</v>
      </c>
      <c r="N16" s="70">
        <f t="shared" si="7"/>
        <v>2.1761445085921705E-2</v>
      </c>
    </row>
    <row r="17" spans="1:14" ht="37.5" customHeight="1" x14ac:dyDescent="0.45">
      <c r="A17" s="62"/>
      <c r="B17" s="106"/>
      <c r="C17" s="57" t="s">
        <v>4</v>
      </c>
      <c r="D17" s="57"/>
      <c r="E17" s="67">
        <f t="shared" ref="E17:N17" si="8">((1 + $N$6) * $H$3) + ($H$3 * E11)</f>
        <v>1.7692307692307691E-2</v>
      </c>
      <c r="F17" s="67">
        <f t="shared" si="8"/>
        <v>1.591715976331361E-2</v>
      </c>
      <c r="G17" s="67">
        <f t="shared" si="8"/>
        <v>1.4551661356395084E-2</v>
      </c>
      <c r="H17" s="67">
        <f t="shared" si="8"/>
        <v>1.3501277966457757E-2</v>
      </c>
      <c r="I17" s="67">
        <f t="shared" si="8"/>
        <v>1.2693290743429045E-2</v>
      </c>
      <c r="J17" s="67">
        <f t="shared" si="8"/>
        <v>1.2071762110330035E-2</v>
      </c>
      <c r="K17" s="67">
        <f t="shared" si="8"/>
        <v>1.1593663161792334E-2</v>
      </c>
      <c r="L17" s="67">
        <f t="shared" si="8"/>
        <v>1.1225894739840257E-2</v>
      </c>
      <c r="M17" s="67">
        <f t="shared" si="8"/>
        <v>1.0942995953723274E-2</v>
      </c>
      <c r="N17" s="67">
        <f t="shared" si="8"/>
        <v>1.0725381502864059E-2</v>
      </c>
    </row>
    <row r="18" spans="1:14" ht="37.5" customHeight="1" x14ac:dyDescent="0.45">
      <c r="A18" s="62"/>
      <c r="B18" s="106"/>
      <c r="C18" s="57" t="s">
        <v>3</v>
      </c>
      <c r="D18" s="57"/>
      <c r="E18" s="67">
        <f t="shared" ref="E18:N18" si="9">((1 + $N$6) * $K$3) + ($K$3 * E11)</f>
        <v>8.8461538461538456E-3</v>
      </c>
      <c r="F18" s="67">
        <f t="shared" si="9"/>
        <v>7.9585798816568052E-3</v>
      </c>
      <c r="G18" s="67">
        <f t="shared" si="9"/>
        <v>7.275830678197542E-3</v>
      </c>
      <c r="H18" s="67">
        <f t="shared" si="9"/>
        <v>6.7506389832288783E-3</v>
      </c>
      <c r="I18" s="67">
        <f t="shared" si="9"/>
        <v>6.3466453717145226E-3</v>
      </c>
      <c r="J18" s="67">
        <f t="shared" si="9"/>
        <v>6.0358810551650174E-3</v>
      </c>
      <c r="K18" s="67">
        <f t="shared" si="9"/>
        <v>5.7968315808961668E-3</v>
      </c>
      <c r="L18" s="67">
        <f t="shared" si="9"/>
        <v>5.6129473699201285E-3</v>
      </c>
      <c r="M18" s="67">
        <f t="shared" si="9"/>
        <v>5.4714979768616372E-3</v>
      </c>
      <c r="N18" s="67">
        <f t="shared" si="9"/>
        <v>5.3626907514320293E-3</v>
      </c>
    </row>
    <row r="19" spans="1:14" ht="37.5" customHeight="1" x14ac:dyDescent="0.45">
      <c r="A19" s="62"/>
      <c r="B19" s="106"/>
      <c r="C19" s="57" t="s">
        <v>6</v>
      </c>
      <c r="D19" s="57"/>
      <c r="E19" s="88">
        <f>SUM(E16:E18)</f>
        <v>0.25730769230769235</v>
      </c>
      <c r="F19" s="88">
        <f t="shared" ref="F19:N19" si="10">SUM(F16:F18)</f>
        <v>0.20139053254437866</v>
      </c>
      <c r="G19" s="88">
        <f t="shared" si="10"/>
        <v>0.15837733272644522</v>
      </c>
      <c r="H19" s="88">
        <f t="shared" si="10"/>
        <v>0.12529025594341936</v>
      </c>
      <c r="I19" s="88">
        <f t="shared" si="10"/>
        <v>9.9838658418014786E-2</v>
      </c>
      <c r="J19" s="88">
        <f t="shared" si="10"/>
        <v>8.0260506475396051E-2</v>
      </c>
      <c r="K19" s="88">
        <f t="shared" si="10"/>
        <v>6.5200389596458574E-2</v>
      </c>
      <c r="L19" s="88">
        <f t="shared" si="10"/>
        <v>5.3615684304968103E-2</v>
      </c>
      <c r="M19" s="88">
        <f t="shared" si="10"/>
        <v>4.47043725422831E-2</v>
      </c>
      <c r="N19" s="88">
        <f t="shared" si="10"/>
        <v>3.7849517340217798E-2</v>
      </c>
    </row>
    <row r="20" spans="1:14" ht="37.5" customHeight="1" thickBot="1" x14ac:dyDescent="0.5">
      <c r="A20" s="62"/>
      <c r="B20" s="107"/>
      <c r="C20" s="68" t="s">
        <v>9</v>
      </c>
      <c r="D20" s="68"/>
      <c r="E20" s="87">
        <f>E19 - E15</f>
        <v>0.13038461538461543</v>
      </c>
      <c r="F20" s="87">
        <f t="shared" ref="F20:N20" si="11">F19 - F15</f>
        <v>0.10375739644970411</v>
      </c>
      <c r="G20" s="87">
        <f t="shared" si="11"/>
        <v>8.3274920345926332E-2</v>
      </c>
      <c r="H20" s="87">
        <f t="shared" si="11"/>
        <v>6.7519169496866371E-2</v>
      </c>
      <c r="I20" s="87">
        <f t="shared" si="11"/>
        <v>5.5399361151435553E-2</v>
      </c>
      <c r="J20" s="87">
        <f t="shared" si="11"/>
        <v>4.6076431654950484E-2</v>
      </c>
      <c r="K20" s="87">
        <f t="shared" si="11"/>
        <v>3.8904947426885064E-2</v>
      </c>
      <c r="L20" s="87">
        <f t="shared" si="11"/>
        <v>3.3388421097603871E-2</v>
      </c>
      <c r="M20" s="87">
        <f t="shared" si="11"/>
        <v>2.914493930584907E-2</v>
      </c>
      <c r="N20" s="87">
        <f t="shared" si="11"/>
        <v>2.5880722542960845E-2</v>
      </c>
    </row>
    <row r="21" spans="1:14" ht="37.5" customHeight="1" x14ac:dyDescent="0.45">
      <c r="A21" s="62"/>
      <c r="B21" s="105" t="s">
        <v>67</v>
      </c>
      <c r="C21" s="58">
        <v>20000</v>
      </c>
      <c r="D21" s="66"/>
      <c r="E21" s="71">
        <f>E14 * ($C21 / (2 + $N$6))</f>
        <v>384.61538461538464</v>
      </c>
      <c r="F21" s="71">
        <f t="shared" ref="F21:N21" si="12">F14 * ($C21 / (2 + $N$6))</f>
        <v>295.85798816568047</v>
      </c>
      <c r="G21" s="71">
        <f t="shared" si="12"/>
        <v>227.58306781975421</v>
      </c>
      <c r="H21" s="71">
        <f t="shared" si="12"/>
        <v>175.06389832288784</v>
      </c>
      <c r="I21" s="71">
        <f t="shared" si="12"/>
        <v>134.66453717145222</v>
      </c>
      <c r="J21" s="71">
        <f t="shared" si="12"/>
        <v>103.58810551650173</v>
      </c>
      <c r="K21" s="71">
        <f t="shared" si="12"/>
        <v>79.683158089616683</v>
      </c>
      <c r="L21" s="71">
        <f t="shared" si="12"/>
        <v>61.29473699201283</v>
      </c>
      <c r="M21" s="71">
        <f t="shared" si="12"/>
        <v>47.14979768616373</v>
      </c>
      <c r="N21" s="71">
        <f t="shared" si="12"/>
        <v>36.269075143202883</v>
      </c>
    </row>
    <row r="22" spans="1:14" ht="37.5" customHeight="1" x14ac:dyDescent="0.45">
      <c r="A22" s="62"/>
      <c r="B22" s="135"/>
      <c r="C22" s="59">
        <v>400000</v>
      </c>
      <c r="D22" s="57"/>
      <c r="E22" s="72">
        <f>E14 * ($C22 / (2 + $N$6))</f>
        <v>7692.3076923076924</v>
      </c>
      <c r="F22" s="72">
        <f t="shared" ref="F22:N22" si="13">F14 * ($C22 / (2 + $N$6))</f>
        <v>5917.1597633136098</v>
      </c>
      <c r="G22" s="72">
        <f t="shared" si="13"/>
        <v>4551.6613563950841</v>
      </c>
      <c r="H22" s="72">
        <f t="shared" si="13"/>
        <v>3501.2779664577565</v>
      </c>
      <c r="I22" s="72">
        <f t="shared" si="13"/>
        <v>2693.2907434290441</v>
      </c>
      <c r="J22" s="72">
        <f t="shared" si="13"/>
        <v>2071.7621103300344</v>
      </c>
      <c r="K22" s="72">
        <f t="shared" si="13"/>
        <v>1593.6631617923338</v>
      </c>
      <c r="L22" s="72">
        <f t="shared" si="13"/>
        <v>1225.8947398402565</v>
      </c>
      <c r="M22" s="72">
        <f t="shared" si="13"/>
        <v>942.99595372327462</v>
      </c>
      <c r="N22" s="72">
        <f t="shared" si="13"/>
        <v>725.38150286405767</v>
      </c>
    </row>
    <row r="23" spans="1:14" ht="37.5" customHeight="1" x14ac:dyDescent="0.45">
      <c r="A23" s="62"/>
      <c r="B23" s="135"/>
      <c r="C23" s="90">
        <v>1000000</v>
      </c>
      <c r="D23" s="57"/>
      <c r="E23" s="72">
        <f>E14 * ($C23 / (2 + $N$6))</f>
        <v>19230.76923076923</v>
      </c>
      <c r="F23" s="72">
        <f t="shared" ref="F23:N23" si="14">F14 * ($C23 / (2 + $N$6))</f>
        <v>14792.899408284025</v>
      </c>
      <c r="G23" s="72">
        <f t="shared" si="14"/>
        <v>11379.153390987711</v>
      </c>
      <c r="H23" s="72">
        <f t="shared" si="14"/>
        <v>8753.1949161443918</v>
      </c>
      <c r="I23" s="72">
        <f t="shared" si="14"/>
        <v>6733.2268585726106</v>
      </c>
      <c r="J23" s="72">
        <f t="shared" si="14"/>
        <v>5179.4052758250864</v>
      </c>
      <c r="K23" s="72">
        <f t="shared" si="14"/>
        <v>3984.1579044808341</v>
      </c>
      <c r="L23" s="72">
        <f t="shared" si="14"/>
        <v>3064.7368496006416</v>
      </c>
      <c r="M23" s="72">
        <f t="shared" si="14"/>
        <v>2357.4898843081864</v>
      </c>
      <c r="N23" s="72">
        <f t="shared" si="14"/>
        <v>1813.4537571601441</v>
      </c>
    </row>
    <row r="24" spans="1:14" ht="37.5" customHeight="1" thickBot="1" x14ac:dyDescent="0.5">
      <c r="A24" s="62"/>
      <c r="B24" s="136"/>
      <c r="C24" s="60">
        <v>2100000</v>
      </c>
      <c r="D24" s="68"/>
      <c r="E24" s="73">
        <f>E14 * ($C24 / (2 + $N$6))</f>
        <v>40384.61538461539</v>
      </c>
      <c r="F24" s="73">
        <f t="shared" ref="F24:N24" si="15">F14 * ($C24 / (2 + $N$6))</f>
        <v>31065.08875739645</v>
      </c>
      <c r="G24" s="73">
        <f t="shared" si="15"/>
        <v>23896.222121074192</v>
      </c>
      <c r="H24" s="73">
        <f t="shared" si="15"/>
        <v>18381.709323903222</v>
      </c>
      <c r="I24" s="73">
        <f t="shared" si="15"/>
        <v>14139.776403002483</v>
      </c>
      <c r="J24" s="73">
        <f t="shared" si="15"/>
        <v>10876.751079232681</v>
      </c>
      <c r="K24" s="73">
        <f t="shared" si="15"/>
        <v>8366.7315994097517</v>
      </c>
      <c r="L24" s="73">
        <f t="shared" si="15"/>
        <v>6435.9473841613471</v>
      </c>
      <c r="M24" s="73">
        <f t="shared" si="15"/>
        <v>4950.7287570471917</v>
      </c>
      <c r="N24" s="73">
        <f t="shared" si="15"/>
        <v>3808.2528900363027</v>
      </c>
    </row>
    <row r="25" spans="1:14" ht="16.899999999999999" customHeight="1" x14ac:dyDescent="0.45"/>
    <row r="26" spans="1:14" ht="31.5" customHeight="1" x14ac:dyDescent="0.85">
      <c r="B26" s="77"/>
      <c r="C26" s="108" t="s">
        <v>64</v>
      </c>
      <c r="E26" s="125" t="s">
        <v>63</v>
      </c>
      <c r="F26" s="125"/>
      <c r="G26" s="53"/>
      <c r="H26" s="125" t="s">
        <v>62</v>
      </c>
      <c r="I26" s="125"/>
      <c r="J26" s="53"/>
      <c r="K26" s="129" t="s">
        <v>65</v>
      </c>
      <c r="L26" s="131">
        <f>H27*(2+N6)</f>
        <v>20000</v>
      </c>
      <c r="N26" s="84"/>
    </row>
    <row r="27" spans="1:14" ht="37.5" customHeight="1" thickBot="1" x14ac:dyDescent="0.5">
      <c r="B27" s="77"/>
      <c r="C27" s="120"/>
      <c r="E27" s="133">
        <v>100000</v>
      </c>
      <c r="F27" s="133"/>
      <c r="G27" s="55"/>
      <c r="H27" s="134">
        <v>10000</v>
      </c>
      <c r="I27" s="134"/>
      <c r="J27" s="54"/>
      <c r="K27" s="130"/>
      <c r="L27" s="132"/>
      <c r="N27" s="84"/>
    </row>
    <row r="29" spans="1:14" ht="37.5" customHeight="1" thickBot="1" x14ac:dyDescent="0.5">
      <c r="A29" s="62"/>
      <c r="B29" s="63"/>
      <c r="C29" s="64"/>
      <c r="D29" s="64"/>
      <c r="E29" s="65" t="s">
        <v>43</v>
      </c>
      <c r="F29" s="65" t="s">
        <v>44</v>
      </c>
      <c r="G29" s="65" t="s">
        <v>45</v>
      </c>
      <c r="H29" s="65" t="s">
        <v>46</v>
      </c>
      <c r="I29" s="65" t="s">
        <v>47</v>
      </c>
      <c r="J29" s="65" t="s">
        <v>48</v>
      </c>
      <c r="K29" s="65" t="s">
        <v>49</v>
      </c>
      <c r="L29" s="65" t="s">
        <v>50</v>
      </c>
      <c r="M29" s="65" t="s">
        <v>51</v>
      </c>
      <c r="N29" s="65" t="s">
        <v>52</v>
      </c>
    </row>
    <row r="30" spans="1:14" ht="37.5" customHeight="1" thickBot="1" x14ac:dyDescent="0.5">
      <c r="A30" s="62"/>
      <c r="B30" s="74" t="s">
        <v>60</v>
      </c>
      <c r="C30" s="75" t="s">
        <v>55</v>
      </c>
      <c r="D30" s="75"/>
      <c r="E30" s="78">
        <f>E27 + (E27 * E9)</f>
        <v>130000</v>
      </c>
      <c r="F30" s="78">
        <f>$E$3 + (E30 * $E$3) + E30</f>
        <v>169000.3</v>
      </c>
      <c r="G30" s="78">
        <f t="shared" ref="G30:N30" si="16">$E$3 + (F30 * $E$3) + F30</f>
        <v>219700.69</v>
      </c>
      <c r="H30" s="78">
        <f t="shared" si="16"/>
        <v>285611.19699999999</v>
      </c>
      <c r="I30" s="78">
        <f t="shared" si="16"/>
        <v>371294.85609999998</v>
      </c>
      <c r="J30" s="78">
        <f t="shared" si="16"/>
        <v>482683.61292999994</v>
      </c>
      <c r="K30" s="78">
        <f t="shared" si="16"/>
        <v>627488.99680899992</v>
      </c>
      <c r="L30" s="78">
        <f t="shared" si="16"/>
        <v>815735.99585169984</v>
      </c>
      <c r="M30" s="78">
        <f t="shared" si="16"/>
        <v>1060457.0946072098</v>
      </c>
      <c r="N30" s="78">
        <f t="shared" si="16"/>
        <v>1378594.5229893727</v>
      </c>
    </row>
    <row r="31" spans="1:14" ht="37.5" customHeight="1" x14ac:dyDescent="0.45">
      <c r="A31" s="62"/>
      <c r="B31" s="135" t="s">
        <v>61</v>
      </c>
      <c r="C31" s="57" t="s">
        <v>56</v>
      </c>
      <c r="D31" s="57"/>
      <c r="E31" s="79">
        <f t="shared" ref="E31:N31" si="17">$H$27 * E10</f>
        <v>2307.6923076923076</v>
      </c>
      <c r="F31" s="79">
        <f t="shared" si="17"/>
        <v>4082.8402366863902</v>
      </c>
      <c r="G31" s="79">
        <f t="shared" si="17"/>
        <v>5448.3386436049168</v>
      </c>
      <c r="H31" s="79">
        <f t="shared" si="17"/>
        <v>6498.7220335422435</v>
      </c>
      <c r="I31" s="79">
        <f t="shared" si="17"/>
        <v>7306.7092565709554</v>
      </c>
      <c r="J31" s="79">
        <f t="shared" si="17"/>
        <v>7928.2378896699656</v>
      </c>
      <c r="K31" s="79">
        <f t="shared" si="17"/>
        <v>8406.336838207666</v>
      </c>
      <c r="L31" s="79">
        <f t="shared" si="17"/>
        <v>8774.1052601597439</v>
      </c>
      <c r="M31" s="79">
        <f t="shared" si="17"/>
        <v>9057.0040462767247</v>
      </c>
      <c r="N31" s="79">
        <f t="shared" si="17"/>
        <v>9274.6184971359417</v>
      </c>
    </row>
    <row r="32" spans="1:14" ht="37.5" customHeight="1" thickBot="1" x14ac:dyDescent="0.5">
      <c r="A32" s="62"/>
      <c r="B32" s="136"/>
      <c r="C32" s="68" t="s">
        <v>57</v>
      </c>
      <c r="D32" s="68"/>
      <c r="E32" s="80">
        <f t="shared" ref="E32:N32" si="18">$H$27 * E11</f>
        <v>7692.3076923076915</v>
      </c>
      <c r="F32" s="80">
        <f t="shared" si="18"/>
        <v>5917.1597633136098</v>
      </c>
      <c r="G32" s="80">
        <f t="shared" si="18"/>
        <v>4551.6613563950832</v>
      </c>
      <c r="H32" s="80">
        <f t="shared" si="18"/>
        <v>3501.2779664577565</v>
      </c>
      <c r="I32" s="80">
        <f t="shared" si="18"/>
        <v>2693.2907434290441</v>
      </c>
      <c r="J32" s="80">
        <f t="shared" si="18"/>
        <v>2071.7621103300344</v>
      </c>
      <c r="K32" s="80">
        <f t="shared" si="18"/>
        <v>1593.6631617923335</v>
      </c>
      <c r="L32" s="80">
        <f t="shared" si="18"/>
        <v>1225.8947398402565</v>
      </c>
      <c r="M32" s="80">
        <f t="shared" si="18"/>
        <v>942.99595372327462</v>
      </c>
      <c r="N32" s="80">
        <f t="shared" si="18"/>
        <v>725.38150286405755</v>
      </c>
    </row>
    <row r="33" spans="1:14" ht="37.5" customHeight="1" x14ac:dyDescent="0.45">
      <c r="A33" s="62"/>
      <c r="B33" s="105" t="s">
        <v>58</v>
      </c>
      <c r="C33" s="66" t="s">
        <v>15</v>
      </c>
      <c r="D33" s="66"/>
      <c r="E33" s="79">
        <f t="shared" ref="E33:N33" si="19">$H$27 * E12</f>
        <v>884.61538461538453</v>
      </c>
      <c r="F33" s="79">
        <f t="shared" si="19"/>
        <v>680.47337278106511</v>
      </c>
      <c r="G33" s="79">
        <f t="shared" si="19"/>
        <v>523.44105598543467</v>
      </c>
      <c r="H33" s="79">
        <f t="shared" si="19"/>
        <v>402.64696614264199</v>
      </c>
      <c r="I33" s="79">
        <f t="shared" si="19"/>
        <v>309.72843549434015</v>
      </c>
      <c r="J33" s="79">
        <f t="shared" si="19"/>
        <v>238.25264268795394</v>
      </c>
      <c r="K33" s="79">
        <f t="shared" si="19"/>
        <v>183.27126360611837</v>
      </c>
      <c r="L33" s="79">
        <f t="shared" si="19"/>
        <v>140.9778950816295</v>
      </c>
      <c r="M33" s="79">
        <f t="shared" si="19"/>
        <v>108.44453467817658</v>
      </c>
      <c r="N33" s="79">
        <f t="shared" si="19"/>
        <v>83.418872829366634</v>
      </c>
    </row>
    <row r="34" spans="1:14" ht="37.5" customHeight="1" x14ac:dyDescent="0.45">
      <c r="A34" s="62"/>
      <c r="B34" s="106"/>
      <c r="C34" s="57" t="s">
        <v>8</v>
      </c>
      <c r="D34" s="57"/>
      <c r="E34" s="79">
        <f t="shared" ref="E34:N34" si="20">$H$27 * E13</f>
        <v>0</v>
      </c>
      <c r="F34" s="79">
        <f t="shared" si="20"/>
        <v>0</v>
      </c>
      <c r="G34" s="79">
        <f t="shared" si="20"/>
        <v>0</v>
      </c>
      <c r="H34" s="79">
        <f t="shared" si="20"/>
        <v>0</v>
      </c>
      <c r="I34" s="79">
        <f t="shared" si="20"/>
        <v>0</v>
      </c>
      <c r="J34" s="79">
        <f t="shared" si="20"/>
        <v>0</v>
      </c>
      <c r="K34" s="79">
        <f t="shared" si="20"/>
        <v>0</v>
      </c>
      <c r="L34" s="79">
        <f t="shared" si="20"/>
        <v>0</v>
      </c>
      <c r="M34" s="79">
        <f t="shared" si="20"/>
        <v>0</v>
      </c>
      <c r="N34" s="79">
        <f t="shared" si="20"/>
        <v>0</v>
      </c>
    </row>
    <row r="35" spans="1:14" ht="37.5" customHeight="1" x14ac:dyDescent="0.45">
      <c r="A35" s="62"/>
      <c r="B35" s="106"/>
      <c r="C35" s="57" t="s">
        <v>2</v>
      </c>
      <c r="D35" s="57"/>
      <c r="E35" s="79">
        <f t="shared" ref="E35:E41" si="21">$H$27 * E14</f>
        <v>384.61538461538464</v>
      </c>
      <c r="F35" s="79">
        <f t="shared" ref="F35:N36" si="22">$H$27 * F14</f>
        <v>295.85798816568047</v>
      </c>
      <c r="G35" s="79">
        <f t="shared" si="22"/>
        <v>227.58306781975421</v>
      </c>
      <c r="H35" s="79">
        <f t="shared" si="22"/>
        <v>175.06389832288784</v>
      </c>
      <c r="I35" s="79">
        <f t="shared" si="22"/>
        <v>134.66453717145222</v>
      </c>
      <c r="J35" s="79">
        <f t="shared" si="22"/>
        <v>103.58810551650173</v>
      </c>
      <c r="K35" s="79">
        <f t="shared" si="22"/>
        <v>79.683158089616683</v>
      </c>
      <c r="L35" s="79">
        <f t="shared" si="22"/>
        <v>61.29473699201283</v>
      </c>
      <c r="M35" s="79">
        <f t="shared" si="22"/>
        <v>47.14979768616373</v>
      </c>
      <c r="N35" s="79">
        <f t="shared" si="22"/>
        <v>36.269075143202883</v>
      </c>
    </row>
    <row r="36" spans="1:14" ht="37.5" customHeight="1" thickBot="1" x14ac:dyDescent="0.5">
      <c r="A36" s="62"/>
      <c r="B36" s="107"/>
      <c r="C36" s="57" t="s">
        <v>66</v>
      </c>
      <c r="D36" s="57"/>
      <c r="E36" s="92">
        <f t="shared" si="21"/>
        <v>1269.2307692307691</v>
      </c>
      <c r="F36" s="92">
        <f t="shared" si="22"/>
        <v>976.33136094674558</v>
      </c>
      <c r="G36" s="92">
        <f t="shared" si="22"/>
        <v>751.02412380518888</v>
      </c>
      <c r="H36" s="92">
        <f t="shared" si="22"/>
        <v>577.71086446552977</v>
      </c>
      <c r="I36" s="92">
        <f t="shared" si="22"/>
        <v>444.39297266579234</v>
      </c>
      <c r="J36" s="92">
        <f t="shared" si="22"/>
        <v>341.84074820445568</v>
      </c>
      <c r="K36" s="92">
        <f t="shared" si="22"/>
        <v>262.95442169573505</v>
      </c>
      <c r="L36" s="92">
        <f t="shared" si="22"/>
        <v>202.27263207364231</v>
      </c>
      <c r="M36" s="92">
        <f t="shared" si="22"/>
        <v>155.59433236434032</v>
      </c>
      <c r="N36" s="92">
        <f t="shared" si="22"/>
        <v>119.6879479725695</v>
      </c>
    </row>
    <row r="37" spans="1:14" ht="37.5" customHeight="1" x14ac:dyDescent="0.45">
      <c r="A37" s="62"/>
      <c r="B37" s="105" t="s">
        <v>59</v>
      </c>
      <c r="C37" s="66" t="s">
        <v>5</v>
      </c>
      <c r="D37" s="66"/>
      <c r="E37" s="79">
        <f t="shared" si="21"/>
        <v>2307.6923076923076</v>
      </c>
      <c r="F37" s="79">
        <f t="shared" ref="F37:N37" si="23">$H$27 * F16</f>
        <v>1775.1479289940826</v>
      </c>
      <c r="G37" s="79">
        <f t="shared" si="23"/>
        <v>1365.4984069185261</v>
      </c>
      <c r="H37" s="79">
        <f t="shared" si="23"/>
        <v>1050.3833899373271</v>
      </c>
      <c r="I37" s="79">
        <f t="shared" si="23"/>
        <v>807.98722302871215</v>
      </c>
      <c r="J37" s="79">
        <f t="shared" si="23"/>
        <v>621.52863309900999</v>
      </c>
      <c r="K37" s="79">
        <f t="shared" si="23"/>
        <v>478.09894853770072</v>
      </c>
      <c r="L37" s="79">
        <f t="shared" si="23"/>
        <v>367.76842195207718</v>
      </c>
      <c r="M37" s="79">
        <f t="shared" si="23"/>
        <v>282.89878611698185</v>
      </c>
      <c r="N37" s="79">
        <f t="shared" si="23"/>
        <v>217.61445085921704</v>
      </c>
    </row>
    <row r="38" spans="1:14" ht="37.5" customHeight="1" x14ac:dyDescent="0.45">
      <c r="A38" s="62"/>
      <c r="B38" s="106"/>
      <c r="C38" s="57" t="s">
        <v>4</v>
      </c>
      <c r="D38" s="57"/>
      <c r="E38" s="79">
        <f t="shared" si="21"/>
        <v>176.92307692307691</v>
      </c>
      <c r="F38" s="79">
        <f t="shared" ref="F38:N38" si="24">$H$27 * F17</f>
        <v>159.17159763313612</v>
      </c>
      <c r="G38" s="79">
        <f t="shared" si="24"/>
        <v>145.51661356395084</v>
      </c>
      <c r="H38" s="79">
        <f t="shared" si="24"/>
        <v>135.01277966457758</v>
      </c>
      <c r="I38" s="79">
        <f t="shared" si="24"/>
        <v>126.93290743429046</v>
      </c>
      <c r="J38" s="79">
        <f t="shared" si="24"/>
        <v>120.71762110330035</v>
      </c>
      <c r="K38" s="79">
        <f t="shared" si="24"/>
        <v>115.93663161792334</v>
      </c>
      <c r="L38" s="79">
        <f t="shared" si="24"/>
        <v>112.25894739840257</v>
      </c>
      <c r="M38" s="79">
        <f t="shared" si="24"/>
        <v>109.42995953723275</v>
      </c>
      <c r="N38" s="79">
        <f t="shared" si="24"/>
        <v>107.25381502864059</v>
      </c>
    </row>
    <row r="39" spans="1:14" ht="37.5" customHeight="1" x14ac:dyDescent="0.45">
      <c r="A39" s="62"/>
      <c r="B39" s="106"/>
      <c r="C39" s="57" t="s">
        <v>3</v>
      </c>
      <c r="D39" s="57"/>
      <c r="E39" s="79">
        <f t="shared" si="21"/>
        <v>88.461538461538453</v>
      </c>
      <c r="F39" s="79">
        <f t="shared" ref="F39:N39" si="25">$H$27 * F18</f>
        <v>79.585798816568058</v>
      </c>
      <c r="G39" s="79">
        <f t="shared" si="25"/>
        <v>72.758306781975421</v>
      </c>
      <c r="H39" s="79">
        <f t="shared" si="25"/>
        <v>67.506389832288789</v>
      </c>
      <c r="I39" s="79">
        <f t="shared" si="25"/>
        <v>63.466453717145228</v>
      </c>
      <c r="J39" s="79">
        <f t="shared" si="25"/>
        <v>60.358810551650173</v>
      </c>
      <c r="K39" s="79">
        <f t="shared" si="25"/>
        <v>57.96831580896167</v>
      </c>
      <c r="L39" s="79">
        <f t="shared" si="25"/>
        <v>56.129473699201284</v>
      </c>
      <c r="M39" s="79">
        <f t="shared" si="25"/>
        <v>54.714979768616374</v>
      </c>
      <c r="N39" s="79">
        <f t="shared" si="25"/>
        <v>53.626907514320294</v>
      </c>
    </row>
    <row r="40" spans="1:14" ht="37.5" customHeight="1" x14ac:dyDescent="0.45">
      <c r="A40" s="62"/>
      <c r="B40" s="106"/>
      <c r="C40" s="57" t="s">
        <v>6</v>
      </c>
      <c r="D40" s="57"/>
      <c r="E40" s="89">
        <f t="shared" si="21"/>
        <v>2573.0769230769233</v>
      </c>
      <c r="F40" s="89">
        <f t="shared" ref="F40:N40" si="26">$H$27 * F19</f>
        <v>2013.9053254437868</v>
      </c>
      <c r="G40" s="89">
        <f t="shared" si="26"/>
        <v>1583.7733272644523</v>
      </c>
      <c r="H40" s="89">
        <f t="shared" si="26"/>
        <v>1252.9025594341936</v>
      </c>
      <c r="I40" s="89">
        <f t="shared" si="26"/>
        <v>998.38658418014791</v>
      </c>
      <c r="J40" s="89">
        <f t="shared" si="26"/>
        <v>802.60506475396051</v>
      </c>
      <c r="K40" s="89">
        <f t="shared" si="26"/>
        <v>652.00389596458569</v>
      </c>
      <c r="L40" s="89">
        <f t="shared" si="26"/>
        <v>536.15684304968102</v>
      </c>
      <c r="M40" s="89">
        <f t="shared" si="26"/>
        <v>447.04372542283102</v>
      </c>
      <c r="N40" s="89">
        <f t="shared" si="26"/>
        <v>378.49517340217795</v>
      </c>
    </row>
    <row r="41" spans="1:14" ht="37.5" customHeight="1" thickBot="1" x14ac:dyDescent="0.5">
      <c r="A41" s="62"/>
      <c r="B41" s="107"/>
      <c r="C41" s="68" t="s">
        <v>9</v>
      </c>
      <c r="D41" s="68"/>
      <c r="E41" s="81">
        <f t="shared" si="21"/>
        <v>1303.8461538461543</v>
      </c>
      <c r="F41" s="81">
        <f t="shared" ref="F41:N41" si="27">$H$27 * F20</f>
        <v>1037.5739644970411</v>
      </c>
      <c r="G41" s="81">
        <f t="shared" si="27"/>
        <v>832.7492034592633</v>
      </c>
      <c r="H41" s="81">
        <f t="shared" si="27"/>
        <v>675.19169496866368</v>
      </c>
      <c r="I41" s="81">
        <f t="shared" si="27"/>
        <v>553.99361151435551</v>
      </c>
      <c r="J41" s="81">
        <f t="shared" si="27"/>
        <v>460.76431654950483</v>
      </c>
      <c r="K41" s="81">
        <f t="shared" si="27"/>
        <v>389.04947426885064</v>
      </c>
      <c r="L41" s="81">
        <f t="shared" si="27"/>
        <v>333.88421097603873</v>
      </c>
      <c r="M41" s="81">
        <f t="shared" si="27"/>
        <v>291.44939305849073</v>
      </c>
      <c r="N41" s="81">
        <f t="shared" si="27"/>
        <v>258.80722542960842</v>
      </c>
    </row>
  </sheetData>
  <mergeCells count="30">
    <mergeCell ref="N2:N5"/>
    <mergeCell ref="E3:F3"/>
    <mergeCell ref="H3:I3"/>
    <mergeCell ref="K3:L3"/>
    <mergeCell ref="C5:C6"/>
    <mergeCell ref="B2:B6"/>
    <mergeCell ref="C2:C3"/>
    <mergeCell ref="E2:F2"/>
    <mergeCell ref="H2:I2"/>
    <mergeCell ref="K2:L2"/>
    <mergeCell ref="E5:F5"/>
    <mergeCell ref="H5:I5"/>
    <mergeCell ref="K5:L5"/>
    <mergeCell ref="E6:F6"/>
    <mergeCell ref="H6:I6"/>
    <mergeCell ref="K6:L6"/>
    <mergeCell ref="B10:B11"/>
    <mergeCell ref="B12:B15"/>
    <mergeCell ref="B16:B20"/>
    <mergeCell ref="B21:B24"/>
    <mergeCell ref="C26:C27"/>
    <mergeCell ref="B33:B36"/>
    <mergeCell ref="B37:B41"/>
    <mergeCell ref="H26:I26"/>
    <mergeCell ref="K26:K27"/>
    <mergeCell ref="L26:L27"/>
    <mergeCell ref="E27:F27"/>
    <mergeCell ref="H27:I27"/>
    <mergeCell ref="B31:B32"/>
    <mergeCell ref="E26:F26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SHARED_VARIABLES</vt:lpstr>
      <vt:lpstr>BORROWER_YIELD</vt:lpstr>
      <vt:lpstr>LSP_REVENUE</vt:lpstr>
      <vt:lpstr>LENDER_YIELD</vt:lpstr>
      <vt:lpstr>2X</vt:lpstr>
      <vt:lpstr>2.5X</vt:lpstr>
      <vt:lpstr>3X</vt:lpstr>
      <vt:lpstr>3.5X</vt:lpstr>
      <vt:lpstr>4X</vt:lpstr>
      <vt:lpstr>4.5X</vt:lpstr>
      <vt:lpstr>5X</vt:lpstr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Hutchinson</dc:creator>
  <cp:lastModifiedBy>Kyle Hutchinson</cp:lastModifiedBy>
  <dcterms:created xsi:type="dcterms:W3CDTF">2025-08-18T00:15:32Z</dcterms:created>
  <dcterms:modified xsi:type="dcterms:W3CDTF">2026-03-08T17:43:11Z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2026-02-03T00:56:37Z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e3638565-75f5-4e2d-aa95-893e63d50bb0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