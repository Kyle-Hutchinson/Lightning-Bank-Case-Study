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eb409204932c1c/Lightning Bank Case Study/Yield_Calculator/"/>
    </mc:Choice>
  </mc:AlternateContent>
  <xr:revisionPtr revIDLastSave="3516" documentId="13_ncr:1_{EAA91975-2987-4A27-8581-E5ECB033CA79}" xr6:coauthVersionLast="47" xr6:coauthVersionMax="47" xr10:uidLastSave="{7C76FA40-CD5C-426B-9AA0-51489E530B89}"/>
  <bookViews>
    <workbookView xWindow="-98" yWindow="-98" windowWidth="28996" windowHeight="15675" xr2:uid="{10396A79-A4B2-467C-A467-ECE59C587EB2}"/>
  </bookViews>
  <sheets>
    <sheet name="SAYLOR_REFLECTION" sheetId="54" r:id="rId1"/>
    <sheet name="VOLATILITY_DRAG_ANALYSIS" sheetId="5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8" i="56" l="1"/>
  <c r="Q18" i="56"/>
  <c r="P18" i="56"/>
  <c r="O18" i="56"/>
  <c r="N18" i="56"/>
  <c r="M18" i="56"/>
  <c r="L18" i="56"/>
  <c r="I18" i="56"/>
  <c r="H18" i="56"/>
  <c r="G18" i="56"/>
  <c r="F18" i="56"/>
  <c r="E18" i="56"/>
  <c r="D18" i="56"/>
  <c r="C18" i="56"/>
  <c r="R16" i="56"/>
  <c r="Q16" i="56"/>
  <c r="Q17" i="56" s="1"/>
  <c r="P16" i="56"/>
  <c r="O16" i="56"/>
  <c r="N16" i="56"/>
  <c r="M16" i="56"/>
  <c r="M17" i="56" s="1"/>
  <c r="L16" i="56"/>
  <c r="I16" i="56"/>
  <c r="H16" i="56"/>
  <c r="G16" i="56"/>
  <c r="G17" i="56" s="1"/>
  <c r="F16" i="56"/>
  <c r="E16" i="56"/>
  <c r="D16" i="56"/>
  <c r="C16" i="56"/>
  <c r="R11" i="56"/>
  <c r="Q11" i="56"/>
  <c r="P11" i="56"/>
  <c r="O11" i="56"/>
  <c r="N11" i="56"/>
  <c r="M11" i="56"/>
  <c r="L11" i="56"/>
  <c r="I11" i="56"/>
  <c r="H11" i="56"/>
  <c r="G11" i="56"/>
  <c r="F11" i="56"/>
  <c r="E11" i="56"/>
  <c r="D11" i="56"/>
  <c r="C11" i="56"/>
  <c r="R9" i="56"/>
  <c r="Q9" i="56"/>
  <c r="Q12" i="56" s="1"/>
  <c r="P9" i="56"/>
  <c r="P10" i="56" s="1"/>
  <c r="O9" i="56"/>
  <c r="O10" i="56" s="1"/>
  <c r="N9" i="56"/>
  <c r="M9" i="56"/>
  <c r="M12" i="56" s="1"/>
  <c r="L9" i="56"/>
  <c r="L10" i="56" s="1"/>
  <c r="I9" i="56"/>
  <c r="I10" i="56" s="1"/>
  <c r="H9" i="56"/>
  <c r="G9" i="56"/>
  <c r="G12" i="56" s="1"/>
  <c r="F9" i="56"/>
  <c r="E9" i="56"/>
  <c r="E10" i="56" s="1"/>
  <c r="D9" i="56"/>
  <c r="C9" i="56"/>
  <c r="C12" i="56" s="1"/>
  <c r="R5" i="56"/>
  <c r="R6" i="56" s="1"/>
  <c r="Q5" i="56"/>
  <c r="Q6" i="56" s="1"/>
  <c r="P5" i="56"/>
  <c r="P6" i="56" s="1"/>
  <c r="O5" i="56"/>
  <c r="O6" i="56" s="1"/>
  <c r="N5" i="56"/>
  <c r="N6" i="56" s="1"/>
  <c r="M5" i="56"/>
  <c r="M6" i="56" s="1"/>
  <c r="L5" i="56"/>
  <c r="L6" i="56" s="1"/>
  <c r="I5" i="56"/>
  <c r="I6" i="56" s="1"/>
  <c r="H5" i="56"/>
  <c r="H6" i="56" s="1"/>
  <c r="G5" i="56"/>
  <c r="G6" i="56" s="1"/>
  <c r="F5" i="56"/>
  <c r="F6" i="56" s="1"/>
  <c r="E5" i="56"/>
  <c r="E6" i="56" s="1"/>
  <c r="D5" i="56"/>
  <c r="D6" i="56" s="1"/>
  <c r="C5" i="56"/>
  <c r="C6" i="56" s="1"/>
  <c r="D19" i="56" l="1"/>
  <c r="D20" i="56" s="1"/>
  <c r="H19" i="56"/>
  <c r="H20" i="56" s="1"/>
  <c r="N19" i="56"/>
  <c r="N20" i="56" s="1"/>
  <c r="R19" i="56"/>
  <c r="R20" i="56" s="1"/>
  <c r="G19" i="56"/>
  <c r="G20" i="56" s="1"/>
  <c r="F12" i="56"/>
  <c r="F13" i="56" s="1"/>
  <c r="E19" i="56"/>
  <c r="E20" i="56" s="1"/>
  <c r="I19" i="56"/>
  <c r="I20" i="56" s="1"/>
  <c r="O19" i="56"/>
  <c r="D12" i="56"/>
  <c r="D13" i="56" s="1"/>
  <c r="H12" i="56"/>
  <c r="H13" i="56" s="1"/>
  <c r="N12" i="56"/>
  <c r="N13" i="56" s="1"/>
  <c r="R12" i="56"/>
  <c r="R13" i="56" s="1"/>
  <c r="C19" i="56"/>
  <c r="C20" i="56" s="1"/>
  <c r="Q19" i="56"/>
  <c r="Q20" i="56" s="1"/>
  <c r="G10" i="56"/>
  <c r="M10" i="56"/>
  <c r="C17" i="56"/>
  <c r="M19" i="56"/>
  <c r="M20" i="56" s="1"/>
  <c r="C10" i="56"/>
  <c r="Q10" i="56"/>
  <c r="F19" i="56"/>
  <c r="L19" i="56"/>
  <c r="L20" i="56" s="1"/>
  <c r="P19" i="56"/>
  <c r="P20" i="56" s="1"/>
  <c r="F10" i="56"/>
  <c r="O20" i="56"/>
  <c r="F20" i="56"/>
  <c r="C13" i="56"/>
  <c r="M13" i="56"/>
  <c r="Q13" i="56"/>
  <c r="G13" i="56"/>
  <c r="E12" i="56"/>
  <c r="E13" i="56" s="1"/>
  <c r="O12" i="56"/>
  <c r="O13" i="56" s="1"/>
  <c r="D10" i="56"/>
  <c r="H10" i="56"/>
  <c r="N10" i="56"/>
  <c r="R10" i="56"/>
  <c r="L12" i="56"/>
  <c r="L13" i="56" s="1"/>
  <c r="P12" i="56"/>
  <c r="P13" i="56" s="1"/>
  <c r="D17" i="56"/>
  <c r="H17" i="56"/>
  <c r="N17" i="56"/>
  <c r="R17" i="56"/>
  <c r="I12" i="56"/>
  <c r="I13" i="56" s="1"/>
  <c r="E17" i="56"/>
  <c r="I17" i="56"/>
  <c r="O17" i="56"/>
  <c r="F17" i="56"/>
  <c r="L17" i="56"/>
  <c r="P17" i="56"/>
  <c r="F10" i="54" l="1"/>
  <c r="E9" i="54"/>
  <c r="F9" i="54" s="1"/>
  <c r="E10" i="54"/>
  <c r="E12" i="54" s="1"/>
  <c r="E6" i="54"/>
  <c r="E14" i="54" l="1"/>
  <c r="E13" i="54"/>
  <c r="G9" i="54" l="1"/>
  <c r="H9" i="54" l="1"/>
  <c r="I9" i="54" l="1"/>
  <c r="J9" i="54" l="1"/>
  <c r="K9" i="54" l="1"/>
  <c r="L9" i="54" l="1"/>
  <c r="M9" i="54" l="1"/>
  <c r="N9" i="54" s="1"/>
  <c r="E17" i="54" s="1"/>
  <c r="F17" i="54" s="1"/>
  <c r="G17" i="54" l="1"/>
  <c r="H17" i="54" l="1"/>
  <c r="I17" i="54" l="1"/>
  <c r="J17" i="54" l="1"/>
  <c r="K17" i="54" l="1"/>
  <c r="L17" i="54" l="1"/>
  <c r="M17" i="54" l="1"/>
  <c r="N17" i="54" l="1"/>
</calcChain>
</file>

<file path=xl/sharedStrings.xml><?xml version="1.0" encoding="utf-8"?>
<sst xmlns="http://schemas.openxmlformats.org/spreadsheetml/2006/main" count="58" uniqueCount="23">
  <si>
    <t>X: @KyleHutch_</t>
  </si>
  <si>
    <t>S T A R T   P R I C E</t>
  </si>
  <si>
    <t>P R E D I C T E D   C A G R</t>
  </si>
  <si>
    <t>A C T U A L   C A G R</t>
  </si>
  <si>
    <t>S T A R T   D A T E</t>
  </si>
  <si>
    <t>E N D   P R I C E</t>
  </si>
  <si>
    <t>E N D   D A T E</t>
  </si>
  <si>
    <t>R E F L E C T I N G   O N
T H E   M I C H A E L   S A Y L O R
B I T C O I N   C A G R   P R E D I C T I O N</t>
  </si>
  <si>
    <t>P R E D I C T E D</t>
  </si>
  <si>
    <t>A C T U A L</t>
  </si>
  <si>
    <t>Start Price</t>
  </si>
  <si>
    <t>End Price</t>
  </si>
  <si>
    <t>Annual Growth</t>
  </si>
  <si>
    <t>Annual Growth Required for Next Year</t>
  </si>
  <si>
    <t>Annual Growth Required for Next Year while paying 11.5% Dividends</t>
  </si>
  <si>
    <r>
      <rPr>
        <sz val="14"/>
        <color rgb="FFFFA500"/>
        <rFont val="Aptos Narrow"/>
        <family val="2"/>
        <scheme val="minor"/>
      </rPr>
      <t>BTC</t>
    </r>
    <r>
      <rPr>
        <sz val="14"/>
        <color theme="0" tint="-0.14999847407452621"/>
        <rFont val="Aptos Narrow"/>
        <family val="2"/>
        <scheme val="minor"/>
      </rPr>
      <t xml:space="preserve"> Performance</t>
    </r>
  </si>
  <si>
    <r>
      <rPr>
        <sz val="14"/>
        <color rgb="FF719C59"/>
        <rFont val="Aptos Narrow"/>
        <family val="2"/>
        <scheme val="minor"/>
      </rPr>
      <t>FIAT</t>
    </r>
    <r>
      <rPr>
        <sz val="14"/>
        <color theme="0" tint="-0.14999847407452621"/>
        <rFont val="Aptos Narrow"/>
        <family val="2"/>
        <scheme val="minor"/>
      </rPr>
      <t xml:space="preserve"> Borrowing Costs</t>
    </r>
  </si>
  <si>
    <r>
      <rPr>
        <sz val="14"/>
        <color rgb="FFFFA500"/>
        <rFont val="Aptos Narrow"/>
        <family val="2"/>
        <scheme val="minor"/>
      </rPr>
      <t>BTC</t>
    </r>
    <r>
      <rPr>
        <sz val="14"/>
        <color theme="0" tint="-0.14999847407452621"/>
        <rFont val="Aptos Narrow"/>
        <family val="2"/>
        <scheme val="minor"/>
      </rPr>
      <t xml:space="preserve"> Performance Required to Break-Even</t>
    </r>
  </si>
  <si>
    <r>
      <rPr>
        <sz val="14"/>
        <color rgb="FFFFA500"/>
        <rFont val="Aptos Narrow"/>
        <family val="2"/>
        <scheme val="minor"/>
      </rPr>
      <t>BTC</t>
    </r>
    <r>
      <rPr>
        <sz val="14"/>
        <color theme="0" tint="-0.14999847407452621"/>
        <rFont val="Aptos Narrow"/>
        <family val="2"/>
        <scheme val="minor"/>
      </rPr>
      <t xml:space="preserve"> Net Gain/Loss</t>
    </r>
  </si>
  <si>
    <r>
      <rPr>
        <sz val="14"/>
        <color rgb="FFFFA500"/>
        <rFont val="Aptos Narrow"/>
        <family val="2"/>
        <scheme val="minor"/>
      </rPr>
      <t>BTC</t>
    </r>
    <r>
      <rPr>
        <sz val="14"/>
        <color theme="0" tint="-0.14999847407452621"/>
        <rFont val="Aptos Narrow"/>
        <family val="2"/>
        <scheme val="minor"/>
      </rPr>
      <t xml:space="preserve"> Performance Break-Even Analysis</t>
    </r>
  </si>
  <si>
    <r>
      <rPr>
        <sz val="14"/>
        <color rgb="FF719C59"/>
        <rFont val="Aptos Narrow"/>
        <family val="2"/>
        <scheme val="minor"/>
      </rPr>
      <t>FIAT</t>
    </r>
    <r>
      <rPr>
        <sz val="14"/>
        <color theme="0" tint="-0.14999847407452621"/>
        <rFont val="Aptos Narrow"/>
        <family val="2"/>
        <scheme val="minor"/>
      </rPr>
      <t xml:space="preserve"> Borrowing Costs Break-Even Analysis</t>
    </r>
  </si>
  <si>
    <t>Borrowing Rate:</t>
  </si>
  <si>
    <t>Annualized Volatility Drag Impact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</si>
</sst>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##0.00,,&quot; M&quot;"/>
    <numFmt numFmtId="168" formatCode="&quot;$&quot;#,##0.00"/>
  </numFmts>
  <fonts count="19" x14ac:knownFonts="1">
    <font>
      <sz val="11"/>
      <color theme="1"/>
      <name val="Aptos Narrow"/>
      <family val="2"/>
      <scheme val="minor"/>
    </font>
    <font>
      <sz val="14"/>
      <color theme="0" tint="-0.14999847407452621"/>
      <name val="Aptos Narrow"/>
      <family val="2"/>
      <scheme val="minor"/>
    </font>
    <font>
      <sz val="16"/>
      <color rgb="FFFFA500"/>
      <name val="Aptos Narrow"/>
      <family val="2"/>
      <scheme val="minor"/>
    </font>
    <font>
      <sz val="20"/>
      <color rgb="FFFFA500"/>
      <name val="Aptos Narrow"/>
      <family val="2"/>
      <scheme val="minor"/>
    </font>
    <font>
      <sz val="20"/>
      <color rgb="FFCCCCCC"/>
      <name val="Aptos Narrow"/>
      <family val="2"/>
      <scheme val="minor"/>
    </font>
    <font>
      <sz val="20"/>
      <color rgb="FF1F9BFD"/>
      <name val="Aptos Narrow"/>
      <family val="2"/>
      <scheme val="minor"/>
    </font>
    <font>
      <sz val="20"/>
      <color theme="0" tint="-0.14999847407452621"/>
      <name val="Aptos Narrow"/>
      <family val="2"/>
      <scheme val="minor"/>
    </font>
    <font>
      <sz val="20"/>
      <color rgb="FF719C59"/>
      <name val="Aptos Narrow"/>
      <family val="2"/>
      <scheme val="minor"/>
    </font>
    <font>
      <sz val="24"/>
      <color rgb="FF719C59"/>
      <name val="Aptos Narrow"/>
      <family val="2"/>
      <scheme val="minor"/>
    </font>
    <font>
      <sz val="24"/>
      <color rgb="FFFFA500"/>
      <name val="Aptos Narrow"/>
      <family val="2"/>
      <scheme val="minor"/>
    </font>
    <font>
      <sz val="11"/>
      <color rgb="FFFFA500"/>
      <name val="Aptos Narrow"/>
      <family val="2"/>
      <scheme val="minor"/>
    </font>
    <font>
      <sz val="28"/>
      <color rgb="FFCCCCCC"/>
      <name val="Aptos Narrow"/>
      <family val="2"/>
      <scheme val="minor"/>
    </font>
    <font>
      <sz val="18"/>
      <color theme="0" tint="-0.1499984740745262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rgb="FFFFA500"/>
      <name val="Aptos Narrow"/>
      <family val="2"/>
      <scheme val="minor"/>
    </font>
    <font>
      <sz val="14"/>
      <color rgb="FF719C59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8"/>
      <color rgb="FF719C5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149967955565050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171717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1F9BFD"/>
      </top>
      <bottom/>
      <diagonal/>
    </border>
    <border>
      <left/>
      <right/>
      <top/>
      <bottom style="medium">
        <color rgb="FF1F9BFD"/>
      </bottom>
      <diagonal/>
    </border>
    <border>
      <left/>
      <right style="thick">
        <color rgb="FF1F9BFD"/>
      </right>
      <top/>
      <bottom/>
      <diagonal/>
    </border>
    <border>
      <left/>
      <right/>
      <top style="medium">
        <color rgb="FF1F9BFD"/>
      </top>
      <bottom style="thick">
        <color rgb="FFC00000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5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6" fillId="2" borderId="0" xfId="0" applyFont="1" applyFill="1" applyAlignment="1">
      <alignment horizontal="right" vertical="center" indent="1"/>
    </xf>
    <xf numFmtId="14" fontId="6" fillId="2" borderId="0" xfId="0" applyNumberFormat="1" applyFont="1" applyFill="1" applyAlignment="1">
      <alignment horizontal="right" vertical="center" indent="1"/>
    </xf>
    <xf numFmtId="0" fontId="6" fillId="2" borderId="0" xfId="0" applyFont="1" applyFill="1"/>
    <xf numFmtId="10" fontId="9" fillId="2" borderId="0" xfId="0" applyNumberFormat="1" applyFont="1" applyFill="1" applyAlignment="1">
      <alignment vertical="center"/>
    </xf>
    <xf numFmtId="10" fontId="8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4" fillId="2" borderId="2" xfId="0" applyFont="1" applyFill="1" applyBorder="1" applyAlignment="1">
      <alignment horizontal="right" vertical="center" wrapText="1"/>
    </xf>
    <xf numFmtId="164" fontId="7" fillId="2" borderId="2" xfId="0" applyNumberFormat="1" applyFont="1" applyFill="1" applyBorder="1" applyAlignment="1">
      <alignment horizontal="left" vertical="center" indent="1"/>
    </xf>
    <xf numFmtId="0" fontId="12" fillId="2" borderId="0" xfId="0" applyFont="1" applyFill="1" applyAlignment="1">
      <alignment horizontal="right" vertical="center" indent="1"/>
    </xf>
    <xf numFmtId="14" fontId="12" fillId="2" borderId="0" xfId="0" applyNumberFormat="1" applyFont="1" applyFill="1" applyAlignment="1">
      <alignment horizontal="right" vertical="center" indent="1"/>
    </xf>
    <xf numFmtId="164" fontId="7" fillId="2" borderId="0" xfId="0" applyNumberFormat="1" applyFont="1" applyFill="1" applyAlignment="1">
      <alignment horizontal="left" vertical="center" indent="1"/>
    </xf>
    <xf numFmtId="164" fontId="7" fillId="2" borderId="1" xfId="0" applyNumberFormat="1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vertical="center"/>
    </xf>
    <xf numFmtId="10" fontId="3" fillId="3" borderId="0" xfId="0" applyNumberFormat="1" applyFont="1" applyFill="1" applyAlignment="1">
      <alignment horizontal="left" vertical="center" indent="1"/>
    </xf>
    <xf numFmtId="10" fontId="3" fillId="4" borderId="0" xfId="0" applyNumberFormat="1" applyFont="1" applyFill="1" applyAlignment="1">
      <alignment horizontal="left" vertical="center" indent="1"/>
    </xf>
    <xf numFmtId="10" fontId="3" fillId="3" borderId="2" xfId="0" applyNumberFormat="1" applyFont="1" applyFill="1" applyBorder="1" applyAlignment="1">
      <alignment horizontal="left" vertical="center" indent="1"/>
    </xf>
    <xf numFmtId="10" fontId="3" fillId="4" borderId="2" xfId="0" applyNumberFormat="1" applyFont="1" applyFill="1" applyBorder="1" applyAlignment="1">
      <alignment horizontal="left" vertical="center" indent="1"/>
    </xf>
    <xf numFmtId="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9" fontId="2" fillId="2" borderId="0" xfId="1" applyFont="1" applyFill="1" applyAlignment="1">
      <alignment horizontal="left" vertical="center"/>
    </xf>
    <xf numFmtId="10" fontId="15" fillId="2" borderId="2" xfId="0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10" fontId="14" fillId="2" borderId="0" xfId="0" applyNumberFormat="1" applyFont="1" applyFill="1" applyAlignment="1">
      <alignment horizontal="center" vertical="center"/>
    </xf>
    <xf numFmtId="10" fontId="14" fillId="2" borderId="1" xfId="0" applyNumberFormat="1" applyFont="1" applyFill="1" applyBorder="1" applyAlignment="1">
      <alignment horizontal="center" vertical="center"/>
    </xf>
    <xf numFmtId="10" fontId="10" fillId="2" borderId="0" xfId="0" applyNumberFormat="1" applyFont="1" applyFill="1" applyAlignment="1">
      <alignment horizontal="left" vertical="center"/>
    </xf>
    <xf numFmtId="10" fontId="14" fillId="5" borderId="0" xfId="0" applyNumberFormat="1" applyFont="1" applyFill="1" applyAlignment="1">
      <alignment horizontal="center" vertical="center"/>
    </xf>
    <xf numFmtId="10" fontId="14" fillId="4" borderId="0" xfId="0" applyNumberFormat="1" applyFont="1" applyFill="1" applyAlignment="1">
      <alignment horizontal="center" vertical="center"/>
    </xf>
    <xf numFmtId="10" fontId="15" fillId="5" borderId="2" xfId="0" applyNumberFormat="1" applyFont="1" applyFill="1" applyBorder="1" applyAlignment="1">
      <alignment horizontal="center" vertical="center"/>
    </xf>
    <xf numFmtId="10" fontId="15" fillId="4" borderId="2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right" vertical="center"/>
    </xf>
    <xf numFmtId="10" fontId="18" fillId="2" borderId="0" xfId="0" applyNumberFormat="1" applyFont="1" applyFill="1" applyAlignment="1">
      <alignment vertical="center"/>
    </xf>
    <xf numFmtId="0" fontId="1" fillId="2" borderId="4" xfId="0" applyFont="1" applyFill="1" applyBorder="1" applyAlignment="1">
      <alignment horizontal="left" vertical="center"/>
    </xf>
    <xf numFmtId="10" fontId="14" fillId="4" borderId="4" xfId="0" applyNumberFormat="1" applyFont="1" applyFill="1" applyBorder="1" applyAlignment="1">
      <alignment horizontal="center" vertical="center"/>
    </xf>
    <xf numFmtId="10" fontId="14" fillId="5" borderId="4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/>
    </xf>
    <xf numFmtId="0" fontId="6" fillId="2" borderId="3" xfId="0" applyFont="1" applyFill="1" applyBorder="1" applyAlignment="1">
      <alignment horizontal="center"/>
    </xf>
    <xf numFmtId="10" fontId="8" fillId="2" borderId="2" xfId="0" applyNumberFormat="1" applyFont="1" applyFill="1" applyBorder="1" applyAlignment="1">
      <alignment horizontal="center" vertical="center"/>
    </xf>
    <xf numFmtId="14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171717"/>
      <color rgb="FF1F9BFD"/>
      <color rgb="FF719C59"/>
      <color rgb="FFFFA500"/>
      <color rgb="FFCCCCCC"/>
      <color rgb="FF111111"/>
      <color rgb="FFB87600"/>
      <color rgb="FFF5DAA9"/>
      <color rgb="FFFFE4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75D07-6B8F-409B-B136-51F9A59DB61D}">
  <dimension ref="A1:AI22"/>
  <sheetViews>
    <sheetView tabSelected="1" zoomScale="70" zoomScaleNormal="70" workbookViewId="0">
      <selection activeCell="S13" sqref="S13"/>
    </sheetView>
  </sheetViews>
  <sheetFormatPr defaultColWidth="9" defaultRowHeight="15" customHeight="1" x14ac:dyDescent="0.45"/>
  <cols>
    <col min="1" max="1" width="1.73046875" style="8" customWidth="1"/>
    <col min="2" max="2" width="33.1328125" style="8" customWidth="1"/>
    <col min="3" max="3" width="54.73046875" style="8" bestFit="1" customWidth="1"/>
    <col min="4" max="4" width="2.86328125" style="8" customWidth="1"/>
    <col min="5" max="12" width="18.33203125" style="8" customWidth="1"/>
    <col min="13" max="13" width="17.06640625" style="8" customWidth="1"/>
    <col min="14" max="14" width="18.33203125" style="8" customWidth="1"/>
    <col min="15" max="15" width="2.19921875" style="8" customWidth="1"/>
    <col min="16" max="16" width="9" style="8"/>
    <col min="17" max="17" width="9" style="27"/>
    <col min="18" max="18" width="9" style="8"/>
    <col min="19" max="19" width="43.46484375" style="8" customWidth="1"/>
    <col min="20" max="26" width="11" style="8" customWidth="1"/>
    <col min="27" max="27" width="3.9296875" style="8" customWidth="1"/>
    <col min="28" max="28" width="43.46484375" style="8" customWidth="1"/>
    <col min="29" max="35" width="11" style="8" customWidth="1"/>
    <col min="36" max="16384" width="9" style="8"/>
  </cols>
  <sheetData>
    <row r="1" spans="1:17" ht="6" customHeight="1" x14ac:dyDescent="0.45"/>
    <row r="2" spans="1:17" ht="31.5" customHeight="1" x14ac:dyDescent="0.85">
      <c r="B2" s="50" t="s">
        <v>7</v>
      </c>
      <c r="C2" s="50"/>
      <c r="E2" s="51" t="s">
        <v>2</v>
      </c>
      <c r="F2" s="51"/>
      <c r="G2" s="4"/>
      <c r="H2" s="51" t="s">
        <v>1</v>
      </c>
      <c r="I2" s="51"/>
      <c r="J2" s="4"/>
      <c r="K2" s="52" t="s">
        <v>5</v>
      </c>
      <c r="L2" s="51"/>
      <c r="N2" s="17" t="s">
        <v>0</v>
      </c>
      <c r="P2" s="26"/>
      <c r="Q2" s="28"/>
    </row>
    <row r="3" spans="1:17" ht="37.5" customHeight="1" thickBot="1" x14ac:dyDescent="0.5">
      <c r="B3" s="50"/>
      <c r="C3" s="50"/>
      <c r="E3" s="53">
        <v>0.28999999999999998</v>
      </c>
      <c r="F3" s="53"/>
      <c r="G3" s="6"/>
      <c r="H3" s="55">
        <v>104000</v>
      </c>
      <c r="I3" s="55"/>
      <c r="J3" s="5"/>
      <c r="K3" s="55">
        <v>77000</v>
      </c>
      <c r="L3" s="55"/>
      <c r="N3" s="18"/>
      <c r="P3" s="26"/>
      <c r="Q3" s="28"/>
    </row>
    <row r="4" spans="1:17" ht="16.899999999999999" customHeight="1" x14ac:dyDescent="0.45">
      <c r="B4" s="50"/>
      <c r="C4" s="50"/>
      <c r="E4" s="1"/>
      <c r="F4" s="1"/>
      <c r="G4" s="1"/>
      <c r="H4" s="1"/>
      <c r="I4" s="1"/>
      <c r="J4" s="1"/>
      <c r="K4" s="1"/>
      <c r="L4" s="1"/>
      <c r="N4" s="2"/>
      <c r="P4" s="26"/>
      <c r="Q4" s="28"/>
    </row>
    <row r="5" spans="1:17" ht="31.5" customHeight="1" x14ac:dyDescent="0.85">
      <c r="B5" s="50"/>
      <c r="C5" s="50"/>
      <c r="E5" s="51" t="s">
        <v>3</v>
      </c>
      <c r="F5" s="51"/>
      <c r="G5" s="4"/>
      <c r="H5" s="51" t="s">
        <v>4</v>
      </c>
      <c r="I5" s="51"/>
      <c r="J5" s="4"/>
      <c r="K5" s="52" t="s">
        <v>6</v>
      </c>
      <c r="L5" s="51"/>
      <c r="N5" s="3"/>
      <c r="P5" s="26"/>
      <c r="Q5" s="28"/>
    </row>
    <row r="6" spans="1:17" ht="37.5" customHeight="1" thickBot="1" x14ac:dyDescent="0.5">
      <c r="B6" s="50"/>
      <c r="C6" s="50"/>
      <c r="E6" s="53">
        <f>(K3/H3)^(1/DATEDIF(H6,K6,"Y"))-1</f>
        <v>-0.25961538461538458</v>
      </c>
      <c r="F6" s="53"/>
      <c r="G6" s="6"/>
      <c r="H6" s="54">
        <v>45794</v>
      </c>
      <c r="I6" s="53"/>
      <c r="J6" s="6"/>
      <c r="K6" s="54">
        <v>46159</v>
      </c>
      <c r="L6" s="53"/>
      <c r="P6" s="26"/>
      <c r="Q6" s="28"/>
    </row>
    <row r="7" spans="1:17" ht="15" customHeight="1" x14ac:dyDescent="0.45">
      <c r="P7" s="26"/>
      <c r="Q7" s="28"/>
    </row>
    <row r="8" spans="1:17" ht="37.5" customHeight="1" thickBot="1" x14ac:dyDescent="0.5">
      <c r="A8" s="9"/>
      <c r="B8" s="9"/>
      <c r="C8" s="10"/>
      <c r="D8" s="10"/>
      <c r="E8" s="11">
        <v>2026</v>
      </c>
      <c r="F8" s="11">
        <v>2027</v>
      </c>
      <c r="G8" s="11">
        <v>2028</v>
      </c>
      <c r="H8" s="11">
        <v>2029</v>
      </c>
      <c r="I8" s="11">
        <v>2030</v>
      </c>
      <c r="J8" s="11">
        <v>2031</v>
      </c>
      <c r="K8" s="11">
        <v>2032</v>
      </c>
      <c r="L8" s="11">
        <v>2033</v>
      </c>
      <c r="M8" s="11">
        <v>2034</v>
      </c>
      <c r="N8" s="11">
        <v>2035</v>
      </c>
      <c r="P8" s="26"/>
      <c r="Q8" s="28"/>
    </row>
    <row r="9" spans="1:17" ht="43.25" customHeight="1" thickBot="1" x14ac:dyDescent="0.5">
      <c r="A9" s="9"/>
      <c r="B9" s="21" t="s">
        <v>8</v>
      </c>
      <c r="C9" s="12" t="s">
        <v>11</v>
      </c>
      <c r="D9" s="13"/>
      <c r="E9" s="16">
        <f>$H$3 + ($H$3 * $E$3)</f>
        <v>134160</v>
      </c>
      <c r="F9" s="16">
        <f t="shared" ref="F9:N9" si="0">$E$3 + (E9 * $E$3) + E9</f>
        <v>173066.69</v>
      </c>
      <c r="G9" s="16">
        <f t="shared" si="0"/>
        <v>223256.32010000001</v>
      </c>
      <c r="H9" s="16">
        <f t="shared" si="0"/>
        <v>288000.94292900001</v>
      </c>
      <c r="I9" s="16">
        <f t="shared" si="0"/>
        <v>371521.50637841003</v>
      </c>
      <c r="J9" s="16">
        <f t="shared" si="0"/>
        <v>479263.03322814894</v>
      </c>
      <c r="K9" s="16">
        <f t="shared" si="0"/>
        <v>618249.60286431212</v>
      </c>
      <c r="L9" s="16">
        <f t="shared" si="0"/>
        <v>797542.27769496269</v>
      </c>
      <c r="M9" s="16">
        <f t="shared" si="0"/>
        <v>1028829.8282265018</v>
      </c>
      <c r="N9" s="16">
        <f t="shared" si="0"/>
        <v>1327190.7684121872</v>
      </c>
      <c r="P9" s="26"/>
      <c r="Q9" s="28"/>
    </row>
    <row r="10" spans="1:17" ht="43.25" customHeight="1" x14ac:dyDescent="0.45">
      <c r="A10" s="9"/>
      <c r="B10" s="47" t="s">
        <v>9</v>
      </c>
      <c r="C10" s="12" t="s">
        <v>10</v>
      </c>
      <c r="D10" s="12"/>
      <c r="E10" s="20">
        <f>H3</f>
        <v>104000</v>
      </c>
      <c r="F10" s="20">
        <f>E11</f>
        <v>75309.52</v>
      </c>
      <c r="G10" s="20"/>
      <c r="H10" s="20"/>
      <c r="I10" s="20"/>
      <c r="J10" s="20"/>
      <c r="K10" s="20"/>
      <c r="L10" s="20"/>
      <c r="M10" s="20"/>
      <c r="N10" s="20"/>
      <c r="P10" s="26"/>
      <c r="Q10" s="28"/>
    </row>
    <row r="11" spans="1:17" ht="43.25" customHeight="1" x14ac:dyDescent="0.45">
      <c r="A11" s="9"/>
      <c r="B11" s="48"/>
      <c r="C11" s="7" t="s">
        <v>11</v>
      </c>
      <c r="D11" s="7"/>
      <c r="E11" s="19">
        <v>75309.52</v>
      </c>
      <c r="F11" s="19"/>
      <c r="G11" s="19"/>
      <c r="H11" s="19"/>
      <c r="I11" s="19"/>
      <c r="J11" s="19"/>
      <c r="K11" s="19"/>
      <c r="L11" s="19"/>
      <c r="M11" s="19"/>
      <c r="N11" s="19"/>
      <c r="P11" s="26"/>
      <c r="Q11" s="28"/>
    </row>
    <row r="12" spans="1:17" ht="43.25" customHeight="1" x14ac:dyDescent="0.45">
      <c r="A12" s="9"/>
      <c r="B12" s="48"/>
      <c r="C12" s="7" t="s">
        <v>12</v>
      </c>
      <c r="D12" s="7"/>
      <c r="E12" s="22">
        <f>IF(E10&gt;0&amp;E11&gt;0,E11/E10-1)</f>
        <v>-0.27586999999999995</v>
      </c>
      <c r="F12" s="23"/>
      <c r="G12" s="23"/>
      <c r="H12" s="23"/>
      <c r="I12" s="23"/>
      <c r="J12" s="23"/>
      <c r="K12" s="23"/>
      <c r="L12" s="23"/>
      <c r="M12" s="23"/>
      <c r="N12" s="23"/>
      <c r="P12" s="26"/>
      <c r="Q12" s="28"/>
    </row>
    <row r="13" spans="1:17" ht="43.25" customHeight="1" x14ac:dyDescent="0.45">
      <c r="A13" s="9"/>
      <c r="B13" s="48"/>
      <c r="C13" s="7" t="s">
        <v>13</v>
      </c>
      <c r="D13" s="7"/>
      <c r="E13" s="22">
        <f>F$9/E$11-1</f>
        <v>1.2980718772341131</v>
      </c>
      <c r="F13" s="23"/>
      <c r="G13" s="23"/>
      <c r="H13" s="23"/>
      <c r="I13" s="23"/>
      <c r="J13" s="23"/>
      <c r="K13" s="23"/>
      <c r="L13" s="23"/>
      <c r="M13" s="23"/>
      <c r="N13" s="23"/>
      <c r="P13" s="26"/>
      <c r="Q13" s="28"/>
    </row>
    <row r="14" spans="1:17" ht="52.5" customHeight="1" thickBot="1" x14ac:dyDescent="0.5">
      <c r="A14" s="9"/>
      <c r="B14" s="49"/>
      <c r="C14" s="15" t="s">
        <v>14</v>
      </c>
      <c r="D14" s="13"/>
      <c r="E14" s="24">
        <f>(F$9+(11.5%*E$10))/E$11-1</f>
        <v>1.4568831404050906</v>
      </c>
      <c r="F14" s="25"/>
      <c r="G14" s="25"/>
      <c r="H14" s="25"/>
      <c r="I14" s="25"/>
      <c r="J14" s="25"/>
      <c r="K14" s="25"/>
      <c r="L14" s="25"/>
      <c r="M14" s="25"/>
      <c r="N14" s="25"/>
      <c r="P14" s="26"/>
      <c r="Q14" s="28"/>
    </row>
    <row r="15" spans="1:17" ht="15.75" customHeight="1" x14ac:dyDescent="0.45">
      <c r="P15" s="26"/>
      <c r="Q15" s="28"/>
    </row>
    <row r="16" spans="1:17" ht="37.5" customHeight="1" thickBot="1" x14ac:dyDescent="0.5">
      <c r="A16" s="9"/>
      <c r="B16" s="9"/>
      <c r="C16" s="10"/>
      <c r="D16" s="10"/>
      <c r="E16" s="11">
        <v>2036</v>
      </c>
      <c r="F16" s="11">
        <v>2037</v>
      </c>
      <c r="G16" s="11">
        <v>2038</v>
      </c>
      <c r="H16" s="11">
        <v>2039</v>
      </c>
      <c r="I16" s="11">
        <v>2040</v>
      </c>
      <c r="J16" s="11">
        <v>2041</v>
      </c>
      <c r="K16" s="11">
        <v>2042</v>
      </c>
      <c r="L16" s="11">
        <v>2043</v>
      </c>
      <c r="M16" s="11">
        <v>2044</v>
      </c>
      <c r="N16" s="11">
        <v>2045</v>
      </c>
      <c r="P16" s="26"/>
      <c r="Q16" s="28"/>
    </row>
    <row r="17" spans="1:35" ht="43.25" customHeight="1" thickBot="1" x14ac:dyDescent="0.5">
      <c r="A17" s="9"/>
      <c r="B17" s="21" t="s">
        <v>8</v>
      </c>
      <c r="C17" s="12" t="s">
        <v>11</v>
      </c>
      <c r="D17" s="13"/>
      <c r="E17" s="16">
        <f>$N$9 + ($N$9 * $E$3)</f>
        <v>1712076.0912517216</v>
      </c>
      <c r="F17" s="16">
        <f t="shared" ref="F17:N17" si="1">$E$3 + (E17 * $E$3) + E17</f>
        <v>2208578.4477147209</v>
      </c>
      <c r="G17" s="16">
        <f t="shared" si="1"/>
        <v>2849066.48755199</v>
      </c>
      <c r="H17" s="16">
        <f t="shared" si="1"/>
        <v>3675296.058942067</v>
      </c>
      <c r="I17" s="16">
        <f t="shared" si="1"/>
        <v>4741132.2060352666</v>
      </c>
      <c r="J17" s="16">
        <f t="shared" si="1"/>
        <v>6116060.8357854942</v>
      </c>
      <c r="K17" s="16">
        <f t="shared" si="1"/>
        <v>7889718.7681632871</v>
      </c>
      <c r="L17" s="16">
        <f t="shared" si="1"/>
        <v>10177737.500930641</v>
      </c>
      <c r="M17" s="16">
        <f t="shared" si="1"/>
        <v>13129281.666200526</v>
      </c>
      <c r="N17" s="16">
        <f t="shared" si="1"/>
        <v>16936773.639398679</v>
      </c>
      <c r="P17" s="26"/>
      <c r="Q17" s="28"/>
    </row>
    <row r="18" spans="1:35" ht="43.25" customHeight="1" x14ac:dyDescent="0.45">
      <c r="A18" s="9"/>
      <c r="B18" s="47" t="s">
        <v>9</v>
      </c>
      <c r="C18" s="12" t="s">
        <v>10</v>
      </c>
      <c r="D18" s="12"/>
      <c r="E18" s="20"/>
      <c r="F18" s="20"/>
      <c r="G18" s="20"/>
      <c r="H18" s="20"/>
      <c r="I18" s="20"/>
      <c r="J18" s="20"/>
      <c r="K18" s="20"/>
      <c r="L18" s="20"/>
      <c r="M18" s="20"/>
      <c r="N18" s="20"/>
    </row>
    <row r="19" spans="1:35" ht="43.25" customHeight="1" x14ac:dyDescent="0.45">
      <c r="A19" s="9"/>
      <c r="B19" s="48"/>
      <c r="C19" s="7" t="s">
        <v>11</v>
      </c>
      <c r="D19" s="7"/>
      <c r="E19" s="19"/>
      <c r="F19" s="19"/>
      <c r="G19" s="19"/>
      <c r="H19" s="19"/>
      <c r="I19" s="19"/>
      <c r="J19" s="19"/>
      <c r="K19" s="19"/>
      <c r="L19" s="19"/>
      <c r="M19" s="19"/>
      <c r="N19" s="19"/>
    </row>
    <row r="20" spans="1:35" ht="43.25" customHeight="1" x14ac:dyDescent="0.45">
      <c r="A20" s="9"/>
      <c r="B20" s="48"/>
      <c r="C20" s="7" t="s">
        <v>12</v>
      </c>
      <c r="D20" s="7"/>
      <c r="E20" s="22"/>
      <c r="F20" s="23"/>
      <c r="G20" s="23"/>
      <c r="H20" s="23"/>
      <c r="I20" s="23"/>
      <c r="J20" s="23"/>
      <c r="K20" s="23"/>
      <c r="L20" s="23"/>
      <c r="M20" s="23"/>
      <c r="N20" s="23"/>
    </row>
    <row r="21" spans="1:35" ht="43.25" customHeight="1" x14ac:dyDescent="0.45">
      <c r="A21" s="9"/>
      <c r="B21" s="48"/>
      <c r="C21" s="7" t="s">
        <v>13</v>
      </c>
      <c r="D21" s="7"/>
      <c r="E21" s="22"/>
      <c r="F21" s="23"/>
      <c r="G21" s="23"/>
      <c r="H21" s="23"/>
      <c r="I21" s="23"/>
      <c r="J21" s="23"/>
      <c r="K21" s="23"/>
      <c r="L21" s="23"/>
      <c r="M21" s="23"/>
      <c r="N21" s="23"/>
      <c r="AI21" s="17"/>
    </row>
    <row r="22" spans="1:35" ht="52.5" customHeight="1" thickBot="1" x14ac:dyDescent="0.5">
      <c r="A22" s="9"/>
      <c r="B22" s="49"/>
      <c r="C22" s="15" t="s">
        <v>14</v>
      </c>
      <c r="D22" s="13"/>
      <c r="E22" s="24"/>
      <c r="F22" s="25"/>
      <c r="G22" s="25"/>
      <c r="H22" s="25"/>
      <c r="I22" s="25"/>
      <c r="J22" s="25"/>
      <c r="K22" s="25"/>
      <c r="L22" s="25"/>
      <c r="M22" s="25"/>
      <c r="N22" s="25"/>
    </row>
  </sheetData>
  <mergeCells count="15">
    <mergeCell ref="K5:L5"/>
    <mergeCell ref="E6:F6"/>
    <mergeCell ref="H6:I6"/>
    <mergeCell ref="K6:L6"/>
    <mergeCell ref="E2:F2"/>
    <mergeCell ref="H2:I2"/>
    <mergeCell ref="K2:L2"/>
    <mergeCell ref="E3:F3"/>
    <mergeCell ref="H3:I3"/>
    <mergeCell ref="K3:L3"/>
    <mergeCell ref="B10:B14"/>
    <mergeCell ref="B18:B22"/>
    <mergeCell ref="B2:C6"/>
    <mergeCell ref="E5:F5"/>
    <mergeCell ref="H5:I5"/>
  </mergeCells>
  <pageMargins left="0.7" right="0.7" top="0.75" bottom="0.75" header="0.3" footer="0.3"/>
  <pageSetup orientation="portrait" r:id="rId1"/>
  <headerFooter>
    <oddHeader>&amp;R&amp;"Aptos"&amp;12&amp;K000000 Unclassified / Non 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0C3D8-1AAA-4DD2-A527-142C5E548070}">
  <dimension ref="B2:R20"/>
  <sheetViews>
    <sheetView zoomScale="85" zoomScaleNormal="85" workbookViewId="0">
      <selection activeCell="E32" sqref="E32"/>
    </sheetView>
  </sheetViews>
  <sheetFormatPr defaultColWidth="9" defaultRowHeight="15" customHeight="1" x14ac:dyDescent="0.45"/>
  <cols>
    <col min="1" max="1" width="1.73046875" style="8" customWidth="1"/>
    <col min="2" max="2" width="43.46484375" style="8" customWidth="1"/>
    <col min="3" max="9" width="11" style="8" customWidth="1"/>
    <col min="10" max="10" width="3.9296875" style="8" customWidth="1"/>
    <col min="11" max="11" width="43.46484375" style="8" customWidth="1"/>
    <col min="12" max="18" width="11" style="8" customWidth="1"/>
    <col min="19" max="16384" width="9" style="8"/>
  </cols>
  <sheetData>
    <row r="2" spans="2:18" ht="23.75" customHeight="1" x14ac:dyDescent="0.45">
      <c r="B2" s="41" t="s">
        <v>22</v>
      </c>
      <c r="C2" s="41"/>
      <c r="D2" s="41"/>
      <c r="E2" s="41"/>
      <c r="F2" s="41"/>
      <c r="G2" s="41"/>
      <c r="H2" s="42" t="s">
        <v>21</v>
      </c>
      <c r="I2" s="43">
        <v>0.115</v>
      </c>
      <c r="K2" s="41" t="s">
        <v>22</v>
      </c>
      <c r="L2" s="41"/>
      <c r="M2" s="41"/>
      <c r="N2" s="41"/>
      <c r="O2" s="41"/>
      <c r="P2" s="41"/>
      <c r="Q2" s="42" t="s">
        <v>21</v>
      </c>
      <c r="R2" s="43">
        <v>0.13</v>
      </c>
    </row>
    <row r="3" spans="2:18" ht="23.65" customHeight="1" x14ac:dyDescent="0.45"/>
    <row r="4" spans="2:18" ht="35.75" customHeight="1" x14ac:dyDescent="0.45">
      <c r="B4" s="14" t="s">
        <v>15</v>
      </c>
      <c r="C4" s="34">
        <v>0.3</v>
      </c>
      <c r="D4" s="34">
        <v>0.25</v>
      </c>
      <c r="E4" s="34">
        <v>0.2</v>
      </c>
      <c r="F4" s="34">
        <v>0.15</v>
      </c>
      <c r="G4" s="34">
        <v>0.1</v>
      </c>
      <c r="H4" s="34">
        <v>0.05</v>
      </c>
      <c r="I4" s="34">
        <v>0</v>
      </c>
      <c r="K4" s="14" t="s">
        <v>15</v>
      </c>
      <c r="L4" s="34">
        <v>0.3</v>
      </c>
      <c r="M4" s="34">
        <v>0.25</v>
      </c>
      <c r="N4" s="34">
        <v>0.2</v>
      </c>
      <c r="O4" s="34">
        <v>0.15</v>
      </c>
      <c r="P4" s="34">
        <v>0.1</v>
      </c>
      <c r="Q4" s="34">
        <v>0.05</v>
      </c>
      <c r="R4" s="34">
        <v>0</v>
      </c>
    </row>
    <row r="5" spans="2:18" ht="35.75" customHeight="1" thickBot="1" x14ac:dyDescent="0.5">
      <c r="B5" s="33" t="s">
        <v>16</v>
      </c>
      <c r="C5" s="29">
        <f>-$I$2</f>
        <v>-0.115</v>
      </c>
      <c r="D5" s="29">
        <f>-$I$2</f>
        <v>-0.115</v>
      </c>
      <c r="E5" s="29">
        <f>-$I$2</f>
        <v>-0.115</v>
      </c>
      <c r="F5" s="29">
        <f>-$I$2</f>
        <v>-0.115</v>
      </c>
      <c r="G5" s="29">
        <f>-$I$2</f>
        <v>-0.115</v>
      </c>
      <c r="H5" s="29">
        <f>-$I$2</f>
        <v>-0.115</v>
      </c>
      <c r="I5" s="29">
        <f>-$I$2</f>
        <v>-0.115</v>
      </c>
      <c r="K5" s="33" t="s">
        <v>16</v>
      </c>
      <c r="L5" s="29">
        <f>-$R$2</f>
        <v>-0.13</v>
      </c>
      <c r="M5" s="29">
        <f>-$R$2</f>
        <v>-0.13</v>
      </c>
      <c r="N5" s="29">
        <f>-$R$2</f>
        <v>-0.13</v>
      </c>
      <c r="O5" s="29">
        <f>-$R$2</f>
        <v>-0.13</v>
      </c>
      <c r="P5" s="29">
        <f>-$R$2</f>
        <v>-0.13</v>
      </c>
      <c r="Q5" s="29">
        <f>-$R$2</f>
        <v>-0.13</v>
      </c>
      <c r="R5" s="29">
        <f>-$R$2</f>
        <v>-0.13</v>
      </c>
    </row>
    <row r="6" spans="2:18" s="30" customFormat="1" ht="35.75" customHeight="1" x14ac:dyDescent="0.45">
      <c r="B6" s="32" t="s">
        <v>18</v>
      </c>
      <c r="C6" s="35">
        <f t="shared" ref="C6:I6" si="0">C4+C5</f>
        <v>0.185</v>
      </c>
      <c r="D6" s="35">
        <f t="shared" si="0"/>
        <v>0.13500000000000001</v>
      </c>
      <c r="E6" s="35">
        <f t="shared" si="0"/>
        <v>8.5000000000000006E-2</v>
      </c>
      <c r="F6" s="35">
        <f t="shared" si="0"/>
        <v>3.4999999999999989E-2</v>
      </c>
      <c r="G6" s="35">
        <f t="shared" si="0"/>
        <v>-1.4999999999999999E-2</v>
      </c>
      <c r="H6" s="35">
        <f t="shared" si="0"/>
        <v>-6.5000000000000002E-2</v>
      </c>
      <c r="I6" s="35">
        <f t="shared" si="0"/>
        <v>-0.115</v>
      </c>
      <c r="K6" s="32" t="s">
        <v>18</v>
      </c>
      <c r="L6" s="35">
        <f t="shared" ref="L6:R6" si="1">L4+L5</f>
        <v>0.16999999999999998</v>
      </c>
      <c r="M6" s="35">
        <f t="shared" si="1"/>
        <v>0.12</v>
      </c>
      <c r="N6" s="35">
        <f t="shared" si="1"/>
        <v>7.0000000000000007E-2</v>
      </c>
      <c r="O6" s="35">
        <f t="shared" si="1"/>
        <v>1.999999999999999E-2</v>
      </c>
      <c r="P6" s="35">
        <f t="shared" si="1"/>
        <v>-0.03</v>
      </c>
      <c r="Q6" s="35">
        <f t="shared" si="1"/>
        <v>-0.08</v>
      </c>
      <c r="R6" s="35">
        <f t="shared" si="1"/>
        <v>-0.13</v>
      </c>
    </row>
    <row r="7" spans="2:18" ht="23.75" customHeight="1" x14ac:dyDescent="0.45">
      <c r="B7" s="31"/>
      <c r="C7" s="36"/>
      <c r="D7" s="36"/>
      <c r="E7" s="36"/>
      <c r="F7" s="36"/>
      <c r="G7" s="36"/>
      <c r="H7" s="36"/>
      <c r="I7" s="36"/>
      <c r="K7" s="31"/>
      <c r="L7" s="36"/>
      <c r="M7" s="36"/>
      <c r="N7" s="36"/>
      <c r="O7" s="36"/>
      <c r="P7" s="36"/>
      <c r="Q7" s="36"/>
      <c r="R7" s="36"/>
    </row>
    <row r="8" spans="2:18" ht="35.75" customHeight="1" x14ac:dyDescent="0.45">
      <c r="B8" s="14" t="s">
        <v>15</v>
      </c>
      <c r="C8" s="37">
        <v>-0.05</v>
      </c>
      <c r="D8" s="37">
        <v>-0.1</v>
      </c>
      <c r="E8" s="37">
        <v>-0.15</v>
      </c>
      <c r="F8" s="37">
        <v>-0.2</v>
      </c>
      <c r="G8" s="37">
        <v>-0.25</v>
      </c>
      <c r="H8" s="37">
        <v>-0.3</v>
      </c>
      <c r="I8" s="37">
        <v>-0.35</v>
      </c>
      <c r="K8" s="14" t="s">
        <v>15</v>
      </c>
      <c r="L8" s="37">
        <v>-0.05</v>
      </c>
      <c r="M8" s="37">
        <v>-0.1</v>
      </c>
      <c r="N8" s="37">
        <v>-0.15</v>
      </c>
      <c r="O8" s="37">
        <v>-0.2</v>
      </c>
      <c r="P8" s="37">
        <v>-0.25</v>
      </c>
      <c r="Q8" s="37">
        <v>-0.3</v>
      </c>
      <c r="R8" s="37">
        <v>-0.35</v>
      </c>
    </row>
    <row r="9" spans="2:18" ht="35.75" customHeight="1" thickBot="1" x14ac:dyDescent="0.5">
      <c r="B9" s="33" t="s">
        <v>16</v>
      </c>
      <c r="C9" s="39">
        <f>-$I$2</f>
        <v>-0.115</v>
      </c>
      <c r="D9" s="39">
        <f>-$I$2</f>
        <v>-0.115</v>
      </c>
      <c r="E9" s="39">
        <f>-$I$2</f>
        <v>-0.115</v>
      </c>
      <c r="F9" s="39">
        <f>-$I$2</f>
        <v>-0.115</v>
      </c>
      <c r="G9" s="39">
        <f>-$I$2</f>
        <v>-0.115</v>
      </c>
      <c r="H9" s="39">
        <f>-$I$2</f>
        <v>-0.115</v>
      </c>
      <c r="I9" s="39">
        <f>-$I$2</f>
        <v>-0.115</v>
      </c>
      <c r="K9" s="33" t="s">
        <v>16</v>
      </c>
      <c r="L9" s="39">
        <f>-$R$2</f>
        <v>-0.13</v>
      </c>
      <c r="M9" s="39">
        <f>-$R$2</f>
        <v>-0.13</v>
      </c>
      <c r="N9" s="39">
        <f>-$R$2</f>
        <v>-0.13</v>
      </c>
      <c r="O9" s="39">
        <f>-$R$2</f>
        <v>-0.13</v>
      </c>
      <c r="P9" s="39">
        <f>-$R$2</f>
        <v>-0.13</v>
      </c>
      <c r="Q9" s="39">
        <f>-$R$2</f>
        <v>-0.13</v>
      </c>
      <c r="R9" s="39">
        <f>-$R$2</f>
        <v>-0.13</v>
      </c>
    </row>
    <row r="10" spans="2:18" ht="35.75" customHeight="1" thickBot="1" x14ac:dyDescent="0.5">
      <c r="B10" s="44" t="s">
        <v>18</v>
      </c>
      <c r="C10" s="46">
        <f>C8+C9</f>
        <v>-0.16500000000000001</v>
      </c>
      <c r="D10" s="46">
        <f t="shared" ref="D10:I10" si="2">D8+D9</f>
        <v>-0.21500000000000002</v>
      </c>
      <c r="E10" s="46">
        <f t="shared" si="2"/>
        <v>-0.26500000000000001</v>
      </c>
      <c r="F10" s="46">
        <f t="shared" si="2"/>
        <v>-0.315</v>
      </c>
      <c r="G10" s="46">
        <f t="shared" si="2"/>
        <v>-0.36499999999999999</v>
      </c>
      <c r="H10" s="46">
        <f t="shared" si="2"/>
        <v>-0.41499999999999998</v>
      </c>
      <c r="I10" s="46">
        <f t="shared" si="2"/>
        <v>-0.46499999999999997</v>
      </c>
      <c r="K10" s="44" t="s">
        <v>18</v>
      </c>
      <c r="L10" s="46">
        <f>L8+L9</f>
        <v>-0.18</v>
      </c>
      <c r="M10" s="46">
        <f t="shared" ref="M10:R10" si="3">M8+M9</f>
        <v>-0.23</v>
      </c>
      <c r="N10" s="46">
        <f t="shared" si="3"/>
        <v>-0.28000000000000003</v>
      </c>
      <c r="O10" s="46">
        <f t="shared" si="3"/>
        <v>-0.33</v>
      </c>
      <c r="P10" s="46">
        <f t="shared" si="3"/>
        <v>-0.38</v>
      </c>
      <c r="Q10" s="46">
        <f t="shared" si="3"/>
        <v>-0.43</v>
      </c>
      <c r="R10" s="46">
        <f t="shared" si="3"/>
        <v>-0.48</v>
      </c>
    </row>
    <row r="11" spans="2:18" ht="35.75" customHeight="1" thickTop="1" x14ac:dyDescent="0.45">
      <c r="B11" s="14" t="s">
        <v>19</v>
      </c>
      <c r="C11" s="37">
        <f>100/(100-(100*-C8))-1</f>
        <v>5.2631578947368363E-2</v>
      </c>
      <c r="D11" s="37">
        <f t="shared" ref="D11:I11" si="4">100/(100-(100*-D8))-1</f>
        <v>0.11111111111111116</v>
      </c>
      <c r="E11" s="37">
        <f t="shared" si="4"/>
        <v>0.17647058823529416</v>
      </c>
      <c r="F11" s="37">
        <f t="shared" si="4"/>
        <v>0.25</v>
      </c>
      <c r="G11" s="37">
        <f t="shared" si="4"/>
        <v>0.33333333333333326</v>
      </c>
      <c r="H11" s="37">
        <f t="shared" si="4"/>
        <v>0.4285714285714286</v>
      </c>
      <c r="I11" s="37">
        <f t="shared" si="4"/>
        <v>0.53846153846153855</v>
      </c>
      <c r="K11" s="14" t="s">
        <v>19</v>
      </c>
      <c r="L11" s="37">
        <f>100/(100-(100*-L8))-1</f>
        <v>5.2631578947368363E-2</v>
      </c>
      <c r="M11" s="37">
        <f>100/(100-(100*-M8))-1</f>
        <v>0.11111111111111116</v>
      </c>
      <c r="N11" s="37">
        <f t="shared" ref="N11:R11" si="5">100/(100-(100*-N8))-1</f>
        <v>0.17647058823529416</v>
      </c>
      <c r="O11" s="37">
        <f t="shared" si="5"/>
        <v>0.25</v>
      </c>
      <c r="P11" s="37">
        <f t="shared" si="5"/>
        <v>0.33333333333333326</v>
      </c>
      <c r="Q11" s="37">
        <f t="shared" si="5"/>
        <v>0.4285714285714286</v>
      </c>
      <c r="R11" s="37">
        <f t="shared" si="5"/>
        <v>0.53846153846153855</v>
      </c>
    </row>
    <row r="12" spans="2:18" s="30" customFormat="1" ht="35.75" customHeight="1" thickBot="1" x14ac:dyDescent="0.5">
      <c r="B12" s="33" t="s">
        <v>20</v>
      </c>
      <c r="C12" s="39">
        <f t="shared" ref="C12:H12" si="6">(100*(1-C9)/(100-(100*-C8))-1)-C11</f>
        <v>0.12105263157894752</v>
      </c>
      <c r="D12" s="39">
        <f t="shared" si="6"/>
        <v>0.12777777777777777</v>
      </c>
      <c r="E12" s="39">
        <f t="shared" si="6"/>
        <v>0.13529411764705879</v>
      </c>
      <c r="F12" s="39">
        <f t="shared" si="6"/>
        <v>0.14375000000000004</v>
      </c>
      <c r="G12" s="39">
        <f t="shared" si="6"/>
        <v>0.15333333333333332</v>
      </c>
      <c r="H12" s="39">
        <f t="shared" si="6"/>
        <v>0.16428571428571415</v>
      </c>
      <c r="I12" s="39">
        <f>(100*(1-I9)/(100-(100*-I8))-1)-I11</f>
        <v>0.17692307692307674</v>
      </c>
      <c r="K12" s="33" t="s">
        <v>20</v>
      </c>
      <c r="L12" s="39">
        <f t="shared" ref="L12:Q12" si="7">(100*(1-L9)/(100-(100*-L8))-1)-L11</f>
        <v>0.13684210526315788</v>
      </c>
      <c r="M12" s="39">
        <f t="shared" si="7"/>
        <v>0.14444444444444415</v>
      </c>
      <c r="N12" s="39">
        <f t="shared" si="7"/>
        <v>0.15294117647058814</v>
      </c>
      <c r="O12" s="39">
        <f t="shared" si="7"/>
        <v>0.16249999999999987</v>
      </c>
      <c r="P12" s="39">
        <f t="shared" si="7"/>
        <v>0.17333333333333312</v>
      </c>
      <c r="Q12" s="39">
        <f t="shared" si="7"/>
        <v>0.1857142857142855</v>
      </c>
      <c r="R12" s="39">
        <f>(100*(1-R9)/(100-(100*-R8))-1)-R11</f>
        <v>0.19999999999999973</v>
      </c>
    </row>
    <row r="13" spans="2:18" ht="35.75" customHeight="1" x14ac:dyDescent="0.45">
      <c r="B13" s="14" t="s">
        <v>17</v>
      </c>
      <c r="C13" s="37">
        <f>C11+C12</f>
        <v>0.17368421052631589</v>
      </c>
      <c r="D13" s="37">
        <f t="shared" ref="D13:I13" si="8">D11+D12</f>
        <v>0.23888888888888893</v>
      </c>
      <c r="E13" s="37">
        <f t="shared" si="8"/>
        <v>0.31176470588235294</v>
      </c>
      <c r="F13" s="37">
        <f t="shared" si="8"/>
        <v>0.39375000000000004</v>
      </c>
      <c r="G13" s="37">
        <f t="shared" si="8"/>
        <v>0.48666666666666658</v>
      </c>
      <c r="H13" s="37">
        <f t="shared" si="8"/>
        <v>0.59285714285714275</v>
      </c>
      <c r="I13" s="37">
        <f t="shared" si="8"/>
        <v>0.71538461538461529</v>
      </c>
      <c r="K13" s="14" t="s">
        <v>17</v>
      </c>
      <c r="L13" s="37">
        <f>L11+L12</f>
        <v>0.18947368421052624</v>
      </c>
      <c r="M13" s="37">
        <f t="shared" ref="M13:R13" si="9">M11+M12</f>
        <v>0.25555555555555531</v>
      </c>
      <c r="N13" s="37">
        <f t="shared" si="9"/>
        <v>0.32941176470588229</v>
      </c>
      <c r="O13" s="37">
        <f t="shared" si="9"/>
        <v>0.41249999999999987</v>
      </c>
      <c r="P13" s="37">
        <f t="shared" si="9"/>
        <v>0.50666666666666638</v>
      </c>
      <c r="Q13" s="37">
        <f t="shared" si="9"/>
        <v>0.6142857142857141</v>
      </c>
      <c r="R13" s="37">
        <f t="shared" si="9"/>
        <v>0.73846153846153828</v>
      </c>
    </row>
    <row r="14" spans="2:18" ht="23.75" customHeight="1" x14ac:dyDescent="0.45">
      <c r="B14" s="30"/>
      <c r="K14" s="30"/>
    </row>
    <row r="15" spans="2:18" ht="35.75" customHeight="1" x14ac:dyDescent="0.45">
      <c r="B15" s="14" t="s">
        <v>15</v>
      </c>
      <c r="C15" s="38">
        <v>-0.4</v>
      </c>
      <c r="D15" s="38">
        <v>-0.45</v>
      </c>
      <c r="E15" s="38">
        <v>-0.5</v>
      </c>
      <c r="F15" s="38">
        <v>-0.55000000000000004</v>
      </c>
      <c r="G15" s="38">
        <v>-0.6</v>
      </c>
      <c r="H15" s="38">
        <v>-0.65</v>
      </c>
      <c r="I15" s="38">
        <v>-0.7</v>
      </c>
      <c r="K15" s="14" t="s">
        <v>15</v>
      </c>
      <c r="L15" s="38">
        <v>-0.4</v>
      </c>
      <c r="M15" s="38">
        <v>-0.45</v>
      </c>
      <c r="N15" s="38">
        <v>-0.5</v>
      </c>
      <c r="O15" s="38">
        <v>-0.55000000000000004</v>
      </c>
      <c r="P15" s="38">
        <v>-0.6</v>
      </c>
      <c r="Q15" s="38">
        <v>-0.65</v>
      </c>
      <c r="R15" s="38">
        <v>-0.7</v>
      </c>
    </row>
    <row r="16" spans="2:18" s="30" customFormat="1" ht="35.65" customHeight="1" thickBot="1" x14ac:dyDescent="0.5">
      <c r="B16" s="33" t="s">
        <v>16</v>
      </c>
      <c r="C16" s="40">
        <f>-$I$2</f>
        <v>-0.115</v>
      </c>
      <c r="D16" s="40">
        <f>-$I$2</f>
        <v>-0.115</v>
      </c>
      <c r="E16" s="40">
        <f>-$I$2</f>
        <v>-0.115</v>
      </c>
      <c r="F16" s="40">
        <f>-$I$2</f>
        <v>-0.115</v>
      </c>
      <c r="G16" s="40">
        <f>-$I$2</f>
        <v>-0.115</v>
      </c>
      <c r="H16" s="40">
        <f>-$I$2</f>
        <v>-0.115</v>
      </c>
      <c r="I16" s="40">
        <f>-$I$2</f>
        <v>-0.115</v>
      </c>
      <c r="K16" s="33" t="s">
        <v>16</v>
      </c>
      <c r="L16" s="40">
        <f>-$R$2</f>
        <v>-0.13</v>
      </c>
      <c r="M16" s="40">
        <f>-$R$2</f>
        <v>-0.13</v>
      </c>
      <c r="N16" s="40">
        <f>-$R$2</f>
        <v>-0.13</v>
      </c>
      <c r="O16" s="40">
        <f>-$R$2</f>
        <v>-0.13</v>
      </c>
      <c r="P16" s="40">
        <f>-$R$2</f>
        <v>-0.13</v>
      </c>
      <c r="Q16" s="40">
        <f>-$R$2</f>
        <v>-0.13</v>
      </c>
      <c r="R16" s="40">
        <f>-$R$2</f>
        <v>-0.13</v>
      </c>
    </row>
    <row r="17" spans="2:18" ht="35.75" customHeight="1" thickBot="1" x14ac:dyDescent="0.5">
      <c r="B17" s="44" t="s">
        <v>18</v>
      </c>
      <c r="C17" s="45">
        <f>C15+C16</f>
        <v>-0.51500000000000001</v>
      </c>
      <c r="D17" s="45">
        <f t="shared" ref="D17:I17" si="10">D15+D16</f>
        <v>-0.56500000000000006</v>
      </c>
      <c r="E17" s="45">
        <f t="shared" si="10"/>
        <v>-0.61499999999999999</v>
      </c>
      <c r="F17" s="45">
        <f t="shared" si="10"/>
        <v>-0.66500000000000004</v>
      </c>
      <c r="G17" s="45">
        <f t="shared" si="10"/>
        <v>-0.71499999999999997</v>
      </c>
      <c r="H17" s="45">
        <f t="shared" si="10"/>
        <v>-0.76500000000000001</v>
      </c>
      <c r="I17" s="45">
        <f t="shared" si="10"/>
        <v>-0.81499999999999995</v>
      </c>
      <c r="K17" s="44" t="s">
        <v>18</v>
      </c>
      <c r="L17" s="45">
        <f>L15+L16</f>
        <v>-0.53</v>
      </c>
      <c r="M17" s="45">
        <f t="shared" ref="M17:R17" si="11">M15+M16</f>
        <v>-0.58000000000000007</v>
      </c>
      <c r="N17" s="45">
        <f t="shared" si="11"/>
        <v>-0.63</v>
      </c>
      <c r="O17" s="45">
        <f t="shared" si="11"/>
        <v>-0.68</v>
      </c>
      <c r="P17" s="45">
        <f t="shared" si="11"/>
        <v>-0.73</v>
      </c>
      <c r="Q17" s="45">
        <f t="shared" si="11"/>
        <v>-0.78</v>
      </c>
      <c r="R17" s="45">
        <f t="shared" si="11"/>
        <v>-0.83</v>
      </c>
    </row>
    <row r="18" spans="2:18" ht="35.75" customHeight="1" thickTop="1" x14ac:dyDescent="0.45">
      <c r="B18" s="14" t="s">
        <v>19</v>
      </c>
      <c r="C18" s="38">
        <f>100/(100-(100*-C15))-1</f>
        <v>0.66666666666666674</v>
      </c>
      <c r="D18" s="38">
        <f t="shared" ref="D18:I18" si="12">100/(100-(100*-D15))-1</f>
        <v>0.81818181818181812</v>
      </c>
      <c r="E18" s="38">
        <f t="shared" si="12"/>
        <v>1</v>
      </c>
      <c r="F18" s="38">
        <f t="shared" si="12"/>
        <v>1.2222222222222228</v>
      </c>
      <c r="G18" s="38">
        <f t="shared" si="12"/>
        <v>1.5</v>
      </c>
      <c r="H18" s="38">
        <f t="shared" si="12"/>
        <v>1.8571428571428572</v>
      </c>
      <c r="I18" s="38">
        <f t="shared" si="12"/>
        <v>2.3333333333333335</v>
      </c>
      <c r="K18" s="14" t="s">
        <v>19</v>
      </c>
      <c r="L18" s="38">
        <f>100/(100-(100*-L15))-1</f>
        <v>0.66666666666666674</v>
      </c>
      <c r="M18" s="38">
        <f t="shared" ref="M18:R18" si="13">100/(100-(100*-M15))-1</f>
        <v>0.81818181818181812</v>
      </c>
      <c r="N18" s="38">
        <f t="shared" si="13"/>
        <v>1</v>
      </c>
      <c r="O18" s="38">
        <f t="shared" si="13"/>
        <v>1.2222222222222228</v>
      </c>
      <c r="P18" s="38">
        <f t="shared" si="13"/>
        <v>1.5</v>
      </c>
      <c r="Q18" s="38">
        <f t="shared" si="13"/>
        <v>1.8571428571428572</v>
      </c>
      <c r="R18" s="38">
        <f t="shared" si="13"/>
        <v>2.3333333333333335</v>
      </c>
    </row>
    <row r="19" spans="2:18" ht="35.75" customHeight="1" thickBot="1" x14ac:dyDescent="0.5">
      <c r="B19" s="33" t="s">
        <v>20</v>
      </c>
      <c r="C19" s="40">
        <f t="shared" ref="C19:H19" si="14">(100*(1-C16)/(100-(100*-C15))-1)-C18</f>
        <v>0.19166666666666665</v>
      </c>
      <c r="D19" s="40">
        <f t="shared" si="14"/>
        <v>0.20909090909090922</v>
      </c>
      <c r="E19" s="40">
        <f t="shared" si="14"/>
        <v>0.22999999999999998</v>
      </c>
      <c r="F19" s="40">
        <f t="shared" si="14"/>
        <v>0.25555555555555554</v>
      </c>
      <c r="G19" s="40">
        <f t="shared" si="14"/>
        <v>0.28750000000000009</v>
      </c>
      <c r="H19" s="40">
        <f t="shared" si="14"/>
        <v>0.32857142857142829</v>
      </c>
      <c r="I19" s="40">
        <f>(100*(1-I16)/(100-(100*-I15))-1)-I18</f>
        <v>0.3833333333333333</v>
      </c>
      <c r="K19" s="33" t="s">
        <v>20</v>
      </c>
      <c r="L19" s="40">
        <f t="shared" ref="L19:Q19" si="15">(100*(1-L16)/(100-(100*-L15))-1)-L18</f>
        <v>0.21666666666666634</v>
      </c>
      <c r="M19" s="40">
        <f t="shared" si="15"/>
        <v>0.23636363636363611</v>
      </c>
      <c r="N19" s="40">
        <f t="shared" si="15"/>
        <v>0.25999999999999979</v>
      </c>
      <c r="O19" s="40">
        <f t="shared" si="15"/>
        <v>0.28888888888888831</v>
      </c>
      <c r="P19" s="40">
        <f t="shared" si="15"/>
        <v>0.32499999999999973</v>
      </c>
      <c r="Q19" s="40">
        <f t="shared" si="15"/>
        <v>0.371428571428571</v>
      </c>
      <c r="R19" s="40">
        <f>(100*(1-R16)/(100-(100*-R15))-1)-R18</f>
        <v>0.43333333333333268</v>
      </c>
    </row>
    <row r="20" spans="2:18" ht="35.75" customHeight="1" x14ac:dyDescent="0.45">
      <c r="B20" s="14" t="s">
        <v>17</v>
      </c>
      <c r="C20" s="38">
        <f>C18+C19</f>
        <v>0.85833333333333339</v>
      </c>
      <c r="D20" s="38">
        <f t="shared" ref="D20:I20" si="16">D18+D19</f>
        <v>1.0272727272727273</v>
      </c>
      <c r="E20" s="38">
        <f t="shared" si="16"/>
        <v>1.23</v>
      </c>
      <c r="F20" s="38">
        <f t="shared" si="16"/>
        <v>1.4777777777777783</v>
      </c>
      <c r="G20" s="38">
        <f t="shared" si="16"/>
        <v>1.7875000000000001</v>
      </c>
      <c r="H20" s="38">
        <f t="shared" si="16"/>
        <v>2.1857142857142855</v>
      </c>
      <c r="I20" s="38">
        <f t="shared" si="16"/>
        <v>2.7166666666666668</v>
      </c>
      <c r="K20" s="14" t="s">
        <v>17</v>
      </c>
      <c r="L20" s="38">
        <f>L18+L19</f>
        <v>0.88333333333333308</v>
      </c>
      <c r="M20" s="38">
        <f t="shared" ref="M20:R20" si="17">M18+M19</f>
        <v>1.0545454545454542</v>
      </c>
      <c r="N20" s="38">
        <f t="shared" si="17"/>
        <v>1.2599999999999998</v>
      </c>
      <c r="O20" s="38">
        <f t="shared" si="17"/>
        <v>1.5111111111111111</v>
      </c>
      <c r="P20" s="38">
        <f t="shared" si="17"/>
        <v>1.8249999999999997</v>
      </c>
      <c r="Q20" s="38">
        <f t="shared" si="17"/>
        <v>2.2285714285714282</v>
      </c>
      <c r="R20" s="38">
        <f t="shared" si="17"/>
        <v>2.7666666666666662</v>
      </c>
    </row>
  </sheetData>
  <pageMargins left="0.7" right="0.7" top="0.75" bottom="0.75" header="0.3" footer="0.3"/>
  <pageSetup orientation="portrait" r:id="rId1"/>
  <headerFooter>
    <oddHeader>&amp;R&amp;"Aptos"&amp;12&amp;K000000 Unclassified / Non 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SAYLOR_REFLECTION</vt:lpstr>
      <vt:lpstr>VOLATILITY_DRAG_ANALYSIS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Hutchinson</dc:creator>
  <cp:lastModifiedBy>Kyle Hutchinson</cp:lastModifiedBy>
  <dcterms:created xsi:type="dcterms:W3CDTF">2025-08-18T00:15:32Z</dcterms:created>
  <dcterms:modified xsi:type="dcterms:W3CDTF">2026-05-29T19:08:30Z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d8ed60-cd71-485b-a85b-277aaf32f506_Enabled">
    <vt:lpwstr>true</vt:lpwstr>
  </property>
  <property fmtid="{D5CDD505-2E9C-101B-9397-08002B2CF9AE}" pid="3" name="MSIP_Label_05d8ed60-cd71-485b-a85b-277aaf32f506_SetDate">
    <vt:lpwstr>2026-02-03T00:56:37Z</vt:lpwstr>
  </property>
  <property fmtid="{D5CDD505-2E9C-101B-9397-08002B2CF9AE}" pid="4" name="MSIP_Label_05d8ed60-cd71-485b-a85b-277aaf32f506_Method">
    <vt:lpwstr>Standard</vt:lpwstr>
  </property>
  <property fmtid="{D5CDD505-2E9C-101B-9397-08002B2CF9AE}" pid="5" name="MSIP_Label_05d8ed60-cd71-485b-a85b-277aaf32f506_Name">
    <vt:lpwstr>Unclassified</vt:lpwstr>
  </property>
  <property fmtid="{D5CDD505-2E9C-101B-9397-08002B2CF9AE}" pid="6" name="MSIP_Label_05d8ed60-cd71-485b-a85b-277aaf32f506_SiteId">
    <vt:lpwstr>42fd9015-de4d-4223-a368-baeacab48927</vt:lpwstr>
  </property>
  <property fmtid="{D5CDD505-2E9C-101B-9397-08002B2CF9AE}" pid="7" name="MSIP_Label_05d8ed60-cd71-485b-a85b-277aaf32f506_ActionId">
    <vt:lpwstr>e3638565-75f5-4e2d-aa95-893e63d50bb0</vt:lpwstr>
  </property>
  <property fmtid="{D5CDD505-2E9C-101B-9397-08002B2CF9AE}" pid="8" name="MSIP_Label_05d8ed60-cd71-485b-a85b-277aaf32f506_ContentBits">
    <vt:lpwstr>1</vt:lpwstr>
  </property>
  <property fmtid="{D5CDD505-2E9C-101B-9397-08002B2CF9AE}" pid="9" name="MSIP_Label_05d8ed60-cd71-485b-a85b-277aaf32f506_Tag">
    <vt:lpwstr>10, 3, 0, 1</vt:lpwstr>
  </property>
</Properties>
</file>